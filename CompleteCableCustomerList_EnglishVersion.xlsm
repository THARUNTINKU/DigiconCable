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Cable\Digicon\CompleteLists\"/>
    </mc:Choice>
  </mc:AlternateContent>
  <xr:revisionPtr revIDLastSave="0" documentId="8_{FF9E160F-36D7-4F3F-945F-8D2492848D9A}" xr6:coauthVersionLast="45" xr6:coauthVersionMax="45" xr10:uidLastSave="{00000000-0000-0000-0000-000000000000}"/>
  <bookViews>
    <workbookView xWindow="-120" yWindow="-120" windowWidth="20730" windowHeight="11160" tabRatio="564" firstSheet="7" activeTab="7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  <sheet name="Etteiyampatti" sheetId="18" r:id="rId18"/>
    <sheet name="Pudhur" sheetId="19" r:id="rId19"/>
    <sheet name="SankarK" sheetId="20" r:id="rId20"/>
    <sheet name="Kamaraj Nagar" sheetId="21" r:id="rId21"/>
    <sheet name="Muslim St" sheetId="22" r:id="rId22"/>
    <sheet name="GovtBox" sheetId="23" r:id="rId23"/>
    <sheet name="Total Collection" sheetId="24" r:id="rId24"/>
    <sheet name="Calculations" sheetId="25" r:id="rId25"/>
    <sheet name="MissingNumbers" sheetId="26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0" i="24" l="1"/>
  <c r="L20" i="24"/>
  <c r="M20" i="24"/>
  <c r="N20" i="24"/>
  <c r="K20" i="24"/>
  <c r="J19" i="24"/>
  <c r="L19" i="24"/>
  <c r="M19" i="24"/>
  <c r="N19" i="24"/>
  <c r="K19" i="24"/>
  <c r="J18" i="24"/>
  <c r="L18" i="24"/>
  <c r="M18" i="24"/>
  <c r="N18" i="24"/>
  <c r="K18" i="24"/>
  <c r="D11" i="20" l="1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F12" i="18"/>
  <c r="E12" i="18"/>
  <c r="D12" i="18"/>
  <c r="C3" i="16" a="1"/>
  <c r="C3" i="16" s="1"/>
  <c r="C4" i="16" a="1"/>
  <c r="C4" i="16" s="1"/>
  <c r="C5" i="16" a="1"/>
  <c r="C5" i="16" s="1"/>
  <c r="C6" i="16" a="1"/>
  <c r="C6" i="16" s="1"/>
  <c r="C7" i="16" a="1"/>
  <c r="C7" i="16" s="1"/>
  <c r="C8" i="16" a="1"/>
  <c r="C8" i="16" s="1"/>
  <c r="C9" i="16" a="1"/>
  <c r="C9" i="16" s="1"/>
  <c r="C10" i="16" a="1"/>
  <c r="C10" i="16" s="1"/>
  <c r="C11" i="16" a="1"/>
  <c r="C11" i="16" s="1"/>
  <c r="C12" i="16" a="1"/>
  <c r="C12" i="16" s="1"/>
  <c r="C13" i="16" a="1"/>
  <c r="C13" i="16" s="1"/>
  <c r="C14" i="16" a="1"/>
  <c r="C14" i="16" s="1"/>
  <c r="C15" i="16" a="1"/>
  <c r="C15" i="16" s="1"/>
  <c r="C16" i="16" a="1"/>
  <c r="C16" i="16" s="1"/>
  <c r="C17" i="16" a="1"/>
  <c r="C17" i="16" s="1"/>
  <c r="C18" i="16" a="1"/>
  <c r="C18" i="16" s="1"/>
  <c r="C19" i="16" a="1"/>
  <c r="C19" i="16" s="1"/>
  <c r="C20" i="16" a="1"/>
  <c r="C20" i="16" s="1"/>
  <c r="C21" i="16" a="1"/>
  <c r="C21" i="16" s="1"/>
  <c r="C22" i="16" a="1"/>
  <c r="C22" i="16" s="1"/>
  <c r="C23" i="16" a="1"/>
  <c r="C23" i="16" s="1"/>
  <c r="C24" i="16" a="1"/>
  <c r="C24" i="16" s="1"/>
  <c r="C25" i="16" a="1"/>
  <c r="C25" i="16" s="1"/>
  <c r="C26" i="16" a="1"/>
  <c r="C26" i="16" s="1"/>
  <c r="C27" i="16" a="1"/>
  <c r="C27" i="16" s="1"/>
  <c r="C28" i="16" a="1"/>
  <c r="C28" i="16" s="1"/>
  <c r="C2" i="16" a="1"/>
  <c r="C2" i="16" s="1"/>
  <c r="C2" i="15" a="1"/>
  <c r="C2" i="15" s="1"/>
  <c r="C26" i="15" l="1" a="1"/>
  <c r="C26" i="15" s="1"/>
  <c r="C3" i="15" a="1"/>
  <c r="C3" i="15" s="1"/>
  <c r="C4" i="15" a="1"/>
  <c r="C4" i="15" s="1"/>
  <c r="C5" i="15" a="1"/>
  <c r="C5" i="15"/>
  <c r="C6" i="15" a="1"/>
  <c r="C6" i="15"/>
  <c r="C7" i="15" a="1"/>
  <c r="C7" i="15" s="1"/>
  <c r="C8" i="15" a="1"/>
  <c r="C8" i="15" s="1"/>
  <c r="C9" i="15" a="1"/>
  <c r="C9" i="15" s="1"/>
  <c r="C10" i="15" a="1"/>
  <c r="C10" i="15" s="1"/>
  <c r="C11" i="15" a="1"/>
  <c r="C11" i="15" s="1"/>
  <c r="C12" i="15" a="1"/>
  <c r="C12" i="15" s="1"/>
  <c r="C13" i="15" a="1"/>
  <c r="C13" i="15"/>
  <c r="C14" i="15" a="1"/>
  <c r="C14" i="15"/>
  <c r="C15" i="15" a="1"/>
  <c r="C15" i="15" s="1"/>
  <c r="C16" i="15" a="1"/>
  <c r="C16" i="15" s="1"/>
  <c r="C17" i="15" a="1"/>
  <c r="C17" i="15" s="1"/>
  <c r="C18" i="15" a="1"/>
  <c r="C18" i="15"/>
  <c r="C19" i="15" a="1"/>
  <c r="C19" i="15" s="1"/>
  <c r="C20" i="15" a="1"/>
  <c r="C20" i="15" s="1"/>
  <c r="C21" i="15" a="1"/>
  <c r="C21" i="15" s="1"/>
  <c r="C22" i="15" a="1"/>
  <c r="C22" i="15" s="1"/>
  <c r="C23" i="15" a="1"/>
  <c r="C23" i="15" s="1"/>
  <c r="C24" i="15" a="1"/>
  <c r="C24" i="15"/>
  <c r="C25" i="15" a="1"/>
  <c r="C25" i="15" s="1"/>
  <c r="C27" i="15" a="1"/>
  <c r="C27" i="15" s="1"/>
  <c r="C28" i="15" a="1"/>
  <c r="C28" i="15" s="1"/>
  <c r="C29" i="15" a="1"/>
  <c r="C29" i="15"/>
  <c r="C23" i="14" a="1"/>
  <c r="C23" i="14" s="1"/>
  <c r="C2" i="14" a="1"/>
  <c r="C2" i="14" s="1"/>
  <c r="C3" i="14" a="1"/>
  <c r="C3" i="14" s="1"/>
  <c r="C4" i="14" a="1"/>
  <c r="C4" i="14"/>
  <c r="C5" i="14" a="1"/>
  <c r="C5" i="14"/>
  <c r="C6" i="14" a="1"/>
  <c r="C6" i="14" s="1"/>
  <c r="C7" i="14" a="1"/>
  <c r="C7" i="14" s="1"/>
  <c r="C8" i="14" a="1"/>
  <c r="C8" i="14" s="1"/>
  <c r="C9" i="14" a="1"/>
  <c r="C9" i="14"/>
  <c r="C10" i="14" a="1"/>
  <c r="C10" i="14"/>
  <c r="C11" i="14" a="1"/>
  <c r="C11" i="14" s="1"/>
  <c r="C12" i="14" a="1"/>
  <c r="C12" i="14" s="1"/>
  <c r="C13" i="14" a="1"/>
  <c r="C13" i="14" s="1"/>
  <c r="C14" i="14" a="1"/>
  <c r="C14" i="14"/>
  <c r="C15" i="14" a="1"/>
  <c r="C15" i="14" s="1"/>
  <c r="C16" i="14" a="1"/>
  <c r="C16" i="14"/>
  <c r="C17" i="14" a="1"/>
  <c r="C17" i="14" s="1"/>
  <c r="C18" i="14" a="1"/>
  <c r="C18" i="14"/>
  <c r="C19" i="14" a="1"/>
  <c r="C19" i="14" s="1"/>
  <c r="C20" i="14" a="1"/>
  <c r="C20" i="14" s="1"/>
  <c r="C21" i="14" a="1"/>
  <c r="C21" i="14" s="1"/>
  <c r="C22" i="14" a="1"/>
  <c r="C22" i="14"/>
  <c r="C24" i="14" a="1"/>
  <c r="C24" i="14" s="1"/>
  <c r="C25" i="14" a="1"/>
  <c r="C25" i="14"/>
  <c r="C26" i="14" a="1"/>
  <c r="C26" i="14"/>
  <c r="C27" i="14" a="1"/>
  <c r="C27" i="14" s="1"/>
  <c r="C28" i="14" a="1"/>
  <c r="C28" i="14" s="1"/>
  <c r="C29" i="14" a="1"/>
  <c r="C29" i="14" s="1"/>
  <c r="C30" i="14" a="1"/>
  <c r="C30" i="14" s="1"/>
  <c r="C31" i="14" a="1"/>
  <c r="C31" i="14" s="1"/>
  <c r="C32" i="14" a="1"/>
  <c r="C32" i="14"/>
  <c r="C33" i="14" a="1"/>
  <c r="C33" i="14" s="1"/>
  <c r="C34" i="14" a="1"/>
  <c r="C34" i="14" s="1"/>
  <c r="C35" i="14" a="1"/>
  <c r="C35" i="14" s="1"/>
  <c r="C2" i="12" a="1"/>
  <c r="C2" i="12"/>
  <c r="C3" i="12" a="1"/>
  <c r="C3" i="12"/>
  <c r="C4" i="12" a="1"/>
  <c r="C4" i="12"/>
  <c r="C5" i="12" a="1"/>
  <c r="C5" i="12"/>
  <c r="C6" i="12" a="1"/>
  <c r="C6" i="12"/>
  <c r="C7" i="12" a="1"/>
  <c r="C7" i="12"/>
  <c r="C8" i="12" a="1"/>
  <c r="C8" i="12"/>
  <c r="C9" i="12" a="1"/>
  <c r="C9" i="12"/>
  <c r="C10" i="12" a="1"/>
  <c r="C10" i="12"/>
  <c r="C11" i="12" a="1"/>
  <c r="C11" i="12"/>
  <c r="C12" i="12" a="1"/>
  <c r="C12" i="12"/>
  <c r="C13" i="12" a="1"/>
  <c r="C13" i="12"/>
  <c r="C14" i="12" a="1"/>
  <c r="C14" i="12"/>
  <c r="C15" i="12" a="1"/>
  <c r="C15" i="12"/>
  <c r="C16" i="12" a="1"/>
  <c r="C16" i="12"/>
  <c r="C17" i="12" a="1"/>
  <c r="C17" i="12"/>
  <c r="C18" i="12" a="1"/>
  <c r="C18" i="12"/>
  <c r="C19" i="12" a="1"/>
  <c r="C19" i="12"/>
  <c r="C20" i="12" a="1"/>
  <c r="C20" i="12"/>
  <c r="C21" i="12" a="1"/>
  <c r="C21" i="12"/>
  <c r="C22" i="12" a="1"/>
  <c r="C22" i="12"/>
  <c r="C23" i="12" a="1"/>
  <c r="C23" i="12"/>
  <c r="C24" i="12" a="1"/>
  <c r="C24" i="12"/>
  <c r="C25" i="12" a="1"/>
  <c r="C25" i="12"/>
  <c r="C26" i="12" a="1"/>
  <c r="C26" i="12"/>
  <c r="C27" i="12" a="1"/>
  <c r="C27" i="12"/>
  <c r="C28" i="12" a="1"/>
  <c r="C28" i="12"/>
  <c r="C29" i="12" a="1"/>
  <c r="C29" i="12"/>
  <c r="C30" i="12" a="1"/>
  <c r="C30" i="12"/>
  <c r="C31" i="12" a="1"/>
  <c r="C31" i="12"/>
  <c r="C32" i="12" a="1"/>
  <c r="C32" i="12"/>
  <c r="C33" i="12" a="1"/>
  <c r="C33" i="12"/>
  <c r="C34" i="12" a="1"/>
  <c r="C34" i="12"/>
  <c r="C35" i="12" a="1"/>
  <c r="C35" i="12" s="1"/>
  <c r="C36" i="12" a="1"/>
  <c r="C36" i="12"/>
  <c r="C37" i="12" a="1"/>
  <c r="C37" i="12"/>
  <c r="C38" i="12" a="1"/>
  <c r="C38" i="12"/>
  <c r="C39" i="12" a="1"/>
  <c r="C39" i="12" s="1"/>
  <c r="C40" i="12" a="1"/>
  <c r="C40" i="12"/>
  <c r="C41" i="12" a="1"/>
  <c r="C41" i="12"/>
  <c r="C42" i="12" a="1"/>
  <c r="C42" i="12"/>
  <c r="C43" i="12" a="1"/>
  <c r="C43" i="12" s="1"/>
  <c r="C44" i="12" a="1"/>
  <c r="C44" i="12"/>
  <c r="C45" i="12" a="1"/>
  <c r="C45" i="12"/>
  <c r="C46" i="12" a="1"/>
  <c r="C46" i="12"/>
  <c r="C47" i="12" a="1"/>
  <c r="C47" i="12" s="1"/>
  <c r="C48" i="12" a="1"/>
  <c r="C48" i="12"/>
  <c r="C49" i="12" a="1"/>
  <c r="C49" i="12"/>
  <c r="C50" i="12" a="1"/>
  <c r="C50" i="12"/>
  <c r="C51" i="12" a="1"/>
  <c r="C51" i="12" s="1"/>
  <c r="C52" i="12" a="1"/>
  <c r="C52" i="12"/>
  <c r="C53" i="12" a="1"/>
  <c r="C53" i="12"/>
  <c r="C54" i="12" a="1"/>
  <c r="C54" i="12"/>
  <c r="C55" i="12" a="1"/>
  <c r="C55" i="12" s="1"/>
  <c r="C56" i="12" a="1"/>
  <c r="C56" i="12"/>
  <c r="C57" i="12" a="1"/>
  <c r="C57" i="12"/>
  <c r="C58" i="12" a="1"/>
  <c r="C58" i="12"/>
  <c r="C59" i="12" a="1"/>
  <c r="C59" i="12" s="1"/>
  <c r="C60" i="12" a="1"/>
  <c r="C60" i="12"/>
  <c r="C61" i="12" a="1"/>
  <c r="C61" i="12"/>
  <c r="C62" i="12" a="1"/>
  <c r="C62" i="12"/>
  <c r="C63" i="12" a="1"/>
  <c r="C63" i="12" s="1"/>
  <c r="C64" i="12" a="1"/>
  <c r="C64" i="12"/>
  <c r="C65" i="12" a="1"/>
  <c r="C65" i="12"/>
  <c r="C38" i="11" a="1"/>
  <c r="C38" i="11" s="1"/>
  <c r="C2" i="11" a="1"/>
  <c r="C2" i="11" s="1"/>
  <c r="C3" i="11" a="1"/>
  <c r="C3" i="11" s="1"/>
  <c r="C4" i="11" a="1"/>
  <c r="C4" i="11" s="1"/>
  <c r="C5" i="11" a="1"/>
  <c r="C5" i="11" s="1"/>
  <c r="C6" i="11" a="1"/>
  <c r="C6" i="11"/>
  <c r="C7" i="11" a="1"/>
  <c r="C7" i="11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3" i="11" a="1"/>
  <c r="C13" i="11" s="1"/>
  <c r="C14" i="11" a="1"/>
  <c r="C14" i="11" s="1"/>
  <c r="C15" i="11" a="1"/>
  <c r="C15" i="11" s="1"/>
  <c r="C16" i="11" a="1"/>
  <c r="C16" i="11" s="1"/>
  <c r="C17" i="11" a="1"/>
  <c r="C17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/>
  <c r="C31" i="11" a="1"/>
  <c r="C31" i="11" s="1"/>
  <c r="C32" i="11" a="1"/>
  <c r="C32" i="11" s="1"/>
  <c r="C33" i="11" a="1"/>
  <c r="C33" i="11" s="1"/>
  <c r="C34" i="11" a="1"/>
  <c r="C34" i="11" s="1"/>
  <c r="C35" i="11" a="1"/>
  <c r="C35" i="11" s="1"/>
  <c r="C36" i="11" a="1"/>
  <c r="C36" i="11" s="1"/>
  <c r="C37" i="11" a="1"/>
  <c r="C37" i="11"/>
  <c r="C2" i="10" a="1"/>
  <c r="C2" i="10" s="1"/>
  <c r="C3" i="10" a="1"/>
  <c r="C3" i="10" s="1"/>
  <c r="C4" i="10" a="1"/>
  <c r="C4" i="10"/>
  <c r="C5" i="10" a="1"/>
  <c r="C5" i="10"/>
  <c r="C6" i="10" a="1"/>
  <c r="C6" i="10"/>
  <c r="C7" i="10" a="1"/>
  <c r="C7" i="10" s="1"/>
  <c r="C8" i="10" a="1"/>
  <c r="C8" i="10"/>
  <c r="C9" i="10" a="1"/>
  <c r="C9" i="10"/>
  <c r="C10" i="10" a="1"/>
  <c r="C10" i="10"/>
  <c r="C11" i="10" a="1"/>
  <c r="C11" i="10" s="1"/>
  <c r="C12" i="10" a="1"/>
  <c r="C12" i="10"/>
  <c r="C13" i="10" a="1"/>
  <c r="C13" i="10"/>
  <c r="C14" i="10" a="1"/>
  <c r="C14" i="10"/>
  <c r="C15" i="10" a="1"/>
  <c r="C15" i="10" s="1"/>
  <c r="C16" i="10" a="1"/>
  <c r="C16" i="10"/>
  <c r="C17" i="10" a="1"/>
  <c r="C17" i="10"/>
  <c r="C18" i="10" a="1"/>
  <c r="C18" i="10"/>
  <c r="C19" i="10" a="1"/>
  <c r="C19" i="10" s="1"/>
  <c r="C20" i="10" a="1"/>
  <c r="C20" i="10"/>
  <c r="C21" i="10" a="1"/>
  <c r="C21" i="10"/>
  <c r="C22" i="10" a="1"/>
  <c r="C22" i="10"/>
  <c r="C23" i="10" a="1"/>
  <c r="C23" i="10" s="1"/>
  <c r="C24" i="10" a="1"/>
  <c r="C24" i="10"/>
  <c r="C25" i="10" a="1"/>
  <c r="C25" i="10"/>
  <c r="C26" i="10" a="1"/>
  <c r="C26" i="10"/>
  <c r="C27" i="10" a="1"/>
  <c r="C27" i="10" s="1"/>
  <c r="C28" i="10" a="1"/>
  <c r="C28" i="10"/>
  <c r="C29" i="10" a="1"/>
  <c r="C29" i="10"/>
  <c r="C2" i="9" a="1"/>
  <c r="C2" i="9" s="1"/>
  <c r="C3" i="9" a="1"/>
  <c r="C3" i="9"/>
  <c r="C4" i="9" a="1"/>
  <c r="C4" i="9" s="1"/>
  <c r="C5" i="9" a="1"/>
  <c r="C5" i="9"/>
  <c r="C6" i="9" a="1"/>
  <c r="C6" i="9"/>
  <c r="C7" i="9" a="1"/>
  <c r="C7" i="9"/>
  <c r="C8" i="9" a="1"/>
  <c r="C8" i="9" s="1"/>
  <c r="C9" i="9" a="1"/>
  <c r="C9" i="9"/>
  <c r="C10" i="9" a="1"/>
  <c r="C10" i="9"/>
  <c r="C11" i="9" a="1"/>
  <c r="C11" i="9"/>
  <c r="C12" i="9" a="1"/>
  <c r="C12" i="9" s="1"/>
  <c r="C13" i="9" a="1"/>
  <c r="C13" i="9"/>
  <c r="C14" i="9" a="1"/>
  <c r="C14" i="9"/>
  <c r="C15" i="9" a="1"/>
  <c r="C15" i="9"/>
  <c r="C16" i="9" a="1"/>
  <c r="C16" i="9" s="1"/>
  <c r="C17" i="9" a="1"/>
  <c r="C17" i="9"/>
  <c r="C18" i="9" a="1"/>
  <c r="C18" i="9"/>
  <c r="C19" i="9" a="1"/>
  <c r="C19" i="9"/>
  <c r="C20" i="9" a="1"/>
  <c r="C20" i="9" s="1"/>
  <c r="C21" i="9" a="1"/>
  <c r="C21" i="9"/>
  <c r="C22" i="9" a="1"/>
  <c r="C22" i="9"/>
  <c r="C23" i="9" a="1"/>
  <c r="C23" i="9"/>
  <c r="C24" i="9" a="1"/>
  <c r="C24" i="9" s="1"/>
  <c r="C25" i="9" a="1"/>
  <c r="C25" i="9"/>
  <c r="C26" i="9" a="1"/>
  <c r="C26" i="9"/>
  <c r="C27" i="9" a="1"/>
  <c r="C27" i="9"/>
  <c r="C28" i="9" a="1"/>
  <c r="C28" i="9" s="1"/>
  <c r="C29" i="9" a="1"/>
  <c r="C29" i="9"/>
  <c r="C30" i="9" a="1"/>
  <c r="C30" i="9"/>
  <c r="C31" i="9" a="1"/>
  <c r="C31" i="9"/>
  <c r="C32" i="9" a="1"/>
  <c r="C32" i="9" s="1"/>
  <c r="C33" i="9" a="1"/>
  <c r="C33" i="9"/>
  <c r="C34" i="9" a="1"/>
  <c r="C34" i="9"/>
  <c r="C35" i="9" a="1"/>
  <c r="C35" i="9"/>
  <c r="C36" i="9" a="1"/>
  <c r="C36" i="9" s="1"/>
  <c r="C37" i="9" a="1"/>
  <c r="C37" i="9"/>
  <c r="C38" i="9" a="1"/>
  <c r="C38" i="9"/>
  <c r="C39" i="9" a="1"/>
  <c r="C39" i="9"/>
  <c r="C40" i="9" a="1"/>
  <c r="C40" i="9" s="1"/>
  <c r="C41" i="9" a="1"/>
  <c r="C41" i="9"/>
  <c r="C42" i="9" a="1"/>
  <c r="C42" i="9"/>
  <c r="C43" i="9" a="1"/>
  <c r="C43" i="9"/>
  <c r="C2" i="8" a="1"/>
  <c r="C2" i="8" s="1"/>
  <c r="C3" i="8" a="1"/>
  <c r="C3" i="8" s="1"/>
  <c r="C4" i="8" a="1"/>
  <c r="C4" i="8"/>
  <c r="C5" i="8" a="1"/>
  <c r="C5" i="8"/>
  <c r="C6" i="8" a="1"/>
  <c r="C6" i="8"/>
  <c r="C7" i="8" a="1"/>
  <c r="C7" i="8" s="1"/>
  <c r="C8" i="8" a="1"/>
  <c r="C8" i="8"/>
  <c r="C9" i="8" a="1"/>
  <c r="C9" i="8"/>
  <c r="C10" i="8" a="1"/>
  <c r="C10" i="8"/>
  <c r="C11" i="8" a="1"/>
  <c r="C11" i="8" s="1"/>
  <c r="C12" i="8" a="1"/>
  <c r="C12" i="8"/>
  <c r="C13" i="8" a="1"/>
  <c r="C13" i="8"/>
  <c r="C14" i="8" a="1"/>
  <c r="C14" i="8"/>
  <c r="C15" i="8" a="1"/>
  <c r="C15" i="8" s="1"/>
  <c r="C16" i="8" a="1"/>
  <c r="C16" i="8"/>
  <c r="C17" i="8" a="1"/>
  <c r="C17" i="8"/>
  <c r="C18" i="8" a="1"/>
  <c r="C18" i="8"/>
  <c r="C19" i="8" a="1"/>
  <c r="C19" i="8" s="1"/>
  <c r="C20" i="8" a="1"/>
  <c r="C20" i="8"/>
  <c r="C21" i="8" a="1"/>
  <c r="C21" i="8"/>
  <c r="C22" i="8" a="1"/>
  <c r="C22" i="8"/>
  <c r="C23" i="8" a="1"/>
  <c r="C23" i="8" s="1"/>
  <c r="C24" i="8" a="1"/>
  <c r="C24" i="8"/>
  <c r="C25" i="8" a="1"/>
  <c r="C25" i="8"/>
  <c r="C26" i="8" a="1"/>
  <c r="C26" i="8"/>
  <c r="C27" i="8" a="1"/>
  <c r="C27" i="8" s="1"/>
  <c r="C28" i="8" a="1"/>
  <c r="C28" i="8"/>
  <c r="C29" i="8" a="1"/>
  <c r="C29" i="8"/>
  <c r="C30" i="8" a="1"/>
  <c r="C30" i="8"/>
  <c r="C31" i="8" a="1"/>
  <c r="C31" i="8" s="1"/>
  <c r="C32" i="8" a="1"/>
  <c r="C32" i="8"/>
  <c r="C33" i="8" a="1"/>
  <c r="C33" i="8"/>
  <c r="C34" i="8" a="1"/>
  <c r="C34" i="8"/>
  <c r="C35" i="8" a="1"/>
  <c r="C35" i="8" s="1"/>
  <c r="C36" i="8" a="1"/>
  <c r="C36" i="8"/>
  <c r="C37" i="8" a="1"/>
  <c r="C37" i="8"/>
  <c r="C38" i="8" a="1"/>
  <c r="C38" i="8"/>
  <c r="C39" i="8" a="1"/>
  <c r="C39" i="8" s="1"/>
  <c r="C40" i="8" a="1"/>
  <c r="C40" i="8"/>
  <c r="C41" i="8" a="1"/>
  <c r="C41" i="8"/>
  <c r="C42" i="8" a="1"/>
  <c r="C42" i="8"/>
  <c r="C43" i="8" a="1"/>
  <c r="C43" i="8" s="1"/>
  <c r="C44" i="8" a="1"/>
  <c r="C44" i="8"/>
  <c r="C2" i="7" a="1"/>
  <c r="C2" i="7" s="1"/>
  <c r="C3" i="7" a="1"/>
  <c r="C3" i="7" s="1"/>
  <c r="C4" i="7" a="1"/>
  <c r="C4" i="7"/>
  <c r="C5" i="7" a="1"/>
  <c r="C5" i="7" s="1"/>
  <c r="C6" i="7" a="1"/>
  <c r="C6" i="7"/>
  <c r="C7" i="7" a="1"/>
  <c r="C7" i="7" s="1"/>
  <c r="C8" i="7" a="1"/>
  <c r="C8" i="7"/>
  <c r="C9" i="7" a="1"/>
  <c r="C9" i="7"/>
  <c r="C10" i="7" a="1"/>
  <c r="C10" i="7"/>
  <c r="C11" i="7" a="1"/>
  <c r="C11" i="7" s="1"/>
  <c r="C12" i="7" a="1"/>
  <c r="C12" i="7"/>
  <c r="C13" i="7" a="1"/>
  <c r="C13" i="7"/>
  <c r="C14" i="7" a="1"/>
  <c r="C14" i="7"/>
  <c r="C2" i="6" a="1"/>
  <c r="C2" i="6" s="1"/>
  <c r="C3" i="6" a="1"/>
  <c r="C3" i="6" s="1"/>
  <c r="C4" i="6" a="1"/>
  <c r="C4" i="6"/>
  <c r="C5" i="6" a="1"/>
  <c r="C5" i="6" s="1"/>
  <c r="C6" i="6" a="1"/>
  <c r="C6" i="6"/>
  <c r="C7" i="6" a="1"/>
  <c r="C7" i="6" s="1"/>
  <c r="C8" i="6" a="1"/>
  <c r="C8" i="6"/>
  <c r="C9" i="6" a="1"/>
  <c r="C9" i="6"/>
  <c r="C10" i="6" a="1"/>
  <c r="C10" i="6"/>
  <c r="C11" i="6" a="1"/>
  <c r="C11" i="6" s="1"/>
  <c r="C12" i="6" a="1"/>
  <c r="C12" i="6"/>
  <c r="C13" i="6" a="1"/>
  <c r="C13" i="6"/>
  <c r="C14" i="6" a="1"/>
  <c r="C14" i="6"/>
  <c r="C15" i="6" a="1"/>
  <c r="C15" i="6" s="1"/>
  <c r="C16" i="6" a="1"/>
  <c r="C16" i="6"/>
  <c r="C17" i="6" a="1"/>
  <c r="C17" i="6"/>
  <c r="C18" i="6" a="1"/>
  <c r="C18" i="6"/>
  <c r="C2" i="5" a="1"/>
  <c r="C2" i="5" s="1"/>
  <c r="C3" i="5" a="1"/>
  <c r="C3" i="5" s="1"/>
  <c r="C4" i="5" a="1"/>
  <c r="C4" i="5"/>
  <c r="C5" i="5" a="1"/>
  <c r="C5" i="5"/>
  <c r="C6" i="5" a="1"/>
  <c r="C6" i="5"/>
  <c r="C7" i="5" a="1"/>
  <c r="C7" i="5" s="1"/>
  <c r="C8" i="5" a="1"/>
  <c r="C8" i="5"/>
  <c r="C9" i="5" a="1"/>
  <c r="C9" i="5"/>
  <c r="C10" i="5" a="1"/>
  <c r="C10" i="5"/>
  <c r="C11" i="5" a="1"/>
  <c r="C11" i="5" s="1"/>
  <c r="C12" i="5" a="1"/>
  <c r="C12" i="5"/>
  <c r="C13" i="5" a="1"/>
  <c r="C13" i="5"/>
  <c r="C14" i="5" a="1"/>
  <c r="C14" i="5"/>
  <c r="C15" i="5" a="1"/>
  <c r="C15" i="5" s="1"/>
  <c r="C2" i="4" a="1"/>
  <c r="C2" i="4" s="1"/>
  <c r="C3" i="4" a="1"/>
  <c r="C3" i="4" s="1"/>
  <c r="C4" i="4" a="1"/>
  <c r="C4" i="4"/>
  <c r="C5" i="4" a="1"/>
  <c r="C5" i="4"/>
  <c r="C6" i="4" a="1"/>
  <c r="C6" i="4"/>
  <c r="C7" i="4" a="1"/>
  <c r="C7" i="4" s="1"/>
  <c r="C8" i="4" a="1"/>
  <c r="C8" i="4"/>
  <c r="C9" i="4" a="1"/>
  <c r="C9" i="4"/>
  <c r="C10" i="4" a="1"/>
  <c r="C10" i="4"/>
  <c r="C11" i="4" a="1"/>
  <c r="C11" i="4" s="1"/>
  <c r="C12" i="4" a="1"/>
  <c r="C12" i="4"/>
  <c r="C13" i="4" a="1"/>
  <c r="C13" i="4"/>
  <c r="C14" i="4" a="1"/>
  <c r="C14" i="4"/>
  <c r="C15" i="4" a="1"/>
  <c r="C15" i="4" s="1"/>
  <c r="C16" i="4" a="1"/>
  <c r="C16" i="4"/>
  <c r="C17" i="4" a="1"/>
  <c r="C17" i="4"/>
  <c r="C18" i="4" a="1"/>
  <c r="C18" i="4"/>
  <c r="C19" i="4" a="1"/>
  <c r="C19" i="4" s="1"/>
  <c r="C20" i="4" a="1"/>
  <c r="C20" i="4"/>
  <c r="C21" i="4" a="1"/>
  <c r="C21" i="4"/>
  <c r="C22" i="4" a="1"/>
  <c r="C22" i="4"/>
  <c r="C23" i="4" a="1"/>
  <c r="C23" i="4" s="1"/>
  <c r="C24" i="4" a="1"/>
  <c r="C24" i="4"/>
  <c r="C25" i="4" a="1"/>
  <c r="C25" i="4"/>
  <c r="C26" i="4" a="1"/>
  <c r="C26" i="4"/>
  <c r="C27" i="4" a="1"/>
  <c r="C27" i="4" s="1"/>
  <c r="C28" i="4" a="1"/>
  <c r="C28" i="4"/>
  <c r="C29" i="4" a="1"/>
  <c r="C29" i="4"/>
  <c r="C30" i="4" a="1"/>
  <c r="C30" i="4"/>
  <c r="C31" i="4" a="1"/>
  <c r="C31" i="4" s="1"/>
  <c r="C32" i="4" a="1"/>
  <c r="C32" i="4"/>
  <c r="C33" i="4" a="1"/>
  <c r="C33" i="4"/>
  <c r="C34" i="4" a="1"/>
  <c r="C34" i="4"/>
  <c r="C35" i="4" a="1"/>
  <c r="C35" i="4" s="1"/>
  <c r="C36" i="4" a="1"/>
  <c r="C36" i="4"/>
  <c r="C37" i="4" a="1"/>
  <c r="C37" i="4"/>
  <c r="C38" i="4" a="1"/>
  <c r="C38" i="4"/>
  <c r="C39" i="4" a="1"/>
  <c r="C39" i="4" s="1"/>
  <c r="C40" i="4" a="1"/>
  <c r="C40" i="4"/>
  <c r="C41" i="4" a="1"/>
  <c r="C41" i="4"/>
  <c r="C42" i="4" a="1"/>
  <c r="C42" i="4"/>
  <c r="C43" i="4" a="1"/>
  <c r="C43" i="4" s="1"/>
  <c r="C44" i="4" a="1"/>
  <c r="C44" i="4"/>
  <c r="C45" i="4" a="1"/>
  <c r="C45" i="4"/>
  <c r="C46" i="4" a="1"/>
  <c r="C46" i="4"/>
  <c r="C47" i="4" a="1"/>
  <c r="C47" i="4" s="1"/>
  <c r="C48" i="4" a="1"/>
  <c r="C48" i="4"/>
  <c r="C49" i="4" a="1"/>
  <c r="C49" i="4"/>
  <c r="C50" i="4" a="1"/>
  <c r="C50" i="4"/>
  <c r="C51" i="4" a="1"/>
  <c r="C51" i="4" s="1"/>
  <c r="C52" i="4" a="1"/>
  <c r="C52" i="4"/>
  <c r="C53" i="4" a="1"/>
  <c r="C53" i="4"/>
  <c r="C54" i="4" a="1"/>
  <c r="C54" i="4"/>
  <c r="C55" i="4" a="1"/>
  <c r="C55" i="4" s="1"/>
  <c r="C56" i="4" a="1"/>
  <c r="C56" i="4"/>
  <c r="C57" i="4" a="1"/>
  <c r="C57" i="4"/>
  <c r="C58" i="4" a="1"/>
  <c r="C58" i="4"/>
  <c r="C59" i="4" a="1"/>
  <c r="C59" i="4" s="1"/>
  <c r="C60" i="4" a="1"/>
  <c r="C60" i="4"/>
  <c r="C61" i="4" a="1"/>
  <c r="C61" i="4"/>
  <c r="C62" i="4" a="1"/>
  <c r="C62" i="4"/>
  <c r="C63" i="4" a="1"/>
  <c r="C63" i="4" s="1"/>
  <c r="C64" i="4" a="1"/>
  <c r="C64" i="4"/>
  <c r="C65" i="4" a="1"/>
  <c r="C65" i="4"/>
  <c r="C2" i="1" a="1"/>
  <c r="C2" i="1" s="1"/>
  <c r="C2" i="3" a="1"/>
  <c r="C2" i="3" s="1"/>
  <c r="C3" i="3" a="1"/>
  <c r="C3" i="3" s="1"/>
  <c r="C4" i="3" a="1"/>
  <c r="C4" i="3"/>
  <c r="C5" i="3" a="1"/>
  <c r="C5" i="3"/>
  <c r="C6" i="3" a="1"/>
  <c r="C6" i="3"/>
  <c r="C7" i="3" a="1"/>
  <c r="C7" i="3" s="1"/>
  <c r="C8" i="3" a="1"/>
  <c r="C8" i="3"/>
  <c r="C9" i="3" a="1"/>
  <c r="C9" i="3"/>
  <c r="C10" i="3" a="1"/>
  <c r="C10" i="3"/>
  <c r="C11" i="3" a="1"/>
  <c r="C11" i="3" s="1"/>
  <c r="C12" i="3" a="1"/>
  <c r="C12" i="3"/>
  <c r="C13" i="3" a="1"/>
  <c r="C13" i="3"/>
  <c r="C14" i="3" a="1"/>
  <c r="C14" i="3"/>
  <c r="C15" i="3" a="1"/>
  <c r="C15" i="3" s="1"/>
  <c r="C16" i="3" a="1"/>
  <c r="C16" i="3"/>
  <c r="C17" i="3" a="1"/>
  <c r="C17" i="3"/>
  <c r="C18" i="3" a="1"/>
  <c r="C18" i="3"/>
  <c r="C19" i="3" a="1"/>
  <c r="C19" i="3" s="1"/>
  <c r="C20" i="3" a="1"/>
  <c r="C20" i="3"/>
  <c r="C21" i="3" a="1"/>
  <c r="C21" i="3"/>
  <c r="C22" i="3" a="1"/>
  <c r="C22" i="3"/>
  <c r="C23" i="3" a="1"/>
  <c r="C23" i="3" s="1"/>
  <c r="C24" i="3" a="1"/>
  <c r="C24" i="3"/>
  <c r="C25" i="3" a="1"/>
  <c r="C25" i="3"/>
  <c r="C26" i="3" a="1"/>
  <c r="C26" i="3"/>
  <c r="C27" i="3" a="1"/>
  <c r="C27" i="3" s="1"/>
  <c r="C28" i="3" a="1"/>
  <c r="C28" i="3"/>
  <c r="C29" i="3" a="1"/>
  <c r="C29" i="3"/>
  <c r="C30" i="3" a="1"/>
  <c r="C30" i="3" s="1"/>
  <c r="C31" i="3" a="1"/>
  <c r="C31" i="3" s="1"/>
  <c r="C32" i="3" a="1"/>
  <c r="C32" i="3"/>
  <c r="C33" i="3" a="1"/>
  <c r="C33" i="3"/>
  <c r="C34" i="3" a="1"/>
  <c r="C34" i="3"/>
  <c r="C35" i="3" a="1"/>
  <c r="C35" i="3" s="1"/>
  <c r="C36" i="3" a="1"/>
  <c r="C36" i="3"/>
  <c r="C37" i="3" a="1"/>
  <c r="C37" i="3"/>
  <c r="C38" i="3" a="1"/>
  <c r="C38" i="3"/>
  <c r="C39" i="3" a="1"/>
  <c r="C39" i="3" s="1"/>
  <c r="C40" i="3" a="1"/>
  <c r="C40" i="3"/>
  <c r="C41" i="3" a="1"/>
  <c r="C41" i="3"/>
  <c r="C42" i="3" a="1"/>
  <c r="C42" i="3"/>
  <c r="C43" i="3" a="1"/>
  <c r="C43" i="3" s="1"/>
  <c r="C44" i="3" a="1"/>
  <c r="C44" i="3"/>
  <c r="C45" i="3" a="1"/>
  <c r="C45" i="3"/>
  <c r="C46" i="3" a="1"/>
  <c r="C46" i="3"/>
  <c r="C47" i="3" a="1"/>
  <c r="C47" i="3" s="1"/>
  <c r="C48" i="3" a="1"/>
  <c r="C48" i="3"/>
  <c r="C49" i="3" a="1"/>
  <c r="C49" i="3"/>
  <c r="C50" i="3" a="1"/>
  <c r="C50" i="3"/>
  <c r="C51" i="3" a="1"/>
  <c r="C51" i="3" s="1"/>
  <c r="C52" i="3" a="1"/>
  <c r="C52" i="3"/>
  <c r="C53" i="3" a="1"/>
  <c r="C53" i="3"/>
  <c r="C54" i="3" a="1"/>
  <c r="C54" i="3"/>
  <c r="C55" i="3" a="1"/>
  <c r="C55" i="3" s="1"/>
  <c r="C56" i="3" a="1"/>
  <c r="C56" i="3"/>
  <c r="C57" i="3" a="1"/>
  <c r="C57" i="3"/>
  <c r="C58" i="3" a="1"/>
  <c r="C58" i="3"/>
  <c r="C59" i="3" a="1"/>
  <c r="C59" i="3" s="1"/>
  <c r="C60" i="3" a="1"/>
  <c r="C60" i="3"/>
  <c r="C61" i="3" a="1"/>
  <c r="C61" i="3"/>
  <c r="C62" i="3" a="1"/>
  <c r="C62" i="3"/>
  <c r="C63" i="3" a="1"/>
  <c r="C63" i="3" s="1"/>
  <c r="C64" i="3" a="1"/>
  <c r="C64" i="3"/>
  <c r="C65" i="3" a="1"/>
  <c r="C65" i="3"/>
  <c r="C94" i="1" a="1"/>
  <c r="C94" i="1" s="1"/>
  <c r="C2" i="2" a="1"/>
  <c r="C2" i="2" s="1"/>
  <c r="C3" i="2" a="1"/>
  <c r="C3" i="2"/>
  <c r="C4" i="2" a="1"/>
  <c r="C4" i="2"/>
  <c r="C5" i="2" a="1"/>
  <c r="C5" i="2"/>
  <c r="C6" i="2" a="1"/>
  <c r="C6" i="2"/>
  <c r="C7" i="2" a="1"/>
  <c r="C7" i="2" s="1"/>
  <c r="C8" i="2" a="1"/>
  <c r="C8" i="2"/>
  <c r="C9" i="2" a="1"/>
  <c r="C9" i="2"/>
  <c r="C10" i="2" a="1"/>
  <c r="C10" i="2"/>
  <c r="C11" i="2" a="1"/>
  <c r="C11" i="2" s="1"/>
  <c r="C12" i="2" a="1"/>
  <c r="C12" i="2"/>
  <c r="C13" i="2" a="1"/>
  <c r="C13" i="2"/>
  <c r="C14" i="2" a="1"/>
  <c r="C14" i="2"/>
  <c r="C15" i="2" a="1"/>
  <c r="C15" i="2" s="1"/>
  <c r="C16" i="2" a="1"/>
  <c r="C16" i="2"/>
  <c r="C17" i="2" a="1"/>
  <c r="C17" i="2"/>
  <c r="C18" i="2" a="1"/>
  <c r="C18" i="2"/>
  <c r="C19" i="2" a="1"/>
  <c r="C19" i="2" s="1"/>
  <c r="C20" i="2" a="1"/>
  <c r="C20" i="2"/>
  <c r="C21" i="2" a="1"/>
  <c r="C21" i="2"/>
  <c r="C22" i="2" a="1"/>
  <c r="C22" i="2"/>
  <c r="C23" i="2" a="1"/>
  <c r="C23" i="2" s="1"/>
  <c r="C24" i="2" a="1"/>
  <c r="C24" i="2"/>
  <c r="C25" i="2" a="1"/>
  <c r="C25" i="2"/>
  <c r="C26" i="2" a="1"/>
  <c r="C26" i="2"/>
  <c r="C27" i="2" a="1"/>
  <c r="C27" i="2" s="1"/>
  <c r="C28" i="2" a="1"/>
  <c r="C28" i="2"/>
  <c r="C29" i="2" a="1"/>
  <c r="C29" i="2"/>
  <c r="C30" i="2" a="1"/>
  <c r="C30" i="2"/>
  <c r="C31" i="2" a="1"/>
  <c r="C31" i="2" s="1"/>
  <c r="C32" i="2" a="1"/>
  <c r="C32" i="2"/>
  <c r="C33" i="2" a="1"/>
  <c r="C33" i="2"/>
  <c r="C3" i="1" a="1"/>
  <c r="C3" i="1" s="1"/>
  <c r="C4" i="1" a="1"/>
  <c r="C4" i="1" s="1"/>
  <c r="C5" i="1" a="1"/>
  <c r="C5" i="1" s="1"/>
  <c r="C6" i="1" a="1"/>
  <c r="C6" i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/>
  <c r="C15" i="1" a="1"/>
  <c r="C15" i="1" s="1"/>
  <c r="C16" i="1" a="1"/>
  <c r="C16" i="1" s="1"/>
  <c r="C17" i="1" a="1"/>
  <c r="C17" i="1" s="1"/>
  <c r="C18" i="1" a="1"/>
  <c r="C18" i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/>
  <c r="C47" i="1" a="1"/>
  <c r="C47" i="1" s="1"/>
  <c r="C48" i="1" a="1"/>
  <c r="C48" i="1" s="1"/>
  <c r="C49" i="1" a="1"/>
  <c r="C49" i="1" s="1"/>
  <c r="C50" i="1" a="1"/>
  <c r="C50" i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/>
  <c r="C79" i="1" a="1"/>
  <c r="C79" i="1" s="1"/>
  <c r="C80" i="1" a="1"/>
  <c r="C80" i="1" s="1"/>
  <c r="C81" i="1" a="1"/>
  <c r="C81" i="1" s="1"/>
  <c r="C82" i="1" a="1"/>
  <c r="C82" i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/>
  <c r="C91" i="1" a="1"/>
  <c r="C91" i="1" s="1"/>
  <c r="C92" i="1" a="1"/>
  <c r="C92" i="1" s="1"/>
  <c r="C93" i="1" a="1"/>
  <c r="C93" i="1" s="1"/>
  <c r="C95" i="1" a="1"/>
  <c r="C95" i="1" s="1"/>
  <c r="C101" i="1" l="1"/>
  <c r="C102" i="1"/>
  <c r="J31" i="25"/>
  <c r="L22" i="25"/>
  <c r="J22" i="25"/>
  <c r="I22" i="25"/>
  <c r="J26" i="25" s="1"/>
  <c r="F20" i="25"/>
  <c r="D29" i="25" s="1"/>
  <c r="D20" i="25"/>
  <c r="C20" i="25"/>
  <c r="D24" i="25" s="1"/>
  <c r="I26" i="24"/>
  <c r="H26" i="24"/>
  <c r="G26" i="24"/>
  <c r="F26" i="24"/>
  <c r="E26" i="24"/>
  <c r="D26" i="24"/>
  <c r="C26" i="24"/>
  <c r="J21" i="24"/>
  <c r="I20" i="24"/>
  <c r="H20" i="24"/>
  <c r="G20" i="24"/>
  <c r="F20" i="24"/>
  <c r="E20" i="24"/>
  <c r="D20" i="24"/>
  <c r="C20" i="24"/>
  <c r="I19" i="24"/>
  <c r="H19" i="24"/>
  <c r="G19" i="24"/>
  <c r="F19" i="24"/>
  <c r="E19" i="24"/>
  <c r="D19" i="24"/>
  <c r="C19" i="24"/>
  <c r="I18" i="24"/>
  <c r="H18" i="24"/>
  <c r="G18" i="24"/>
  <c r="F18" i="24"/>
  <c r="E18" i="24"/>
  <c r="D18" i="24"/>
  <c r="C18" i="24"/>
  <c r="I9" i="24"/>
  <c r="O8" i="24"/>
  <c r="G8" i="24"/>
  <c r="M7" i="24"/>
  <c r="E7" i="24"/>
  <c r="K6" i="24"/>
  <c r="C6" i="24"/>
  <c r="M3" i="24"/>
  <c r="E3" i="24"/>
  <c r="C2" i="24"/>
  <c r="C127" i="23"/>
  <c r="C125" i="23"/>
  <c r="C130" i="23" s="1"/>
  <c r="C128" i="23" s="1"/>
  <c r="T122" i="23"/>
  <c r="N21" i="24" s="1"/>
  <c r="S122" i="23"/>
  <c r="M21" i="24" s="1"/>
  <c r="R122" i="23"/>
  <c r="L21" i="24" s="1"/>
  <c r="Q122" i="23"/>
  <c r="K21" i="24" s="1"/>
  <c r="P122" i="23"/>
  <c r="O122" i="23"/>
  <c r="I21" i="24" s="1"/>
  <c r="N122" i="23"/>
  <c r="H21" i="24" s="1"/>
  <c r="M122" i="23"/>
  <c r="G21" i="24" s="1"/>
  <c r="L122" i="23"/>
  <c r="F21" i="24" s="1"/>
  <c r="K122" i="23"/>
  <c r="E21" i="24" s="1"/>
  <c r="J122" i="23"/>
  <c r="D21" i="24" s="1"/>
  <c r="I122" i="23"/>
  <c r="C21" i="24" s="1"/>
  <c r="H122" i="23"/>
  <c r="T35" i="22"/>
  <c r="N6" i="24" s="1"/>
  <c r="S35" i="22"/>
  <c r="M6" i="24" s="1"/>
  <c r="R35" i="22"/>
  <c r="L6" i="24" s="1"/>
  <c r="Q35" i="22"/>
  <c r="P35" i="22"/>
  <c r="J6" i="24" s="1"/>
  <c r="O35" i="22"/>
  <c r="I6" i="24" s="1"/>
  <c r="N35" i="22"/>
  <c r="H6" i="24" s="1"/>
  <c r="M35" i="22"/>
  <c r="G6" i="24" s="1"/>
  <c r="L35" i="22"/>
  <c r="F6" i="24" s="1"/>
  <c r="K35" i="22"/>
  <c r="E6" i="24" s="1"/>
  <c r="J35" i="22"/>
  <c r="D6" i="24" s="1"/>
  <c r="I35" i="22"/>
  <c r="H35" i="22"/>
  <c r="F35" i="22"/>
  <c r="E35" i="22"/>
  <c r="D35" i="22"/>
  <c r="O6" i="24" s="1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9" i="22" s="1"/>
  <c r="C3" i="22"/>
  <c r="C2" i="22"/>
  <c r="C37" i="22" s="1"/>
  <c r="C42" i="21"/>
  <c r="T37" i="21"/>
  <c r="N8" i="24" s="1"/>
  <c r="S37" i="21"/>
  <c r="M8" i="24" s="1"/>
  <c r="R37" i="21"/>
  <c r="L8" i="24" s="1"/>
  <c r="Q37" i="21"/>
  <c r="K8" i="24" s="1"/>
  <c r="P37" i="21"/>
  <c r="J8" i="24" s="1"/>
  <c r="O37" i="21"/>
  <c r="I8" i="24" s="1"/>
  <c r="N37" i="21"/>
  <c r="H8" i="24" s="1"/>
  <c r="M37" i="21"/>
  <c r="L37" i="21"/>
  <c r="F8" i="24" s="1"/>
  <c r="K37" i="21"/>
  <c r="E8" i="24" s="1"/>
  <c r="J37" i="21"/>
  <c r="D8" i="24" s="1"/>
  <c r="I37" i="21"/>
  <c r="C8" i="24" s="1"/>
  <c r="H37" i="21"/>
  <c r="F37" i="21"/>
  <c r="E37" i="21"/>
  <c r="D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41" i="21" s="1"/>
  <c r="N4" i="24"/>
  <c r="M4" i="24"/>
  <c r="L4" i="24"/>
  <c r="K4" i="24"/>
  <c r="J4" i="24"/>
  <c r="I4" i="24"/>
  <c r="H4" i="24"/>
  <c r="G4" i="24"/>
  <c r="F4" i="24"/>
  <c r="E4" i="24"/>
  <c r="D4" i="24"/>
  <c r="C4" i="24"/>
  <c r="O4" i="24"/>
  <c r="C10" i="20"/>
  <c r="C9" i="20"/>
  <c r="C8" i="20"/>
  <c r="C7" i="20"/>
  <c r="C6" i="20"/>
  <c r="C5" i="20"/>
  <c r="C4" i="20"/>
  <c r="C3" i="20"/>
  <c r="C2" i="20"/>
  <c r="R28" i="19"/>
  <c r="N5" i="24" s="1"/>
  <c r="Q28" i="19"/>
  <c r="M5" i="24" s="1"/>
  <c r="P28" i="19"/>
  <c r="L5" i="24" s="1"/>
  <c r="O28" i="19"/>
  <c r="K5" i="24" s="1"/>
  <c r="N28" i="19"/>
  <c r="J5" i="24" s="1"/>
  <c r="M28" i="19"/>
  <c r="I5" i="24" s="1"/>
  <c r="L28" i="19"/>
  <c r="H5" i="24" s="1"/>
  <c r="K28" i="19"/>
  <c r="G5" i="24" s="1"/>
  <c r="J28" i="19"/>
  <c r="F5" i="24" s="1"/>
  <c r="I28" i="19"/>
  <c r="E5" i="24" s="1"/>
  <c r="H28" i="19"/>
  <c r="D5" i="24" s="1"/>
  <c r="G28" i="19"/>
  <c r="C5" i="24" s="1"/>
  <c r="S28" i="19"/>
  <c r="F28" i="19"/>
  <c r="E28" i="19"/>
  <c r="D28" i="19"/>
  <c r="O5" i="24" s="1"/>
  <c r="C33" i="19"/>
  <c r="C14" i="18"/>
  <c r="R13" i="17"/>
  <c r="N11" i="24" s="1"/>
  <c r="Q13" i="17"/>
  <c r="M11" i="24" s="1"/>
  <c r="P13" i="17"/>
  <c r="L11" i="24" s="1"/>
  <c r="O13" i="17"/>
  <c r="K11" i="24" s="1"/>
  <c r="N13" i="17"/>
  <c r="J11" i="24" s="1"/>
  <c r="M13" i="17"/>
  <c r="I11" i="24" s="1"/>
  <c r="L13" i="17"/>
  <c r="H11" i="24" s="1"/>
  <c r="K13" i="17"/>
  <c r="G11" i="24" s="1"/>
  <c r="J13" i="17"/>
  <c r="F11" i="24" s="1"/>
  <c r="I13" i="17"/>
  <c r="E11" i="24" s="1"/>
  <c r="H13" i="17"/>
  <c r="D11" i="24" s="1"/>
  <c r="G13" i="17"/>
  <c r="C11" i="24" s="1"/>
  <c r="S13" i="17"/>
  <c r="F13" i="17"/>
  <c r="E13" i="17"/>
  <c r="D13" i="17"/>
  <c r="O11" i="24" s="1"/>
  <c r="C12" i="17"/>
  <c r="C11" i="17"/>
  <c r="C10" i="17"/>
  <c r="C9" i="17"/>
  <c r="C8" i="17"/>
  <c r="C7" i="17"/>
  <c r="C6" i="17"/>
  <c r="C5" i="17"/>
  <c r="C4" i="17"/>
  <c r="C3" i="17"/>
  <c r="C15" i="17" s="1"/>
  <c r="C2" i="17"/>
  <c r="R29" i="16"/>
  <c r="Q29" i="16"/>
  <c r="P29" i="16"/>
  <c r="O29" i="16"/>
  <c r="N29" i="16"/>
  <c r="M29" i="16"/>
  <c r="L29" i="16"/>
  <c r="K29" i="16"/>
  <c r="J29" i="16"/>
  <c r="I29" i="16"/>
  <c r="H29" i="16"/>
  <c r="G29" i="16"/>
  <c r="S29" i="16"/>
  <c r="F29" i="16"/>
  <c r="E29" i="16"/>
  <c r="D29" i="16"/>
  <c r="C35" i="16"/>
  <c r="R30" i="15"/>
  <c r="Q30" i="15"/>
  <c r="P30" i="15"/>
  <c r="O30" i="15"/>
  <c r="N30" i="15"/>
  <c r="M30" i="15"/>
  <c r="L30" i="15"/>
  <c r="K30" i="15"/>
  <c r="J30" i="15"/>
  <c r="I30" i="15"/>
  <c r="H30" i="15"/>
  <c r="G30" i="15"/>
  <c r="S30" i="15"/>
  <c r="F30" i="15"/>
  <c r="E30" i="15"/>
  <c r="D30" i="15"/>
  <c r="C35" i="15"/>
  <c r="C34" i="15"/>
  <c r="R36" i="14"/>
  <c r="Q36" i="14"/>
  <c r="P36" i="14"/>
  <c r="O36" i="14"/>
  <c r="N36" i="14"/>
  <c r="M36" i="14"/>
  <c r="L36" i="14"/>
  <c r="K36" i="14"/>
  <c r="J36" i="14"/>
  <c r="I36" i="14"/>
  <c r="H36" i="14"/>
  <c r="G36" i="14"/>
  <c r="S36" i="14"/>
  <c r="F36" i="14"/>
  <c r="E36" i="14"/>
  <c r="D36" i="14"/>
  <c r="C41" i="14"/>
  <c r="C51" i="13"/>
  <c r="C50" i="13"/>
  <c r="C53" i="13" s="1"/>
  <c r="S66" i="12"/>
  <c r="R66" i="12"/>
  <c r="N7" i="24" s="1"/>
  <c r="Q66" i="12"/>
  <c r="P66" i="12"/>
  <c r="L7" i="24" s="1"/>
  <c r="O66" i="12"/>
  <c r="K7" i="24" s="1"/>
  <c r="N66" i="12"/>
  <c r="J7" i="24" s="1"/>
  <c r="M66" i="12"/>
  <c r="I7" i="24" s="1"/>
  <c r="L66" i="12"/>
  <c r="H7" i="24" s="1"/>
  <c r="K66" i="12"/>
  <c r="G7" i="24" s="1"/>
  <c r="J66" i="12"/>
  <c r="F7" i="24" s="1"/>
  <c r="I66" i="12"/>
  <c r="H66" i="12"/>
  <c r="D7" i="24" s="1"/>
  <c r="G66" i="12"/>
  <c r="C7" i="24" s="1"/>
  <c r="F66" i="12"/>
  <c r="E66" i="12"/>
  <c r="D66" i="12"/>
  <c r="O7" i="24" s="1"/>
  <c r="C71" i="12"/>
  <c r="R39" i="11"/>
  <c r="N9" i="24" s="1"/>
  <c r="Q39" i="11"/>
  <c r="M9" i="24" s="1"/>
  <c r="P39" i="11"/>
  <c r="L9" i="24" s="1"/>
  <c r="O39" i="11"/>
  <c r="K9" i="24" s="1"/>
  <c r="N39" i="11"/>
  <c r="J9" i="24" s="1"/>
  <c r="M39" i="11"/>
  <c r="L39" i="11"/>
  <c r="H9" i="24" s="1"/>
  <c r="K39" i="11"/>
  <c r="G9" i="24" s="1"/>
  <c r="J39" i="11"/>
  <c r="F9" i="24" s="1"/>
  <c r="I39" i="11"/>
  <c r="E9" i="24" s="1"/>
  <c r="H39" i="11"/>
  <c r="D9" i="24" s="1"/>
  <c r="G39" i="11"/>
  <c r="C9" i="24" s="1"/>
  <c r="S39" i="11"/>
  <c r="F39" i="11"/>
  <c r="E39" i="11"/>
  <c r="D39" i="11"/>
  <c r="O9" i="24" s="1"/>
  <c r="C39" i="11"/>
  <c r="C44" i="11"/>
  <c r="R30" i="10"/>
  <c r="N10" i="24" s="1"/>
  <c r="Q30" i="10"/>
  <c r="M10" i="24" s="1"/>
  <c r="P30" i="10"/>
  <c r="L10" i="24" s="1"/>
  <c r="O30" i="10"/>
  <c r="K10" i="24" s="1"/>
  <c r="N30" i="10"/>
  <c r="J10" i="24" s="1"/>
  <c r="M30" i="10"/>
  <c r="I10" i="24" s="1"/>
  <c r="L30" i="10"/>
  <c r="H10" i="24" s="1"/>
  <c r="K30" i="10"/>
  <c r="G10" i="24" s="1"/>
  <c r="J30" i="10"/>
  <c r="F10" i="24" s="1"/>
  <c r="I30" i="10"/>
  <c r="E10" i="24" s="1"/>
  <c r="H30" i="10"/>
  <c r="D10" i="24" s="1"/>
  <c r="G30" i="10"/>
  <c r="C10" i="24" s="1"/>
  <c r="S30" i="10"/>
  <c r="F30" i="10"/>
  <c r="E30" i="10"/>
  <c r="D30" i="10"/>
  <c r="O10" i="24" s="1"/>
  <c r="R44" i="9"/>
  <c r="N16" i="24" s="1"/>
  <c r="Q44" i="9"/>
  <c r="M16" i="24" s="1"/>
  <c r="P44" i="9"/>
  <c r="L16" i="24" s="1"/>
  <c r="O44" i="9"/>
  <c r="K16" i="24" s="1"/>
  <c r="N44" i="9"/>
  <c r="J16" i="24" s="1"/>
  <c r="M44" i="9"/>
  <c r="I16" i="24" s="1"/>
  <c r="L44" i="9"/>
  <c r="H16" i="24" s="1"/>
  <c r="K44" i="9"/>
  <c r="G16" i="24" s="1"/>
  <c r="J44" i="9"/>
  <c r="F16" i="24" s="1"/>
  <c r="I44" i="9"/>
  <c r="E16" i="24" s="1"/>
  <c r="H44" i="9"/>
  <c r="D16" i="24" s="1"/>
  <c r="G44" i="9"/>
  <c r="C16" i="24" s="1"/>
  <c r="S44" i="9"/>
  <c r="F44" i="9"/>
  <c r="E44" i="9"/>
  <c r="D44" i="9"/>
  <c r="O16" i="24" s="1"/>
  <c r="R45" i="8"/>
  <c r="N17" i="24" s="1"/>
  <c r="Q45" i="8"/>
  <c r="M17" i="24" s="1"/>
  <c r="P45" i="8"/>
  <c r="L17" i="24" s="1"/>
  <c r="O45" i="8"/>
  <c r="K17" i="24" s="1"/>
  <c r="N45" i="8"/>
  <c r="J17" i="24" s="1"/>
  <c r="M45" i="8"/>
  <c r="I17" i="24" s="1"/>
  <c r="L45" i="8"/>
  <c r="H17" i="24" s="1"/>
  <c r="K45" i="8"/>
  <c r="G17" i="24" s="1"/>
  <c r="J45" i="8"/>
  <c r="F17" i="24" s="1"/>
  <c r="I45" i="8"/>
  <c r="E17" i="24" s="1"/>
  <c r="H45" i="8"/>
  <c r="D17" i="24" s="1"/>
  <c r="G45" i="8"/>
  <c r="C17" i="24" s="1"/>
  <c r="S45" i="8"/>
  <c r="F45" i="8"/>
  <c r="E45" i="8"/>
  <c r="D45" i="8"/>
  <c r="R15" i="7"/>
  <c r="N13" i="24" s="1"/>
  <c r="Q15" i="7"/>
  <c r="M13" i="24" s="1"/>
  <c r="P15" i="7"/>
  <c r="L13" i="24" s="1"/>
  <c r="O15" i="7"/>
  <c r="K13" i="24" s="1"/>
  <c r="N15" i="7"/>
  <c r="J13" i="24" s="1"/>
  <c r="M15" i="7"/>
  <c r="L15" i="7"/>
  <c r="K15" i="7"/>
  <c r="J15" i="7"/>
  <c r="I15" i="7"/>
  <c r="H15" i="7"/>
  <c r="G15" i="7"/>
  <c r="S15" i="7"/>
  <c r="F15" i="7"/>
  <c r="E15" i="7"/>
  <c r="D15" i="7"/>
  <c r="R19" i="6"/>
  <c r="N12" i="24" s="1"/>
  <c r="Q19" i="6"/>
  <c r="M12" i="24" s="1"/>
  <c r="P19" i="6"/>
  <c r="L12" i="24" s="1"/>
  <c r="O19" i="6"/>
  <c r="K12" i="24" s="1"/>
  <c r="N19" i="6"/>
  <c r="J12" i="24" s="1"/>
  <c r="M19" i="6"/>
  <c r="I12" i="24" s="1"/>
  <c r="L19" i="6"/>
  <c r="H12" i="24" s="1"/>
  <c r="K19" i="6"/>
  <c r="G12" i="24" s="1"/>
  <c r="J19" i="6"/>
  <c r="F12" i="24" s="1"/>
  <c r="I19" i="6"/>
  <c r="E12" i="24" s="1"/>
  <c r="H19" i="6"/>
  <c r="D12" i="24" s="1"/>
  <c r="G19" i="6"/>
  <c r="C12" i="24" s="1"/>
  <c r="S19" i="6"/>
  <c r="F19" i="6"/>
  <c r="E19" i="6"/>
  <c r="D19" i="6"/>
  <c r="O12" i="24" s="1"/>
  <c r="C24" i="6"/>
  <c r="R16" i="5"/>
  <c r="Q16" i="5"/>
  <c r="P16" i="5"/>
  <c r="O16" i="5"/>
  <c r="N16" i="5"/>
  <c r="M16" i="5"/>
  <c r="L16" i="5"/>
  <c r="K16" i="5"/>
  <c r="J16" i="5"/>
  <c r="I16" i="5"/>
  <c r="H16" i="5"/>
  <c r="G16" i="5"/>
  <c r="S16" i="5"/>
  <c r="F16" i="5"/>
  <c r="E16" i="5"/>
  <c r="D16" i="5"/>
  <c r="C21" i="5"/>
  <c r="R66" i="4"/>
  <c r="N14" i="24" s="1"/>
  <c r="Q66" i="4"/>
  <c r="M14" i="24" s="1"/>
  <c r="P66" i="4"/>
  <c r="L14" i="24" s="1"/>
  <c r="O66" i="4"/>
  <c r="K14" i="24" s="1"/>
  <c r="N66" i="4"/>
  <c r="J14" i="24" s="1"/>
  <c r="M66" i="4"/>
  <c r="I14" i="24" s="1"/>
  <c r="L66" i="4"/>
  <c r="H14" i="24" s="1"/>
  <c r="K66" i="4"/>
  <c r="G14" i="24" s="1"/>
  <c r="J66" i="4"/>
  <c r="F14" i="24" s="1"/>
  <c r="I66" i="4"/>
  <c r="E14" i="24" s="1"/>
  <c r="H66" i="4"/>
  <c r="D14" i="24" s="1"/>
  <c r="G66" i="4"/>
  <c r="C14" i="24" s="1"/>
  <c r="S66" i="4"/>
  <c r="F66" i="4"/>
  <c r="E66" i="4"/>
  <c r="D66" i="4"/>
  <c r="O14" i="24" s="1"/>
  <c r="C71" i="4"/>
  <c r="C70" i="4"/>
  <c r="R66" i="3"/>
  <c r="N15" i="24" s="1"/>
  <c r="Q66" i="3"/>
  <c r="M15" i="24" s="1"/>
  <c r="P66" i="3"/>
  <c r="L15" i="24" s="1"/>
  <c r="O66" i="3"/>
  <c r="K15" i="24" s="1"/>
  <c r="N66" i="3"/>
  <c r="J15" i="24" s="1"/>
  <c r="M66" i="3"/>
  <c r="I15" i="24" s="1"/>
  <c r="L66" i="3"/>
  <c r="H15" i="24" s="1"/>
  <c r="K66" i="3"/>
  <c r="G15" i="24" s="1"/>
  <c r="J66" i="3"/>
  <c r="F15" i="24" s="1"/>
  <c r="I66" i="3"/>
  <c r="E15" i="24" s="1"/>
  <c r="H66" i="3"/>
  <c r="D15" i="24" s="1"/>
  <c r="G66" i="3"/>
  <c r="C15" i="24" s="1"/>
  <c r="S66" i="3"/>
  <c r="F66" i="3"/>
  <c r="E66" i="3"/>
  <c r="D66" i="3"/>
  <c r="O15" i="24" s="1"/>
  <c r="S34" i="2"/>
  <c r="R34" i="2"/>
  <c r="N3" i="24" s="1"/>
  <c r="Q34" i="2"/>
  <c r="P34" i="2"/>
  <c r="L3" i="24" s="1"/>
  <c r="O34" i="2"/>
  <c r="K3" i="24" s="1"/>
  <c r="N34" i="2"/>
  <c r="J3" i="24" s="1"/>
  <c r="M34" i="2"/>
  <c r="I3" i="24" s="1"/>
  <c r="L34" i="2"/>
  <c r="H3" i="24" s="1"/>
  <c r="K34" i="2"/>
  <c r="G3" i="24" s="1"/>
  <c r="J34" i="2"/>
  <c r="F3" i="24" s="1"/>
  <c r="I34" i="2"/>
  <c r="H34" i="2"/>
  <c r="D3" i="24" s="1"/>
  <c r="G34" i="2"/>
  <c r="C3" i="24" s="1"/>
  <c r="F34" i="2"/>
  <c r="E34" i="2"/>
  <c r="D34" i="2"/>
  <c r="O3" i="24" s="1"/>
  <c r="C39" i="2"/>
  <c r="C38" i="2"/>
  <c r="S96" i="1"/>
  <c r="R96" i="1"/>
  <c r="N2" i="24" s="1"/>
  <c r="Q96" i="1"/>
  <c r="M2" i="24" s="1"/>
  <c r="P96" i="1"/>
  <c r="L2" i="24" s="1"/>
  <c r="O96" i="1"/>
  <c r="K2" i="24" s="1"/>
  <c r="N96" i="1"/>
  <c r="J2" i="24" s="1"/>
  <c r="M96" i="1"/>
  <c r="I2" i="24" s="1"/>
  <c r="L96" i="1"/>
  <c r="H2" i="24" s="1"/>
  <c r="K96" i="1"/>
  <c r="G2" i="24" s="1"/>
  <c r="J96" i="1"/>
  <c r="F2" i="24" s="1"/>
  <c r="I96" i="1"/>
  <c r="E2" i="24" s="1"/>
  <c r="H96" i="1"/>
  <c r="D2" i="24" s="1"/>
  <c r="G96" i="1"/>
  <c r="F96" i="1"/>
  <c r="E96" i="1"/>
  <c r="D96" i="1"/>
  <c r="O2" i="24" s="1"/>
  <c r="C15" i="20" l="1"/>
  <c r="P4" i="24" s="1"/>
  <c r="C16" i="20"/>
  <c r="C18" i="20" s="1"/>
  <c r="D27" i="24"/>
  <c r="L27" i="24"/>
  <c r="J27" i="24"/>
  <c r="D30" i="25" s="1"/>
  <c r="D31" i="25" s="1"/>
  <c r="C18" i="17"/>
  <c r="C37" i="15"/>
  <c r="C49" i="9"/>
  <c r="P16" i="24" s="1"/>
  <c r="C47" i="9"/>
  <c r="C50" i="9"/>
  <c r="C50" i="8"/>
  <c r="C53" i="8" s="1"/>
  <c r="C48" i="8"/>
  <c r="C51" i="8"/>
  <c r="C20" i="7"/>
  <c r="C17" i="7"/>
  <c r="C19" i="7"/>
  <c r="C22" i="7" s="1"/>
  <c r="C18" i="5"/>
  <c r="O22" i="24"/>
  <c r="L26" i="24"/>
  <c r="C71" i="3"/>
  <c r="H29" i="24"/>
  <c r="H25" i="24"/>
  <c r="H28" i="24" s="1"/>
  <c r="M26" i="24"/>
  <c r="P8" i="24"/>
  <c r="C44" i="21"/>
  <c r="E27" i="24"/>
  <c r="M27" i="24"/>
  <c r="J29" i="24"/>
  <c r="J25" i="24"/>
  <c r="J22" i="24"/>
  <c r="N26" i="24"/>
  <c r="F27" i="24"/>
  <c r="N27" i="24"/>
  <c r="P3" i="24"/>
  <c r="C41" i="2"/>
  <c r="D37" i="25"/>
  <c r="L29" i="24"/>
  <c r="L25" i="24"/>
  <c r="L22" i="24"/>
  <c r="G27" i="24"/>
  <c r="I29" i="24"/>
  <c r="I25" i="24"/>
  <c r="I28" i="24" s="1"/>
  <c r="I22" i="24"/>
  <c r="D29" i="24"/>
  <c r="D25" i="24"/>
  <c r="D28" i="24" s="1"/>
  <c r="E29" i="24"/>
  <c r="E25" i="24"/>
  <c r="E28" i="24" s="1"/>
  <c r="M22" i="24"/>
  <c r="M29" i="24"/>
  <c r="M25" i="24"/>
  <c r="H27" i="24"/>
  <c r="I27" i="24"/>
  <c r="C29" i="24"/>
  <c r="F29" i="24"/>
  <c r="F25" i="24"/>
  <c r="F28" i="24" s="1"/>
  <c r="N22" i="24"/>
  <c r="N29" i="24"/>
  <c r="N25" i="24"/>
  <c r="G29" i="24"/>
  <c r="G25" i="24"/>
  <c r="G28" i="24" s="1"/>
  <c r="J26" i="24"/>
  <c r="D25" i="25" s="1"/>
  <c r="D26" i="25" s="1"/>
  <c r="K22" i="24"/>
  <c r="P14" i="24"/>
  <c r="C73" i="4"/>
  <c r="K26" i="24"/>
  <c r="J27" i="25" s="1"/>
  <c r="J28" i="25" s="1"/>
  <c r="P6" i="24"/>
  <c r="C27" i="24"/>
  <c r="K27" i="24"/>
  <c r="J32" i="25" s="1"/>
  <c r="J33" i="25" s="1"/>
  <c r="C21" i="6"/>
  <c r="C41" i="11"/>
  <c r="C40" i="22"/>
  <c r="C42" i="22" s="1"/>
  <c r="C25" i="24"/>
  <c r="C28" i="24" s="1"/>
  <c r="K25" i="24"/>
  <c r="K29" i="24"/>
  <c r="C36" i="2"/>
  <c r="C68" i="4"/>
  <c r="C23" i="6"/>
  <c r="C43" i="11"/>
  <c r="C39" i="21"/>
  <c r="C13" i="20"/>
  <c r="C20" i="5"/>
  <c r="C23" i="5" s="1"/>
  <c r="C68" i="12"/>
  <c r="C32" i="16"/>
  <c r="C17" i="17"/>
  <c r="C98" i="1"/>
  <c r="C68" i="3"/>
  <c r="C70" i="12"/>
  <c r="C38" i="14"/>
  <c r="C32" i="15"/>
  <c r="C34" i="16"/>
  <c r="C37" i="16" s="1"/>
  <c r="C30" i="19"/>
  <c r="C100" i="1"/>
  <c r="C103" i="1" s="1"/>
  <c r="C70" i="3"/>
  <c r="C40" i="14"/>
  <c r="C43" i="14" s="1"/>
  <c r="C32" i="19"/>
  <c r="C52" i="9" l="1"/>
  <c r="K28" i="24"/>
  <c r="N28" i="24"/>
  <c r="L28" i="24"/>
  <c r="M28" i="24"/>
  <c r="P5" i="24"/>
  <c r="C35" i="19"/>
  <c r="C46" i="11"/>
  <c r="P9" i="24"/>
  <c r="P12" i="24"/>
  <c r="C26" i="6"/>
  <c r="P2" i="24"/>
  <c r="P11" i="24"/>
  <c r="C20" i="17"/>
  <c r="C73" i="12"/>
  <c r="P7" i="24"/>
  <c r="P15" i="24"/>
  <c r="C73" i="3"/>
  <c r="D35" i="25"/>
  <c r="J28" i="24"/>
  <c r="C35" i="10"/>
  <c r="C36" i="10"/>
  <c r="C33" i="10"/>
  <c r="C38" i="10" l="1"/>
  <c r="P10" i="24"/>
  <c r="P22" i="2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<sst xmlns="http://schemas.openxmlformats.org/spreadsheetml/2006/main" count="4175" uniqueCount="2404">
  <si>
    <t>S.NO</t>
  </si>
  <si>
    <t>Customer Name</t>
  </si>
  <si>
    <t>PAID</t>
  </si>
  <si>
    <t>Package</t>
  </si>
  <si>
    <t>Box No</t>
  </si>
  <si>
    <t>CAF_ID</t>
  </si>
  <si>
    <t>JANUARY</t>
  </si>
  <si>
    <t>FEBEUARY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</si>
  <si>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</si>
  <si>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</si>
  <si>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</si>
  <si>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</si>
  <si>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</si>
  <si>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</si>
  <si>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</si>
  <si>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</si>
  <si>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</si>
  <si>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</si>
  <si>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BALANCE</t>
  </si>
  <si>
    <t>COMMENTS</t>
  </si>
  <si>
    <t>Shivan</t>
  </si>
  <si>
    <t>BST 200, DIGICON TAMIL MAXX</t>
  </si>
  <si>
    <t>0300847198</t>
  </si>
  <si>
    <t>105531</t>
  </si>
  <si>
    <t>Ambika</t>
  </si>
  <si>
    <t>DIGICON TAMIL MAXX, BST 200</t>
  </si>
  <si>
    <t>0300686709</t>
  </si>
  <si>
    <t>186869</t>
  </si>
  <si>
    <t>Subramaniyan</t>
  </si>
  <si>
    <t>0300847115</t>
  </si>
  <si>
    <t>30504</t>
  </si>
  <si>
    <t>Anggappan</t>
  </si>
  <si>
    <t>0300847152</t>
  </si>
  <si>
    <t>30508</t>
  </si>
  <si>
    <t>Raji</t>
  </si>
  <si>
    <t>BST 200, DIGICON PACKAGE 4</t>
  </si>
  <si>
    <t>0300556571</t>
  </si>
  <si>
    <t>178445</t>
  </si>
  <si>
    <t>Rajagopalan</t>
  </si>
  <si>
    <t>0300820052</t>
  </si>
  <si>
    <t>64314</t>
  </si>
  <si>
    <t>Kumar</t>
  </si>
  <si>
    <t>0300847123</t>
  </si>
  <si>
    <t>86610</t>
  </si>
  <si>
    <t>Lakshmi</t>
  </si>
  <si>
    <t>BST 200, DIGICON PACKAGE 1</t>
  </si>
  <si>
    <t>0300847093</t>
  </si>
  <si>
    <t>83020</t>
  </si>
  <si>
    <t>veerammal</t>
  </si>
  <si>
    <t>0300820087</t>
  </si>
  <si>
    <t>62162</t>
  </si>
  <si>
    <t>Tulasi</t>
  </si>
  <si>
    <t>0300686713</t>
  </si>
  <si>
    <t>188644</t>
  </si>
  <si>
    <t>Mani</t>
  </si>
  <si>
    <t>0300820039</t>
  </si>
  <si>
    <t>100593</t>
  </si>
  <si>
    <t>Vijiyan</t>
  </si>
  <si>
    <t>0300847097</t>
  </si>
  <si>
    <t>83856</t>
  </si>
  <si>
    <t>Venkatesh</t>
  </si>
  <si>
    <t>0300847082</t>
  </si>
  <si>
    <t>83022</t>
  </si>
  <si>
    <t>Kaveri</t>
  </si>
  <si>
    <t>0300820086</t>
  </si>
  <si>
    <t>62171</t>
  </si>
  <si>
    <t>kavitha</t>
  </si>
  <si>
    <t>0300847027</t>
  </si>
  <si>
    <t>75394</t>
  </si>
  <si>
    <t>0300820017</t>
  </si>
  <si>
    <t>77425</t>
  </si>
  <si>
    <t>Darman</t>
  </si>
  <si>
    <t>0300847031</t>
  </si>
  <si>
    <t>77415</t>
  </si>
  <si>
    <t>Saravana perumal</t>
  </si>
  <si>
    <t>0300820027</t>
  </si>
  <si>
    <t>185856</t>
  </si>
  <si>
    <t>Gowri</t>
  </si>
  <si>
    <t>DIGICON PACKAGE 4, BST 200</t>
  </si>
  <si>
    <t>0300686675</t>
  </si>
  <si>
    <t>184284</t>
  </si>
  <si>
    <t>not yet</t>
  </si>
  <si>
    <t>Saandhakumari</t>
  </si>
  <si>
    <t>0300847157</t>
  </si>
  <si>
    <t>182695</t>
  </si>
  <si>
    <t>Sugandheerah</t>
  </si>
  <si>
    <t>0300686692</t>
  </si>
  <si>
    <t>186864</t>
  </si>
  <si>
    <t>Nagarani</t>
  </si>
  <si>
    <t>0300686708</t>
  </si>
  <si>
    <t>186884</t>
  </si>
  <si>
    <t>Rasathi</t>
  </si>
  <si>
    <t>0300686716</t>
  </si>
  <si>
    <t>186896</t>
  </si>
  <si>
    <t>Vasandhi</t>
  </si>
  <si>
    <t>0300686668</t>
  </si>
  <si>
    <t>183759</t>
  </si>
  <si>
    <t>Sanmugam</t>
  </si>
  <si>
    <t>8136404371010855</t>
  </si>
  <si>
    <t>117455</t>
  </si>
  <si>
    <t>Maarimuthu</t>
  </si>
  <si>
    <t>0300686697</t>
  </si>
  <si>
    <t>185854</t>
  </si>
  <si>
    <t>Sivakumar</t>
  </si>
  <si>
    <t>0300847156</t>
  </si>
  <si>
    <t>135936</t>
  </si>
  <si>
    <t>Sathish kumar</t>
  </si>
  <si>
    <t>0300882140</t>
  </si>
  <si>
    <t>197762</t>
  </si>
  <si>
    <t>Rukkhu</t>
  </si>
  <si>
    <t>0300686705</t>
  </si>
  <si>
    <t>186841</t>
  </si>
  <si>
    <t>0200392176</t>
  </si>
  <si>
    <t>53205</t>
  </si>
  <si>
    <t>Thanjammal</t>
  </si>
  <si>
    <t>0300847168</t>
  </si>
  <si>
    <t>87904</t>
  </si>
  <si>
    <t>Selvi</t>
  </si>
  <si>
    <t>0300847124</t>
  </si>
  <si>
    <t>87896</t>
  </si>
  <si>
    <t>Krishnan</t>
  </si>
  <si>
    <t>0300676248</t>
  </si>
  <si>
    <t>182772</t>
  </si>
  <si>
    <t>Pachamuthu</t>
  </si>
  <si>
    <t>8200004418109404</t>
  </si>
  <si>
    <t>Vadivel</t>
  </si>
  <si>
    <t>8136404371010210</t>
  </si>
  <si>
    <t>115135</t>
  </si>
  <si>
    <t>Rajaamani</t>
  </si>
  <si>
    <t>0300847036</t>
  </si>
  <si>
    <t>77701</t>
  </si>
  <si>
    <t>Balasubramani</t>
  </si>
  <si>
    <t>0300741657</t>
  </si>
  <si>
    <t>46891</t>
  </si>
  <si>
    <t>Ramachandiran</t>
  </si>
  <si>
    <t>0300741651</t>
  </si>
  <si>
    <t>46876</t>
  </si>
  <si>
    <t>2m once</t>
  </si>
  <si>
    <t>Murugan</t>
  </si>
  <si>
    <t>0300741650</t>
  </si>
  <si>
    <t>46878</t>
  </si>
  <si>
    <t>DIGICON TAMIL MINI PACK</t>
  </si>
  <si>
    <t>8200004418109529</t>
  </si>
  <si>
    <t>144842</t>
  </si>
  <si>
    <t>Rangan</t>
  </si>
  <si>
    <t>0300820059</t>
  </si>
  <si>
    <t>68205</t>
  </si>
  <si>
    <t>saala</t>
  </si>
  <si>
    <t>8200004418109107</t>
  </si>
  <si>
    <t>115142</t>
  </si>
  <si>
    <t>Ganesan</t>
  </si>
  <si>
    <t>0300802648</t>
  </si>
  <si>
    <t>250801</t>
  </si>
  <si>
    <t>Gokul</t>
  </si>
  <si>
    <t>0300741655</t>
  </si>
  <si>
    <t>46900</t>
  </si>
  <si>
    <t>Sakthivel</t>
  </si>
  <si>
    <t>0300847142</t>
  </si>
  <si>
    <t>135325</t>
  </si>
  <si>
    <t>Parthiban</t>
  </si>
  <si>
    <t>0300847178</t>
  </si>
  <si>
    <t>87892</t>
  </si>
  <si>
    <t>0300847094</t>
  </si>
  <si>
    <t>83018</t>
  </si>
  <si>
    <t>Chitra</t>
  </si>
  <si>
    <t>0300747505</t>
  </si>
  <si>
    <t>191520</t>
  </si>
  <si>
    <t>Gopikrishnan</t>
  </si>
  <si>
    <t>8136404371011127</t>
  </si>
  <si>
    <t>119193</t>
  </si>
  <si>
    <t>Jayaraman</t>
  </si>
  <si>
    <t>0300747512</t>
  </si>
  <si>
    <t>192601</t>
  </si>
  <si>
    <t>Madhaiyan</t>
  </si>
  <si>
    <t>0300820091</t>
  </si>
  <si>
    <t>62154</t>
  </si>
  <si>
    <t>Santhosh kumar</t>
  </si>
  <si>
    <t>0301296537</t>
  </si>
  <si>
    <t>63453</t>
  </si>
  <si>
    <t>Nandhini</t>
  </si>
  <si>
    <t>0300847072</t>
  </si>
  <si>
    <t>78161</t>
  </si>
  <si>
    <t>Lakshman</t>
  </si>
  <si>
    <t>25818250021694</t>
  </si>
  <si>
    <t>217679</t>
  </si>
  <si>
    <t>Ysodha</t>
  </si>
  <si>
    <t>0400050704</t>
  </si>
  <si>
    <t>215527</t>
  </si>
  <si>
    <t>Tunmadhi</t>
  </si>
  <si>
    <t>8006064608179860</t>
  </si>
  <si>
    <t>216817</t>
  </si>
  <si>
    <t>8006064608179738</t>
  </si>
  <si>
    <t>233001</t>
  </si>
  <si>
    <t>kala</t>
  </si>
  <si>
    <t>0300802651</t>
  </si>
  <si>
    <t>247371</t>
  </si>
  <si>
    <t>Rathna</t>
  </si>
  <si>
    <t>0300546839</t>
  </si>
  <si>
    <t>241973</t>
  </si>
  <si>
    <t>8006064608179449</t>
  </si>
  <si>
    <t>230208</t>
  </si>
  <si>
    <t>0300591540</t>
  </si>
  <si>
    <t>174541</t>
  </si>
  <si>
    <t>Kuppan</t>
  </si>
  <si>
    <t>25818250098015</t>
  </si>
  <si>
    <t>228768</t>
  </si>
  <si>
    <t>Kuppammal</t>
  </si>
  <si>
    <t>25818250054539</t>
  </si>
  <si>
    <t>230880</t>
  </si>
  <si>
    <t>Amudha</t>
  </si>
  <si>
    <t>0300546832</t>
  </si>
  <si>
    <t>241974</t>
  </si>
  <si>
    <t>Periyapaappa</t>
  </si>
  <si>
    <t>8006064608179258</t>
  </si>
  <si>
    <t>228769</t>
  </si>
  <si>
    <t>Mullaiyaraci</t>
  </si>
  <si>
    <t>0300820084</t>
  </si>
  <si>
    <t>63215</t>
  </si>
  <si>
    <t>Bhuvaneshwarman</t>
  </si>
  <si>
    <t>8200004399991200</t>
  </si>
  <si>
    <t>293854</t>
  </si>
  <si>
    <t>Chinnasaami</t>
  </si>
  <si>
    <t>8200004399991416</t>
  </si>
  <si>
    <t>286080</t>
  </si>
  <si>
    <t>murugan ws</t>
  </si>
  <si>
    <t>25818250021827</t>
  </si>
  <si>
    <t>237126</t>
  </si>
  <si>
    <t>Dhurai</t>
  </si>
  <si>
    <t>25818250098064</t>
  </si>
  <si>
    <t>230205</t>
  </si>
  <si>
    <t>Surendhiran</t>
  </si>
  <si>
    <t>8200004399991788</t>
  </si>
  <si>
    <t>286075</t>
  </si>
  <si>
    <t>Arumugam</t>
  </si>
  <si>
    <t>0300741636</t>
  </si>
  <si>
    <t>39821</t>
  </si>
  <si>
    <t>Govinden</t>
  </si>
  <si>
    <t>0300438945</t>
  </si>
  <si>
    <t>241976</t>
  </si>
  <si>
    <t>0301296525</t>
  </si>
  <si>
    <t>66531</t>
  </si>
  <si>
    <t>Murugan Aasiriiyer</t>
  </si>
  <si>
    <t>DIGICON PACKAGE 1, BST 200</t>
  </si>
  <si>
    <t>0300847024</t>
  </si>
  <si>
    <t>77414</t>
  </si>
  <si>
    <t>Saravanen</t>
  </si>
  <si>
    <t>8200004418097534</t>
  </si>
  <si>
    <t>289237</t>
  </si>
  <si>
    <t>home 200</t>
  </si>
  <si>
    <t>Dhurai raj</t>
  </si>
  <si>
    <t>25818250021850</t>
  </si>
  <si>
    <t>216861</t>
  </si>
  <si>
    <t>Thirunavukkarasu</t>
  </si>
  <si>
    <t>0300820075</t>
  </si>
  <si>
    <t>62938</t>
  </si>
  <si>
    <t>Shanmugam</t>
  </si>
  <si>
    <t>0300847047</t>
  </si>
  <si>
    <t>77421</t>
  </si>
  <si>
    <t>molagakarar</t>
  </si>
  <si>
    <t>Ravi</t>
  </si>
  <si>
    <t>0300847125</t>
  </si>
  <si>
    <t>106519</t>
  </si>
  <si>
    <t>Periyasaami</t>
  </si>
  <si>
    <t>8006064608179209</t>
  </si>
  <si>
    <t>228235</t>
  </si>
  <si>
    <t>Murugan Mesthiri</t>
  </si>
  <si>
    <t>8136404371011143</t>
  </si>
  <si>
    <t>118379</t>
  </si>
  <si>
    <t>Munnusamy</t>
  </si>
  <si>
    <t>0300686711</t>
  </si>
  <si>
    <t>186904</t>
  </si>
  <si>
    <t>Balu</t>
  </si>
  <si>
    <t>8006064608180082</t>
  </si>
  <si>
    <t>236733</t>
  </si>
  <si>
    <t>0300710827</t>
  </si>
  <si>
    <t>314258</t>
  </si>
  <si>
    <t>murugan vasam</t>
  </si>
  <si>
    <t>Murugesan L.I.C</t>
  </si>
  <si>
    <t>0300741647</t>
  </si>
  <si>
    <t>44549</t>
  </si>
  <si>
    <t>Moorthi</t>
  </si>
  <si>
    <t>8006064608179670</t>
  </si>
  <si>
    <t>218069</t>
  </si>
  <si>
    <t>Sabari Rani</t>
  </si>
  <si>
    <t>0300741689</t>
  </si>
  <si>
    <t>46939</t>
  </si>
  <si>
    <t>0300686693</t>
  </si>
  <si>
    <t>188660</t>
  </si>
  <si>
    <t>Saloon Muniyappan</t>
  </si>
  <si>
    <t>0300847184</t>
  </si>
  <si>
    <t>95959</t>
  </si>
  <si>
    <t>home</t>
  </si>
  <si>
    <t>Senthil</t>
  </si>
  <si>
    <t>8006064608179480</t>
  </si>
  <si>
    <t>230509</t>
  </si>
  <si>
    <t>Perumal</t>
  </si>
  <si>
    <t>8200004399991317</t>
  </si>
  <si>
    <t>286551</t>
  </si>
  <si>
    <t>Total</t>
  </si>
  <si>
    <t>TOTAL</t>
  </si>
  <si>
    <t>TOTAL - P</t>
  </si>
  <si>
    <t>TOTAL - NP</t>
  </si>
  <si>
    <t>TOTAL ACTIVE</t>
  </si>
  <si>
    <t>Magesh</t>
  </si>
  <si>
    <t>0300741632</t>
  </si>
  <si>
    <t>39659</t>
  </si>
  <si>
    <t>Ram murthi</t>
  </si>
  <si>
    <t>0300847103</t>
  </si>
  <si>
    <t>84413</t>
  </si>
  <si>
    <t>Sivam</t>
  </si>
  <si>
    <t>0300847153</t>
  </si>
  <si>
    <t>135937</t>
  </si>
  <si>
    <t>Saravanan</t>
  </si>
  <si>
    <t>0300481585</t>
  </si>
  <si>
    <t>245285</t>
  </si>
  <si>
    <t>Aravindh</t>
  </si>
  <si>
    <t>0301296524</t>
  </si>
  <si>
    <t>51116</t>
  </si>
  <si>
    <t>Ramasamy</t>
  </si>
  <si>
    <t>0300820028</t>
  </si>
  <si>
    <t>47519</t>
  </si>
  <si>
    <t>asok</t>
  </si>
  <si>
    <t>0300820058</t>
  </si>
  <si>
    <t>63433</t>
  </si>
  <si>
    <t>Murugan.M</t>
  </si>
  <si>
    <t>0300847113</t>
  </si>
  <si>
    <t>83622</t>
  </si>
  <si>
    <t>0301296515</t>
  </si>
  <si>
    <t>199804</t>
  </si>
  <si>
    <t>Ramasamy Deepa</t>
  </si>
  <si>
    <t>0300741678</t>
  </si>
  <si>
    <t>46788</t>
  </si>
  <si>
    <t>Sivalingam</t>
  </si>
  <si>
    <t>0300686707</t>
  </si>
  <si>
    <t>188656</t>
  </si>
  <si>
    <t>Pachiyappan</t>
  </si>
  <si>
    <t>0300591113</t>
  </si>
  <si>
    <t>121003</t>
  </si>
  <si>
    <t>Aamudha</t>
  </si>
  <si>
    <t>0300847120</t>
  </si>
  <si>
    <t>83624</t>
  </si>
  <si>
    <t>Shushila</t>
  </si>
  <si>
    <t>0300847092</t>
  </si>
  <si>
    <t>89354</t>
  </si>
  <si>
    <t>murugan</t>
  </si>
  <si>
    <t>0300847174</t>
  </si>
  <si>
    <t>87891</t>
  </si>
  <si>
    <t>Govindhasami</t>
  </si>
  <si>
    <t>0300686717</t>
  </si>
  <si>
    <t>188669</t>
  </si>
  <si>
    <t>Rajeshwari</t>
  </si>
  <si>
    <t>8136404371010178</t>
  </si>
  <si>
    <t>115143</t>
  </si>
  <si>
    <t>Muniyammal</t>
  </si>
  <si>
    <t>8006064608179217</t>
  </si>
  <si>
    <t>230514</t>
  </si>
  <si>
    <t>8136404371011010</t>
  </si>
  <si>
    <t>119419</t>
  </si>
  <si>
    <t>Perimal</t>
  </si>
  <si>
    <t>0300847182</t>
  </si>
  <si>
    <t>93684</t>
  </si>
  <si>
    <t>Pamila</t>
  </si>
  <si>
    <t>8006064608179266</t>
  </si>
  <si>
    <t>225560</t>
  </si>
  <si>
    <t>Kamachi</t>
  </si>
  <si>
    <t>0300577307</t>
  </si>
  <si>
    <t>241979</t>
  </si>
  <si>
    <t>Periyasami</t>
  </si>
  <si>
    <t>0300500897</t>
  </si>
  <si>
    <t>36741</t>
  </si>
  <si>
    <t>Devaraj</t>
  </si>
  <si>
    <t>0300632197</t>
  </si>
  <si>
    <t>26710</t>
  </si>
  <si>
    <t>on 8-9 =&gt; off at 8-9</t>
  </si>
  <si>
    <t>Palani</t>
  </si>
  <si>
    <t>0400067829</t>
  </si>
  <si>
    <t>213150</t>
  </si>
  <si>
    <t>Sendhamarai</t>
  </si>
  <si>
    <t>25818250098049</t>
  </si>
  <si>
    <t>225558</t>
  </si>
  <si>
    <t>Kutiyammal</t>
  </si>
  <si>
    <t>0300686680</t>
  </si>
  <si>
    <t>195436</t>
  </si>
  <si>
    <t>Raja</t>
  </si>
  <si>
    <t>8200004399991333</t>
  </si>
  <si>
    <t>286071</t>
  </si>
  <si>
    <t>Chinnaraji</t>
  </si>
  <si>
    <t>0300847079</t>
  </si>
  <si>
    <t>79535</t>
  </si>
  <si>
    <t>8200004418119593</t>
  </si>
  <si>
    <t>295467</t>
  </si>
  <si>
    <t>Murugan MRS Travels</t>
  </si>
  <si>
    <t>0300481583</t>
  </si>
  <si>
    <t>245554</t>
  </si>
  <si>
    <t>Dhanabhakiyam</t>
  </si>
  <si>
    <t>0300686687</t>
  </si>
  <si>
    <t>185658</t>
  </si>
  <si>
    <t>Vigneshwaran</t>
  </si>
  <si>
    <t>0300741634</t>
  </si>
  <si>
    <t>39648</t>
  </si>
  <si>
    <t>Chinnamannikam</t>
  </si>
  <si>
    <t>DIGICON TAMIL MAXX, MARVEL HQ( Alacarte ), BST 200, HUNGAMA( Alacarte )</t>
  </si>
  <si>
    <t>0300741643</t>
  </si>
  <si>
    <t>44534</t>
  </si>
  <si>
    <t>Kumar Paint</t>
  </si>
  <si>
    <t>Devan</t>
  </si>
  <si>
    <t>0300741659</t>
  </si>
  <si>
    <t>46886</t>
  </si>
  <si>
    <t>Dinesh</t>
  </si>
  <si>
    <t>HUNGAMA( Alacarte ), BST 200, DIGICON PACKAGE 4, DISCOVERY TAMIL BASE PACK</t>
  </si>
  <si>
    <t>0300741652</t>
  </si>
  <si>
    <t>46896</t>
  </si>
  <si>
    <t>Velu Samaiyal</t>
  </si>
  <si>
    <t>0300820078</t>
  </si>
  <si>
    <t>64309</t>
  </si>
  <si>
    <t>Sridevi</t>
  </si>
  <si>
    <t>0300847057</t>
  </si>
  <si>
    <t>77703</t>
  </si>
  <si>
    <t>Sivam Fancy</t>
  </si>
  <si>
    <t>0300500943</t>
  </si>
  <si>
    <t>32912</t>
  </si>
  <si>
    <t>Raja mani</t>
  </si>
  <si>
    <t>Kamal</t>
  </si>
  <si>
    <t>8006064608179597</t>
  </si>
  <si>
    <t>217683</t>
  </si>
  <si>
    <t>Akhil Bhasha</t>
  </si>
  <si>
    <t>0300847100</t>
  </si>
  <si>
    <t>83021</t>
  </si>
  <si>
    <t>Dhanalakshmi</t>
  </si>
  <si>
    <t>8006064608180017</t>
  </si>
  <si>
    <t>217686</t>
  </si>
  <si>
    <t>0300741656</t>
  </si>
  <si>
    <t>46907</t>
  </si>
  <si>
    <t>Saradhi</t>
  </si>
  <si>
    <t>8200004418097914</t>
  </si>
  <si>
    <t>295815</t>
  </si>
  <si>
    <t>Bala Murugan</t>
  </si>
  <si>
    <t>0300847114</t>
  </si>
  <si>
    <t>86497</t>
  </si>
  <si>
    <t>Subhan</t>
  </si>
  <si>
    <t>0300847081</t>
  </si>
  <si>
    <t>83014</t>
  </si>
  <si>
    <t>Sathyamoorthi</t>
  </si>
  <si>
    <t>Kandhasami - 1</t>
  </si>
  <si>
    <t>0300882808</t>
  </si>
  <si>
    <t>246314</t>
  </si>
  <si>
    <t>Kandhasami - 2</t>
  </si>
  <si>
    <t>0200431543</t>
  </si>
  <si>
    <t>5715</t>
  </si>
  <si>
    <t>Thengakarar</t>
  </si>
  <si>
    <t>8136404371011150</t>
  </si>
  <si>
    <t>120988</t>
  </si>
  <si>
    <t>Badhma</t>
  </si>
  <si>
    <t>8006064608180769</t>
  </si>
  <si>
    <t>295371</t>
  </si>
  <si>
    <t>Pachiammal</t>
  </si>
  <si>
    <t>8006064608180090</t>
  </si>
  <si>
    <t>237120</t>
  </si>
  <si>
    <t>Saravana theatre home</t>
  </si>
  <si>
    <t>0300847158</t>
  </si>
  <si>
    <t>131926</t>
  </si>
  <si>
    <t>Saravana theatre Kadai</t>
  </si>
  <si>
    <t>0300500958</t>
  </si>
  <si>
    <t>29827</t>
  </si>
  <si>
    <t>Boopal</t>
  </si>
  <si>
    <t>8006064608179894</t>
  </si>
  <si>
    <t>237122</t>
  </si>
  <si>
    <t>0300820045</t>
  </si>
  <si>
    <t>65423</t>
  </si>
  <si>
    <t>Govindhammal</t>
  </si>
  <si>
    <t>0300820070</t>
  </si>
  <si>
    <t>63419</t>
  </si>
  <si>
    <t>Karpagam</t>
  </si>
  <si>
    <t>0300686690</t>
  </si>
  <si>
    <t>185671</t>
  </si>
  <si>
    <t>Rajaammal</t>
  </si>
  <si>
    <t>0400011022</t>
  </si>
  <si>
    <t>213128</t>
  </si>
  <si>
    <t>Kavitha</t>
  </si>
  <si>
    <t>0300747535</t>
  </si>
  <si>
    <t>194264</t>
  </si>
  <si>
    <t>Senthil Kumar EB</t>
  </si>
  <si>
    <t>DIGICON TAMIL MAXX, DISNEY KIDS BOUQUET, BST 200</t>
  </si>
  <si>
    <t>0300867085</t>
  </si>
  <si>
    <t>324216</t>
  </si>
  <si>
    <t>Sambu uppukarar</t>
  </si>
  <si>
    <t>0300741648</t>
  </si>
  <si>
    <t>44550</t>
  </si>
  <si>
    <t>Chinnasami</t>
  </si>
  <si>
    <t>0400067841</t>
  </si>
  <si>
    <t>212190</t>
  </si>
  <si>
    <t>Aasodha</t>
  </si>
  <si>
    <t>8136404371010202</t>
  </si>
  <si>
    <t>115118</t>
  </si>
  <si>
    <t>Rani</t>
  </si>
  <si>
    <t>0400055574</t>
  </si>
  <si>
    <t>65396</t>
  </si>
  <si>
    <t>0300882133</t>
  </si>
  <si>
    <t>197767</t>
  </si>
  <si>
    <t>Kalyani</t>
  </si>
  <si>
    <t>0300741688</t>
  </si>
  <si>
    <t>46937</t>
  </si>
  <si>
    <t>Umadevi</t>
  </si>
  <si>
    <t>8136404371011226</t>
  </si>
  <si>
    <t>118360</t>
  </si>
  <si>
    <t>Mohan</t>
  </si>
  <si>
    <t>8200004418387810</t>
  </si>
  <si>
    <t>125146</t>
  </si>
  <si>
    <t>Madhesh</t>
  </si>
  <si>
    <t>8200004418387893</t>
  </si>
  <si>
    <t>125145</t>
  </si>
  <si>
    <t>Gnanesan</t>
  </si>
  <si>
    <t>0300741665</t>
  </si>
  <si>
    <t>46735</t>
  </si>
  <si>
    <t>Senthil Laskhmi Store</t>
  </si>
  <si>
    <t>0300741630</t>
  </si>
  <si>
    <t>39663</t>
  </si>
  <si>
    <t>Nadesan -1</t>
  </si>
  <si>
    <t>0300820046</t>
  </si>
  <si>
    <t>63458</t>
  </si>
  <si>
    <t>Nadesan -2</t>
  </si>
  <si>
    <t>8200004418119916</t>
  </si>
  <si>
    <t>287866</t>
  </si>
  <si>
    <t>Saraswathi</t>
  </si>
  <si>
    <t>0300820050</t>
  </si>
  <si>
    <t>65411</t>
  </si>
  <si>
    <t>0300741662</t>
  </si>
  <si>
    <t>47789</t>
  </si>
  <si>
    <t>Sivam Hotel</t>
  </si>
  <si>
    <t>8200004418387950</t>
  </si>
  <si>
    <t>123761</t>
  </si>
  <si>
    <t>Ganesh</t>
  </si>
  <si>
    <t>0300847095</t>
  </si>
  <si>
    <t>83013</t>
  </si>
  <si>
    <t>ZEE TAMIL( Alacarte ), DIGICON TAMIL MINI PACK</t>
  </si>
  <si>
    <t>0300847042</t>
  </si>
  <si>
    <t>78166</t>
  </si>
  <si>
    <t>Thirugnanam</t>
  </si>
  <si>
    <t>0300820083</t>
  </si>
  <si>
    <t>62181</t>
  </si>
  <si>
    <t>Murugan Paint</t>
  </si>
  <si>
    <t>0300500900</t>
  </si>
  <si>
    <t>40499</t>
  </si>
  <si>
    <t>Magendharan</t>
  </si>
  <si>
    <t>8006064608180751</t>
  </si>
  <si>
    <t>331627</t>
  </si>
  <si>
    <t>Selvam textiles</t>
  </si>
  <si>
    <t>8006064608179985</t>
  </si>
  <si>
    <t>231730</t>
  </si>
  <si>
    <t>Jaganadhan</t>
  </si>
  <si>
    <t>0300820016</t>
  </si>
  <si>
    <t>51007</t>
  </si>
  <si>
    <t>Safi</t>
  </si>
  <si>
    <t>0300686718</t>
  </si>
  <si>
    <t>186900</t>
  </si>
  <si>
    <t>Manimegalai</t>
  </si>
  <si>
    <t>0300741682</t>
  </si>
  <si>
    <t>48314</t>
  </si>
  <si>
    <t>Krishna moorthi</t>
  </si>
  <si>
    <t>8200004418074517</t>
  </si>
  <si>
    <t>137717</t>
  </si>
  <si>
    <t>Chinnaponnu </t>
  </si>
  <si>
    <t>0300747565</t>
  </si>
  <si>
    <t>295387</t>
  </si>
  <si>
    <t>Pandu Kulandhaivel</t>
  </si>
  <si>
    <t>8200004418074509</t>
  </si>
  <si>
    <t>137720</t>
  </si>
  <si>
    <t>Sampath</t>
  </si>
  <si>
    <t>0200540146</t>
  </si>
  <si>
    <t>8905</t>
  </si>
  <si>
    <t>Santhosh</t>
  </si>
  <si>
    <t>0400060456</t>
  </si>
  <si>
    <t>219962</t>
  </si>
  <si>
    <t>Krishnan EB</t>
  </si>
  <si>
    <t>0300632198</t>
  </si>
  <si>
    <t>26716</t>
  </si>
  <si>
    <t>0300632182</t>
  </si>
  <si>
    <t>26671</t>
  </si>
  <si>
    <t>0300847099</t>
  </si>
  <si>
    <t>83019</t>
  </si>
  <si>
    <t>Chinnakannu</t>
  </si>
  <si>
    <t>0300686679</t>
  </si>
  <si>
    <t>184290</t>
  </si>
  <si>
    <t>0300741698</t>
  </si>
  <si>
    <t>46958</t>
  </si>
  <si>
    <t>kadan</t>
  </si>
  <si>
    <t>Kalaivani</t>
  </si>
  <si>
    <t>0300741658</t>
  </si>
  <si>
    <t>46910</t>
  </si>
  <si>
    <t>Ammu</t>
  </si>
  <si>
    <t>8006064608180025</t>
  </si>
  <si>
    <t>218064</t>
  </si>
  <si>
    <t>Karthi</t>
  </si>
  <si>
    <t>0300747501</t>
  </si>
  <si>
    <t>191514</t>
  </si>
  <si>
    <t>Palaniandi</t>
  </si>
  <si>
    <t>0300847080</t>
  </si>
  <si>
    <t>78159</t>
  </si>
  <si>
    <t>0300591102</t>
  </si>
  <si>
    <t>152667</t>
  </si>
  <si>
    <t>Manikam</t>
  </si>
  <si>
    <t>8006064608179100</t>
  </si>
  <si>
    <t>Krishnan Maligai</t>
  </si>
  <si>
    <t>0300500889</t>
  </si>
  <si>
    <t>36766</t>
  </si>
  <si>
    <t>Aasha</t>
  </si>
  <si>
    <t>0200606197</t>
  </si>
  <si>
    <t>39826</t>
  </si>
  <si>
    <t>Kalyani Sundharam</t>
  </si>
  <si>
    <t>8200004418098813</t>
  </si>
  <si>
    <t>288147</t>
  </si>
  <si>
    <t>Sujitha</t>
  </si>
  <si>
    <t>8006064608180066</t>
  </si>
  <si>
    <t>233424</t>
  </si>
  <si>
    <t>Vetri</t>
  </si>
  <si>
    <t>0300546858</t>
  </si>
  <si>
    <t>241972</t>
  </si>
  <si>
    <t>0300820085</t>
  </si>
  <si>
    <t>62173</t>
  </si>
  <si>
    <t>Mohan raj</t>
  </si>
  <si>
    <t>0300747514</t>
  </si>
  <si>
    <t>191550</t>
  </si>
  <si>
    <t>0300747537</t>
  </si>
  <si>
    <t>193460</t>
  </si>
  <si>
    <t>Kesavan</t>
  </si>
  <si>
    <t>0300741694</t>
  </si>
  <si>
    <t>44553</t>
  </si>
  <si>
    <t>Nambiyar</t>
  </si>
  <si>
    <t>8006064608179803</t>
  </si>
  <si>
    <t>216886</t>
  </si>
  <si>
    <t>Indrani</t>
  </si>
  <si>
    <t>0300420982</t>
  </si>
  <si>
    <t>331695</t>
  </si>
  <si>
    <t>0300676259</t>
  </si>
  <si>
    <t>182940</t>
  </si>
  <si>
    <t>8006064608180058</t>
  </si>
  <si>
    <t>217880</t>
  </si>
  <si>
    <t>Baskar</t>
  </si>
  <si>
    <t>0300500952</t>
  </si>
  <si>
    <t>29824</t>
  </si>
  <si>
    <t>Murugan Jewlery</t>
  </si>
  <si>
    <t>8200004418387935</t>
  </si>
  <si>
    <t>125165</t>
  </si>
  <si>
    <t>Umarani</t>
  </si>
  <si>
    <t>0300686681</t>
  </si>
  <si>
    <t>185648</t>
  </si>
  <si>
    <t>Meena</t>
  </si>
  <si>
    <t>0300867066</t>
  </si>
  <si>
    <t>331623 </t>
  </si>
  <si>
    <t>Devanayagam</t>
  </si>
  <si>
    <t>0300686684</t>
  </si>
  <si>
    <t>187229</t>
  </si>
  <si>
    <t>0300142362</t>
  </si>
  <si>
    <t>265564</t>
  </si>
  <si>
    <t>Subramani</t>
  </si>
  <si>
    <t>0300747509</t>
  </si>
  <si>
    <t>191479</t>
  </si>
  <si>
    <t>Murugan Audit</t>
  </si>
  <si>
    <t>0300820003</t>
  </si>
  <si>
    <t>51994</t>
  </si>
  <si>
    <t>Sekar</t>
  </si>
  <si>
    <t>8006064608179696</t>
  </si>
  <si>
    <t>236667</t>
  </si>
  <si>
    <t>Boopathi</t>
  </si>
  <si>
    <t>0300847119</t>
  </si>
  <si>
    <t>84145</t>
  </si>
  <si>
    <t>0300591048</t>
  </si>
  <si>
    <t>161497</t>
  </si>
  <si>
    <t>Thirunavukarasan</t>
  </si>
  <si>
    <t>0300820080</t>
  </si>
  <si>
    <t>64312</t>
  </si>
  <si>
    <t>Govindharaj</t>
  </si>
  <si>
    <t>0300820060</t>
  </si>
  <si>
    <t>63474</t>
  </si>
  <si>
    <t>8136404371010137</t>
  </si>
  <si>
    <t>115114</t>
  </si>
  <si>
    <t>Ramesh</t>
  </si>
  <si>
    <t>0200606180</t>
  </si>
  <si>
    <t>100132</t>
  </si>
  <si>
    <t>Radha Krishnan</t>
  </si>
  <si>
    <t>0200706584</t>
  </si>
  <si>
    <t>8914</t>
  </si>
  <si>
    <t>Anandh</t>
  </si>
  <si>
    <t>8006064608180009</t>
  </si>
  <si>
    <t>217688</t>
  </si>
  <si>
    <t>Jayalakshmi</t>
  </si>
  <si>
    <t>0300500895</t>
  </si>
  <si>
    <t>36730</t>
  </si>
  <si>
    <t>Vimala</t>
  </si>
  <si>
    <t>0300500955</t>
  </si>
  <si>
    <t>30480</t>
  </si>
  <si>
    <t>Selvam</t>
  </si>
  <si>
    <t>0301296532</t>
  </si>
  <si>
    <t>63204</t>
  </si>
  <si>
    <t>0300500244</t>
  </si>
  <si>
    <t>245283</t>
  </si>
  <si>
    <t>Dhuraraj</t>
  </si>
  <si>
    <t>0200706586</t>
  </si>
  <si>
    <t>198959</t>
  </si>
  <si>
    <t>Vijiya</t>
  </si>
  <si>
    <t>0300820065</t>
  </si>
  <si>
    <t>7759</t>
  </si>
  <si>
    <t>Jaganandhan</t>
  </si>
  <si>
    <t>0300882638</t>
  </si>
  <si>
    <t>195440</t>
  </si>
  <si>
    <t>Dhevan </t>
  </si>
  <si>
    <t>0300591105</t>
  </si>
  <si>
    <t>152666</t>
  </si>
  <si>
    <t>Srimathi</t>
  </si>
  <si>
    <t>0300847147</t>
  </si>
  <si>
    <t>135331</t>
  </si>
  <si>
    <t>Chandra -1</t>
  </si>
  <si>
    <t>0300500899</t>
  </si>
  <si>
    <t>36747</t>
  </si>
  <si>
    <t>Chandra -2</t>
  </si>
  <si>
    <t>8200004418118231</t>
  </si>
  <si>
    <t>287977</t>
  </si>
  <si>
    <t>Elango Manjula Press</t>
  </si>
  <si>
    <t>8006064608179340</t>
  </si>
  <si>
    <t>229571</t>
  </si>
  <si>
    <t>Sathya</t>
  </si>
  <si>
    <t>0300591057</t>
  </si>
  <si>
    <t>166803</t>
  </si>
  <si>
    <t>8136404371010988</t>
  </si>
  <si>
    <t>118860</t>
  </si>
  <si>
    <t>Uma</t>
  </si>
  <si>
    <t>0300500898</t>
  </si>
  <si>
    <t>36745</t>
  </si>
  <si>
    <t>Meenakshi</t>
  </si>
  <si>
    <t>0300686672</t>
  </si>
  <si>
    <t>184287</t>
  </si>
  <si>
    <t>Asok Home</t>
  </si>
  <si>
    <t>STAR SPORTS 1 HD( Alacarte ), DIGICON TAMIL MAXX, BST 200</t>
  </si>
  <si>
    <t>0200431541</t>
  </si>
  <si>
    <t>5713</t>
  </si>
  <si>
    <t>Kamaraj</t>
  </si>
  <si>
    <t>0300847117</t>
  </si>
  <si>
    <t>83620</t>
  </si>
  <si>
    <t>Chithapa</t>
  </si>
  <si>
    <t>HUNGAMA( Alacarte ), BST 200, DIGICON TAMIL MAXX</t>
  </si>
  <si>
    <t>8006064608179514</t>
  </si>
  <si>
    <t>232762</t>
  </si>
  <si>
    <t>Thatha</t>
  </si>
  <si>
    <t>0300847154</t>
  </si>
  <si>
    <t>Salmon Maboobhasha</t>
  </si>
  <si>
    <t>8006064608179407</t>
  </si>
  <si>
    <t>275091</t>
  </si>
  <si>
    <t>asok 600</t>
  </si>
  <si>
    <t>Yuvaraj</t>
  </si>
  <si>
    <t>0300747532</t>
  </si>
  <si>
    <t>193439</t>
  </si>
  <si>
    <t>Anbu</t>
  </si>
  <si>
    <t>0300847091</t>
  </si>
  <si>
    <t>84706</t>
  </si>
  <si>
    <t>Sakthivel Vanila</t>
  </si>
  <si>
    <t>8200004418107697</t>
  </si>
  <si>
    <t>144624</t>
  </si>
  <si>
    <t>8200004418387828</t>
  </si>
  <si>
    <t>123751</t>
  </si>
  <si>
    <t>0300686699</t>
  </si>
  <si>
    <t>185669</t>
  </si>
  <si>
    <t>Maliga</t>
  </si>
  <si>
    <t>0300746447</t>
  </si>
  <si>
    <t>276609</t>
  </si>
  <si>
    <t>Lakhmanan</t>
  </si>
  <si>
    <t>HUNGAMA( Alacarte ), DIGICON PACKAGE 4, BST 200, POGO( Alacarte ), CARTOON NETWORK( Alacarte )</t>
  </si>
  <si>
    <t>0300741691</t>
  </si>
  <si>
    <t>44500</t>
  </si>
  <si>
    <t>Dachunamoorthi</t>
  </si>
  <si>
    <t>0300591120</t>
  </si>
  <si>
    <t>156330</t>
  </si>
  <si>
    <t>Rajamanikam</t>
  </si>
  <si>
    <t>0300686710</t>
  </si>
  <si>
    <t>189084</t>
  </si>
  <si>
    <t>0300632199</t>
  </si>
  <si>
    <t>26714</t>
  </si>
  <si>
    <t>Jayaram</t>
  </si>
  <si>
    <t>0300820092</t>
  </si>
  <si>
    <t>62151</t>
  </si>
  <si>
    <t>Siva</t>
  </si>
  <si>
    <t>0200540158</t>
  </si>
  <si>
    <t>9671</t>
  </si>
  <si>
    <t>Thulasidas</t>
  </si>
  <si>
    <t>0300676242</t>
  </si>
  <si>
    <t>182700</t>
  </si>
  <si>
    <t>8006064608179605</t>
  </si>
  <si>
    <t>218176</t>
  </si>
  <si>
    <t>Poovarashan</t>
  </si>
  <si>
    <t>0300740112</t>
  </si>
  <si>
    <t>177992</t>
  </si>
  <si>
    <t>Pachiyammal </t>
  </si>
  <si>
    <t>0300686685</t>
  </si>
  <si>
    <t>185664</t>
  </si>
  <si>
    <t>8006064608179837</t>
  </si>
  <si>
    <t>218146</t>
  </si>
  <si>
    <t>0300747502</t>
  </si>
  <si>
    <t>191527</t>
  </si>
  <si>
    <t>Samadharmam</t>
  </si>
  <si>
    <t>0300820048</t>
  </si>
  <si>
    <t>68213</t>
  </si>
  <si>
    <t>0301296514</t>
  </si>
  <si>
    <t>86479</t>
  </si>
  <si>
    <t>Venkateshan</t>
  </si>
  <si>
    <t>0300676241</t>
  </si>
  <si>
    <t>182702</t>
  </si>
  <si>
    <t>MEGA TV( Alacarte ), DIGICON PACKAGE 4, BST 200</t>
  </si>
  <si>
    <t>0300820072</t>
  </si>
  <si>
    <t>64310</t>
  </si>
  <si>
    <t>Kanaga</t>
  </si>
  <si>
    <t>0300882128</t>
  </si>
  <si>
    <t>198236</t>
  </si>
  <si>
    <t>0300820013</t>
  </si>
  <si>
    <t>52000</t>
  </si>
  <si>
    <t>Gopi</t>
  </si>
  <si>
    <t>8006064608179167</t>
  </si>
  <si>
    <t>216867</t>
  </si>
  <si>
    <t>Govindhanan</t>
  </si>
  <si>
    <t>0300632192</t>
  </si>
  <si>
    <t>26701</t>
  </si>
  <si>
    <t>0300741699</t>
  </si>
  <si>
    <t>46941</t>
  </si>
  <si>
    <t>Santhi</t>
  </si>
  <si>
    <t>0300741687</t>
  </si>
  <si>
    <t>48302</t>
  </si>
  <si>
    <t>Sandham</t>
  </si>
  <si>
    <t>0300847028</t>
  </si>
  <si>
    <t>77472</t>
  </si>
  <si>
    <t>Vijiyamohan</t>
  </si>
  <si>
    <t>0300747528</t>
  </si>
  <si>
    <t>193445</t>
  </si>
  <si>
    <t>Suguna</t>
  </si>
  <si>
    <t>0300676244</t>
  </si>
  <si>
    <t>182697</t>
  </si>
  <si>
    <t>Sandhamoorthi</t>
  </si>
  <si>
    <t>8136404371010707</t>
  </si>
  <si>
    <t>119427</t>
  </si>
  <si>
    <t>Babu</t>
  </si>
  <si>
    <t>8136404371010285</t>
  </si>
  <si>
    <t>115117</t>
  </si>
  <si>
    <t>Devamaligai</t>
  </si>
  <si>
    <t>0300847023</t>
  </si>
  <si>
    <t>7761</t>
  </si>
  <si>
    <t>Ammakannu</t>
  </si>
  <si>
    <t>0300820062</t>
  </si>
  <si>
    <t>62119</t>
  </si>
  <si>
    <t>Bhuvaneshwari</t>
  </si>
  <si>
    <t>0300591534</t>
  </si>
  <si>
    <t>173706</t>
  </si>
  <si>
    <t>Senbagav</t>
  </si>
  <si>
    <t>0200606195</t>
  </si>
  <si>
    <t>192732</t>
  </si>
  <si>
    <t>0300686665</t>
  </si>
  <si>
    <t>184279</t>
  </si>
  <si>
    <t>Thangavel</t>
  </si>
  <si>
    <t>0300882634</t>
  </si>
  <si>
    <t>195453</t>
  </si>
  <si>
    <t>Thambi Dhurai</t>
  </si>
  <si>
    <t>0300847030</t>
  </si>
  <si>
    <t>78327</t>
  </si>
  <si>
    <t>0300481591</t>
  </si>
  <si>
    <t>246100</t>
  </si>
  <si>
    <t>Divya</t>
  </si>
  <si>
    <t>8136404371010863</t>
  </si>
  <si>
    <t>117459</t>
  </si>
  <si>
    <t>Sushila</t>
  </si>
  <si>
    <t>0300591538</t>
  </si>
  <si>
    <t>175134</t>
  </si>
  <si>
    <t>0300694760</t>
  </si>
  <si>
    <t>246871</t>
  </si>
  <si>
    <t>Safiyulla</t>
  </si>
  <si>
    <t>HUNGAMA( Alacarte ), ZEE TAMIL( Alacarte ), DIGICON TAMIL MINI PACK</t>
  </si>
  <si>
    <t>8006064608179704</t>
  </si>
  <si>
    <t>216848 </t>
  </si>
  <si>
    <t>Kadharalli</t>
  </si>
  <si>
    <t>0300591101</t>
  </si>
  <si>
    <t>313994</t>
  </si>
  <si>
    <t>Anandhan Maligai</t>
  </si>
  <si>
    <t>8200004418074541</t>
  </si>
  <si>
    <t>137413</t>
  </si>
  <si>
    <t>Kaviarasan</t>
  </si>
  <si>
    <t>8200004418074178</t>
  </si>
  <si>
    <t>141770</t>
  </si>
  <si>
    <t>Valarmathi</t>
  </si>
  <si>
    <t>0300591054</t>
  </si>
  <si>
    <t>166853</t>
  </si>
  <si>
    <t>Devarasu</t>
  </si>
  <si>
    <t>0300741637</t>
  </si>
  <si>
    <t>48258</t>
  </si>
  <si>
    <t>Nagaraj</t>
  </si>
  <si>
    <t>0300747538</t>
  </si>
  <si>
    <t>193462</t>
  </si>
  <si>
    <t>0300882626</t>
  </si>
  <si>
    <t>195473</t>
  </si>
  <si>
    <t>Roja</t>
  </si>
  <si>
    <t>0300591103</t>
  </si>
  <si>
    <t>154660</t>
  </si>
  <si>
    <t>Radha</t>
  </si>
  <si>
    <t>0300747520</t>
  </si>
  <si>
    <t>191545</t>
  </si>
  <si>
    <t>Ammallu</t>
  </si>
  <si>
    <t>0300847085</t>
  </si>
  <si>
    <t>83015</t>
  </si>
  <si>
    <t>DISNEY KIDS BOUQUET, BST 200, DIGICON TAMIL MAXX</t>
  </si>
  <si>
    <t>0200540096</t>
  </si>
  <si>
    <t>107467</t>
  </si>
  <si>
    <t>0200706582</t>
  </si>
  <si>
    <t>8907</t>
  </si>
  <si>
    <t>8006064608179621</t>
  </si>
  <si>
    <t>218374</t>
  </si>
  <si>
    <t>staff</t>
  </si>
  <si>
    <t>Kandhasami</t>
  </si>
  <si>
    <t>0300847008</t>
  </si>
  <si>
    <t>77437</t>
  </si>
  <si>
    <t>Saroja</t>
  </si>
  <si>
    <t>0300500882</t>
  </si>
  <si>
    <t>36763</t>
  </si>
  <si>
    <t>Appadhurai</t>
  </si>
  <si>
    <t>0300847046</t>
  </si>
  <si>
    <t>78145</t>
  </si>
  <si>
    <t>8136404371010145</t>
  </si>
  <si>
    <t>114829</t>
  </si>
  <si>
    <t>Dhachuna moorthi</t>
  </si>
  <si>
    <t>0300747507</t>
  </si>
  <si>
    <t>191512</t>
  </si>
  <si>
    <t>8136404371010731</t>
  </si>
  <si>
    <t>119978</t>
  </si>
  <si>
    <t>Dhanam</t>
  </si>
  <si>
    <t>0300741635</t>
  </si>
  <si>
    <t>39833</t>
  </si>
  <si>
    <t>Mahalingam</t>
  </si>
  <si>
    <t>0300820061</t>
  </si>
  <si>
    <t>62123</t>
  </si>
  <si>
    <t>Perma</t>
  </si>
  <si>
    <t>0300820015</t>
  </si>
  <si>
    <t>51990</t>
  </si>
  <si>
    <t>Jagatha</t>
  </si>
  <si>
    <t>0300820012</t>
  </si>
  <si>
    <t>51127</t>
  </si>
  <si>
    <t>Vijiyalakshmi</t>
  </si>
  <si>
    <t>0300820007</t>
  </si>
  <si>
    <t>51105</t>
  </si>
  <si>
    <t>0300500885</t>
  </si>
  <si>
    <t>36734</t>
  </si>
  <si>
    <t>Suriyakalla</t>
  </si>
  <si>
    <t>0300632185</t>
  </si>
  <si>
    <t>26683</t>
  </si>
  <si>
    <t>0300820041</t>
  </si>
  <si>
    <t>68221</t>
  </si>
  <si>
    <t>Shanmuga Sundharam</t>
  </si>
  <si>
    <t>0300591104</t>
  </si>
  <si>
    <t>152670</t>
  </si>
  <si>
    <t>8006064608179464</t>
  </si>
  <si>
    <t>216818</t>
  </si>
  <si>
    <t>Sundharam Chitra</t>
  </si>
  <si>
    <t>0300820005</t>
  </si>
  <si>
    <t>51194</t>
  </si>
  <si>
    <t>Elango</t>
  </si>
  <si>
    <t>0300882136</t>
  </si>
  <si>
    <t>198177</t>
  </si>
  <si>
    <t>Vishnu</t>
  </si>
  <si>
    <t>0300686667</t>
  </si>
  <si>
    <t>183892</t>
  </si>
  <si>
    <t>0200540106</t>
  </si>
  <si>
    <t>9669</t>
  </si>
  <si>
    <t>Appavu</t>
  </si>
  <si>
    <t>8006064608179118</t>
  </si>
  <si>
    <t>218199</t>
  </si>
  <si>
    <t>Balamurugan</t>
  </si>
  <si>
    <t>0300820008</t>
  </si>
  <si>
    <t>51998</t>
  </si>
  <si>
    <t>Jayakumar</t>
  </si>
  <si>
    <t>BST 200, DIGICON PACKAGE 4, POGO( Alacarte )</t>
  </si>
  <si>
    <t>0300847087</t>
  </si>
  <si>
    <t>83826</t>
  </si>
  <si>
    <t>Shankar</t>
  </si>
  <si>
    <t>0200540141</t>
  </si>
  <si>
    <t>224663</t>
  </si>
  <si>
    <t>0200540036</t>
  </si>
  <si>
    <t>50994</t>
  </si>
  <si>
    <t>Kumaresan</t>
  </si>
  <si>
    <t>0300847148</t>
  </si>
  <si>
    <t>8911</t>
  </si>
  <si>
    <t>0300847004</t>
  </si>
  <si>
    <t>78306</t>
  </si>
  <si>
    <t>Jayapal</t>
  </si>
  <si>
    <t>0300847194</t>
  </si>
  <si>
    <t>93760</t>
  </si>
  <si>
    <t>Tamilarasi</t>
  </si>
  <si>
    <t>0300847155</t>
  </si>
  <si>
    <t>8908</t>
  </si>
  <si>
    <t>Prasanth</t>
  </si>
  <si>
    <t>0300747511</t>
  </si>
  <si>
    <t>191552</t>
  </si>
  <si>
    <t>Sundharam</t>
  </si>
  <si>
    <t>0300847145</t>
  </si>
  <si>
    <t>78162</t>
  </si>
  <si>
    <t>Madheswaran</t>
  </si>
  <si>
    <t>0200540155</t>
  </si>
  <si>
    <t>9675</t>
  </si>
  <si>
    <t>Prakashan</t>
  </si>
  <si>
    <t>0200805675</t>
  </si>
  <si>
    <t>112263</t>
  </si>
  <si>
    <t>0300820071</t>
  </si>
  <si>
    <t>65431</t>
  </si>
  <si>
    <t>0300591525</t>
  </si>
  <si>
    <t>171138</t>
  </si>
  <si>
    <t>Venkatesan</t>
  </si>
  <si>
    <t>8200004399991994</t>
  </si>
  <si>
    <t>286065</t>
  </si>
  <si>
    <t>0300741638</t>
  </si>
  <si>
    <t>39656</t>
  </si>
  <si>
    <t>0300847014</t>
  </si>
  <si>
    <t>77475</t>
  </si>
  <si>
    <t>Muthuraman</t>
  </si>
  <si>
    <t>8200004418109370</t>
  </si>
  <si>
    <t>145714</t>
  </si>
  <si>
    <t>0200805661</t>
  </si>
  <si>
    <t>202298</t>
  </si>
  <si>
    <t>Gurubaran</t>
  </si>
  <si>
    <t>0300741641</t>
  </si>
  <si>
    <t>44530</t>
  </si>
  <si>
    <t>Ponnusami</t>
  </si>
  <si>
    <t>8136404371010780</t>
  </si>
  <si>
    <t>119424</t>
  </si>
  <si>
    <t>Kandhasami Thiyagi</t>
  </si>
  <si>
    <t>0300882635</t>
  </si>
  <si>
    <t>195445</t>
  </si>
  <si>
    <t>Rajarathinam</t>
  </si>
  <si>
    <t>0300632186</t>
  </si>
  <si>
    <t>26687</t>
  </si>
  <si>
    <t>Ramasami</t>
  </si>
  <si>
    <t>0300820096</t>
  </si>
  <si>
    <t>57183</t>
  </si>
  <si>
    <t>Gnanam</t>
  </si>
  <si>
    <t>8136404371011101</t>
  </si>
  <si>
    <t>117891</t>
  </si>
  <si>
    <t>Sangeetha</t>
  </si>
  <si>
    <t>BST 200, CHUTTI TV( Alacarte ), HUNGAMA( Alacarte ), ZEE TAMIL( Alacarte ), POGO( Alacarte ), STAR VIJAY( Alacarte )</t>
  </si>
  <si>
    <t>8136404371010699</t>
  </si>
  <si>
    <t>119430</t>
  </si>
  <si>
    <t>Pappa</t>
  </si>
  <si>
    <t>8136404371011135</t>
  </si>
  <si>
    <t>118349</t>
  </si>
  <si>
    <t>Ashogan</t>
  </si>
  <si>
    <t>8136404371011259</t>
  </si>
  <si>
    <t>121535</t>
  </si>
  <si>
    <t>0200431546</t>
  </si>
  <si>
    <t>5719</t>
  </si>
  <si>
    <t>0300820023</t>
  </si>
  <si>
    <t>47778</t>
  </si>
  <si>
    <t>Kuppusamy</t>
  </si>
  <si>
    <t>0300500887</t>
  </si>
  <si>
    <t>38213</t>
  </si>
  <si>
    <t>Pugalendhi perma</t>
  </si>
  <si>
    <t>0300741645</t>
  </si>
  <si>
    <t>44542</t>
  </si>
  <si>
    <t>8200004418388008</t>
  </si>
  <si>
    <t>125167</t>
  </si>
  <si>
    <t>0300847009</t>
  </si>
  <si>
    <t>77403</t>
  </si>
  <si>
    <t>Thangaraj</t>
  </si>
  <si>
    <t>Murali</t>
  </si>
  <si>
    <t>0300713256</t>
  </si>
  <si>
    <t>320496</t>
  </si>
  <si>
    <t>Selva Kumar</t>
  </si>
  <si>
    <t>0300847050</t>
  </si>
  <si>
    <t>78152</t>
  </si>
  <si>
    <t>0300820054</t>
  </si>
  <si>
    <t>68827</t>
  </si>
  <si>
    <t>Jagadesh</t>
  </si>
  <si>
    <t>0300500886</t>
  </si>
  <si>
    <t>36736</t>
  </si>
  <si>
    <t>Munusamy</t>
  </si>
  <si>
    <t>0300741624</t>
  </si>
  <si>
    <t>46814</t>
  </si>
  <si>
    <t>Sasikala</t>
  </si>
  <si>
    <t>0300632195</t>
  </si>
  <si>
    <t>26705</t>
  </si>
  <si>
    <t>8006064608179613</t>
  </si>
  <si>
    <t>217685</t>
  </si>
  <si>
    <t>Mala</t>
  </si>
  <si>
    <t>0300747518</t>
  </si>
  <si>
    <t>193437</t>
  </si>
  <si>
    <t>0300478861</t>
  </si>
  <si>
    <t>232337</t>
  </si>
  <si>
    <t>Thirumalai Store -1</t>
  </si>
  <si>
    <t>DIGICON TAMIL MAXX, BST 200, HUNGAMA( Alacarte )</t>
  </si>
  <si>
    <t>0300632183</t>
  </si>
  <si>
    <t>26676</t>
  </si>
  <si>
    <t>Thirumalai Store -2</t>
  </si>
  <si>
    <t>0300847025</t>
  </si>
  <si>
    <t>47152</t>
  </si>
  <si>
    <t>Rukumani</t>
  </si>
  <si>
    <t>DISNEY( Alacarte ), DIGICON TAMIL MAXX, BST 200</t>
  </si>
  <si>
    <t>0300741622</t>
  </si>
  <si>
    <t>45525</t>
  </si>
  <si>
    <t>Narasemaraj</t>
  </si>
  <si>
    <t>ZEE KANNADA( Alacarte ), BST 200, DIGICON PACKAGE 4, COLORS KANNADA( Alacarte )</t>
  </si>
  <si>
    <t>0300847122</t>
  </si>
  <si>
    <t>87894</t>
  </si>
  <si>
    <t>Sumantha</t>
  </si>
  <si>
    <t>BST 200, DIGICON TAMIL MAXX, UDAYA MOVIES( Alacarte )</t>
  </si>
  <si>
    <t>0200540153</t>
  </si>
  <si>
    <t>8912</t>
  </si>
  <si>
    <t>Madesh</t>
  </si>
  <si>
    <t>0300591058</t>
  </si>
  <si>
    <t>166802</t>
  </si>
  <si>
    <t>8136404371011184</t>
  </si>
  <si>
    <t>118366</t>
  </si>
  <si>
    <t>0301296541</t>
  </si>
  <si>
    <t>177985</t>
  </si>
  <si>
    <t>Bhuvaneshwaran</t>
  </si>
  <si>
    <t>0300882622</t>
  </si>
  <si>
    <t>63439</t>
  </si>
  <si>
    <t>Murugan Auto</t>
  </si>
  <si>
    <t>0300741633</t>
  </si>
  <si>
    <t>46843</t>
  </si>
  <si>
    <t>Ramalingam</t>
  </si>
  <si>
    <t>0300741696</t>
  </si>
  <si>
    <t>46956</t>
  </si>
  <si>
    <t>BST 200, POGO( Alacarte ), DIGICON PACKAGE 4</t>
  </si>
  <si>
    <t>8136404371010723</t>
  </si>
  <si>
    <t>119426</t>
  </si>
  <si>
    <t>UDAYA MOVIES( Alacarte ), DIGICON TAMIL MAXX, STAR MAA MOVIES( Alacarte ), BST 200</t>
  </si>
  <si>
    <t>0200540093</t>
  </si>
  <si>
    <t>8906</t>
  </si>
  <si>
    <t>Dinesh Kumar</t>
  </si>
  <si>
    <t>0300820063</t>
  </si>
  <si>
    <t>62117</t>
  </si>
  <si>
    <t>Nirmala</t>
  </si>
  <si>
    <t>0200607794</t>
  </si>
  <si>
    <t>176744</t>
  </si>
  <si>
    <t>Govindhamal</t>
  </si>
  <si>
    <t>8136404371010897</t>
  </si>
  <si>
    <t>117593</t>
  </si>
  <si>
    <t>0300741773</t>
  </si>
  <si>
    <t>178967</t>
  </si>
  <si>
    <t>0300632196</t>
  </si>
  <si>
    <t>26708</t>
  </si>
  <si>
    <t>0300741695</t>
  </si>
  <si>
    <t>44490</t>
  </si>
  <si>
    <t>Gubendharan</t>
  </si>
  <si>
    <t>0300847165</t>
  </si>
  <si>
    <t>89356</t>
  </si>
  <si>
    <t>Bhuvana</t>
  </si>
  <si>
    <t>0300820079</t>
  </si>
  <si>
    <t>62112</t>
  </si>
  <si>
    <t>Theatre</t>
  </si>
  <si>
    <t>0300577323</t>
  </si>
  <si>
    <t>232335</t>
  </si>
  <si>
    <t>Jayalakshmi-1</t>
  </si>
  <si>
    <t>0300820009</t>
  </si>
  <si>
    <t>50990</t>
  </si>
  <si>
    <t>Murugan-2</t>
  </si>
  <si>
    <t>0300741626</t>
  </si>
  <si>
    <t>39646</t>
  </si>
  <si>
    <t>4box</t>
  </si>
  <si>
    <t>Saravanan-3</t>
  </si>
  <si>
    <t>0300741646</t>
  </si>
  <si>
    <t>44544</t>
  </si>
  <si>
    <t>Murugan-4</t>
  </si>
  <si>
    <t>0400011020</t>
  </si>
  <si>
    <t>290087</t>
  </si>
  <si>
    <t>Subramaniyam</t>
  </si>
  <si>
    <t>0300820004</t>
  </si>
  <si>
    <t>51992</t>
  </si>
  <si>
    <t>0300591523</t>
  </si>
  <si>
    <t>171472</t>
  </si>
  <si>
    <t>8200004418074590</t>
  </si>
  <si>
    <t>142368</t>
  </si>
  <si>
    <t>Murugan staff</t>
  </si>
  <si>
    <t>0300686677</t>
  </si>
  <si>
    <t>184293</t>
  </si>
  <si>
    <t>0300500923</t>
  </si>
  <si>
    <t>331693</t>
  </si>
  <si>
    <t>Muniyappan</t>
  </si>
  <si>
    <t>Pushpa</t>
  </si>
  <si>
    <t>8136404371011051</t>
  </si>
  <si>
    <t>117603</t>
  </si>
  <si>
    <t>Ezhilarasi</t>
  </si>
  <si>
    <t>8200004418109339</t>
  </si>
  <si>
    <t>165747</t>
  </si>
  <si>
    <t>0300820056</t>
  </si>
  <si>
    <t>65562</t>
  </si>
  <si>
    <t>Thirugnanam -1</t>
  </si>
  <si>
    <t>8136404371010756</t>
  </si>
  <si>
    <t>120216</t>
  </si>
  <si>
    <t>Thirugnanam -2</t>
  </si>
  <si>
    <t>0300847013</t>
  </si>
  <si>
    <t>326321</t>
  </si>
  <si>
    <t>Manogaran</t>
  </si>
  <si>
    <t>8136404371010251</t>
  </si>
  <si>
    <t>115140</t>
  </si>
  <si>
    <t>Vishwanadhan</t>
  </si>
  <si>
    <t>0300686674</t>
  </si>
  <si>
    <t>184282</t>
  </si>
  <si>
    <t>home-august</t>
  </si>
  <si>
    <t>8136404371011044</t>
  </si>
  <si>
    <t>119174</t>
  </si>
  <si>
    <t>Raju maligai</t>
  </si>
  <si>
    <t>0300820035</t>
  </si>
  <si>
    <t>47756</t>
  </si>
  <si>
    <t>Sivam -1</t>
  </si>
  <si>
    <t>8200004418109271</t>
  </si>
  <si>
    <t>145674</t>
  </si>
  <si>
    <t>Sivam -2</t>
  </si>
  <si>
    <t>DIGICON TAMIL MINI PACK, ZEE TAMIL( Alacarte )</t>
  </si>
  <si>
    <t>8200004418117548</t>
  </si>
  <si>
    <t>287776</t>
  </si>
  <si>
    <t>Valli</t>
  </si>
  <si>
    <t>0300820002</t>
  </si>
  <si>
    <t>57199</t>
  </si>
  <si>
    <t>Prabhu</t>
  </si>
  <si>
    <t>8006064608179126</t>
  </si>
  <si>
    <t>236705</t>
  </si>
  <si>
    <t>3 month pending</t>
  </si>
  <si>
    <t>Vengateshan Vellam</t>
  </si>
  <si>
    <t>0300820044</t>
  </si>
  <si>
    <t>44494</t>
  </si>
  <si>
    <t>Vinayagam -1 Medical</t>
  </si>
  <si>
    <t>0300632200</t>
  </si>
  <si>
    <t>26715</t>
  </si>
  <si>
    <t>murugan whatsapp</t>
  </si>
  <si>
    <t>Settu -2 Home</t>
  </si>
  <si>
    <t>0300741627</t>
  </si>
  <si>
    <t>39654</t>
  </si>
  <si>
    <t>Sangundhala</t>
  </si>
  <si>
    <t>8006064608179332</t>
  </si>
  <si>
    <t>219610</t>
  </si>
  <si>
    <t>Jaya</t>
  </si>
  <si>
    <t>0300686701</t>
  </si>
  <si>
    <t>188650</t>
  </si>
  <si>
    <t>0301296529</t>
  </si>
  <si>
    <t>136097</t>
  </si>
  <si>
    <t>Sathish</t>
  </si>
  <si>
    <t>0300747536</t>
  </si>
  <si>
    <t>193457</t>
  </si>
  <si>
    <t>Rajagopal</t>
  </si>
  <si>
    <t>0300632189</t>
  </si>
  <si>
    <t>26696</t>
  </si>
  <si>
    <t>0300741631</t>
  </si>
  <si>
    <t>39662</t>
  </si>
  <si>
    <t>Ram Kumar</t>
  </si>
  <si>
    <t>0300591524</t>
  </si>
  <si>
    <t>171141</t>
  </si>
  <si>
    <t>8136404371010848</t>
  </si>
  <si>
    <t>117452</t>
  </si>
  <si>
    <t>Nirmaladevi</t>
  </si>
  <si>
    <t>0300500892</t>
  </si>
  <si>
    <t>36739</t>
  </si>
  <si>
    <t>Vasantha</t>
  </si>
  <si>
    <t>0400052984</t>
  </si>
  <si>
    <t>217840</t>
  </si>
  <si>
    <t>8006064608179787</t>
  </si>
  <si>
    <t>233006</t>
  </si>
  <si>
    <t>Ashok</t>
  </si>
  <si>
    <t>8200004418074525</t>
  </si>
  <si>
    <t>140569</t>
  </si>
  <si>
    <t>0300591116</t>
  </si>
  <si>
    <t>154950</t>
  </si>
  <si>
    <t>82006064608179753</t>
  </si>
  <si>
    <t>Arun Kumar</t>
  </si>
  <si>
    <t>0300478838</t>
  </si>
  <si>
    <t>232340</t>
  </si>
  <si>
    <t>0300820019</t>
  </si>
  <si>
    <t>51949</t>
  </si>
  <si>
    <t>0200540157</t>
  </si>
  <si>
    <t>121194</t>
  </si>
  <si>
    <t>0300632184</t>
  </si>
  <si>
    <t>26681</t>
  </si>
  <si>
    <t>pack1 220</t>
  </si>
  <si>
    <t>430 HOME</t>
  </si>
  <si>
    <t>Murugan appa</t>
  </si>
  <si>
    <t>0200706587</t>
  </si>
  <si>
    <t>341077</t>
  </si>
  <si>
    <t>Kaliammal</t>
  </si>
  <si>
    <t>Thirumal</t>
  </si>
  <si>
    <t>0300820018</t>
  </si>
  <si>
    <t>51957</t>
  </si>
  <si>
    <t>Aruvumani</t>
  </si>
  <si>
    <t>0300741666</t>
  </si>
  <si>
    <t>57173</t>
  </si>
  <si>
    <t>Thavamani</t>
  </si>
  <si>
    <t>Selvan</t>
  </si>
  <si>
    <t>0300847016</t>
  </si>
  <si>
    <t>77449</t>
  </si>
  <si>
    <t>Salaammal</t>
  </si>
  <si>
    <t>Selvaraj</t>
  </si>
  <si>
    <t>Manivannan</t>
  </si>
  <si>
    <t>0300847086</t>
  </si>
  <si>
    <t>83011</t>
  </si>
  <si>
    <t>Soundhariya</t>
  </si>
  <si>
    <t>0300741667</t>
  </si>
  <si>
    <t>46745</t>
  </si>
  <si>
    <t>Lakhsmi</t>
  </si>
  <si>
    <t>Deppa</t>
  </si>
  <si>
    <t>0300847121</t>
  </si>
  <si>
    <t>93758</t>
  </si>
  <si>
    <t>0300820088</t>
  </si>
  <si>
    <t>71200</t>
  </si>
  <si>
    <t>Mageshwari</t>
  </si>
  <si>
    <t>0300591056</t>
  </si>
  <si>
    <t>169903</t>
  </si>
  <si>
    <t>Madhu</t>
  </si>
  <si>
    <t>0300847199</t>
  </si>
  <si>
    <t>88457</t>
  </si>
  <si>
    <t>8006064608179647</t>
  </si>
  <si>
    <t>231072</t>
  </si>
  <si>
    <t>Kokila</t>
  </si>
  <si>
    <t>0300882138</t>
  </si>
  <si>
    <t>198173</t>
  </si>
  <si>
    <t>0300820073</t>
  </si>
  <si>
    <t>68749</t>
  </si>
  <si>
    <t>Chandra</t>
  </si>
  <si>
    <t>Angammal</t>
  </si>
  <si>
    <t>0300882134</t>
  </si>
  <si>
    <t>200718</t>
  </si>
  <si>
    <t>Madhamalu</t>
  </si>
  <si>
    <t>0300847045</t>
  </si>
  <si>
    <t>79743</t>
  </si>
  <si>
    <t>Parimala</t>
  </si>
  <si>
    <t>0300741621</t>
  </si>
  <si>
    <t>100597</t>
  </si>
  <si>
    <t>0300847197</t>
  </si>
  <si>
    <t>111048</t>
  </si>
  <si>
    <t>Mannikam</t>
  </si>
  <si>
    <t>8200004418387984</t>
  </si>
  <si>
    <t>123759</t>
  </si>
  <si>
    <t>Manojkumar</t>
  </si>
  <si>
    <t>0300847163</t>
  </si>
  <si>
    <t>89353</t>
  </si>
  <si>
    <t>Rathana</t>
  </si>
  <si>
    <t>0300741673</t>
  </si>
  <si>
    <t>46769</t>
  </si>
  <si>
    <t>Sankar</t>
  </si>
  <si>
    <t>Manimozhli</t>
  </si>
  <si>
    <t>Sabari</t>
  </si>
  <si>
    <t>0300882639</t>
  </si>
  <si>
    <t>195458</t>
  </si>
  <si>
    <t>8136404371011085</t>
  </si>
  <si>
    <t>117882</t>
  </si>
  <si>
    <t>Vanitha</t>
  </si>
  <si>
    <t>0300591117</t>
  </si>
  <si>
    <t>119975</t>
  </si>
  <si>
    <t>Sankar Thangavel</t>
  </si>
  <si>
    <t>Nallaraji</t>
  </si>
  <si>
    <t>0300741664</t>
  </si>
  <si>
    <t>46737</t>
  </si>
  <si>
    <t>Kaviaarasu</t>
  </si>
  <si>
    <t>Sivasakthi</t>
  </si>
  <si>
    <t>0300872554</t>
  </si>
  <si>
    <t>245797</t>
  </si>
  <si>
    <t>Amudhavalli</t>
  </si>
  <si>
    <t>Manivel</t>
  </si>
  <si>
    <t>0300741654</t>
  </si>
  <si>
    <t>104669</t>
  </si>
  <si>
    <t>Muniraj</t>
  </si>
  <si>
    <t>0200210664</t>
  </si>
  <si>
    <t>154683</t>
  </si>
  <si>
    <t>8136404371011283</t>
  </si>
  <si>
    <t>120994</t>
  </si>
  <si>
    <t>Vimalnadhan</t>
  </si>
  <si>
    <t>0300632191</t>
  </si>
  <si>
    <t>26700</t>
  </si>
  <si>
    <t>Ranjidham</t>
  </si>
  <si>
    <t>0300500953</t>
  </si>
  <si>
    <t>29835</t>
  </si>
  <si>
    <t>Ponnusamy</t>
  </si>
  <si>
    <t>0300820033</t>
  </si>
  <si>
    <t>47759</t>
  </si>
  <si>
    <t>Chinnathaiyu</t>
  </si>
  <si>
    <t>8200004418119650</t>
  </si>
  <si>
    <t>295720</t>
  </si>
  <si>
    <t>Ragavendharan</t>
  </si>
  <si>
    <t>Velumani</t>
  </si>
  <si>
    <t>Dharman</t>
  </si>
  <si>
    <t>8136404371010871</t>
  </si>
  <si>
    <t>117461</t>
  </si>
  <si>
    <t>Chinnaraj</t>
  </si>
  <si>
    <t>8006064608179225</t>
  </si>
  <si>
    <t>221442</t>
  </si>
  <si>
    <t>Bharma</t>
  </si>
  <si>
    <t>8136404371010120</t>
  </si>
  <si>
    <t>115132</t>
  </si>
  <si>
    <t>0300747525</t>
  </si>
  <si>
    <t>192618</t>
  </si>
  <si>
    <t>Sagayam</t>
  </si>
  <si>
    <t>0300872552</t>
  </si>
  <si>
    <t>245282</t>
  </si>
  <si>
    <t>Prakash</t>
  </si>
  <si>
    <t>0300847190</t>
  </si>
  <si>
    <t>93686</t>
  </si>
  <si>
    <t>new connection on 6/9</t>
  </si>
  <si>
    <t>JAN/DATE</t>
  </si>
  <si>
    <t>FEB/DATE</t>
  </si>
  <si>
    <t>MARCH/DATE</t>
  </si>
  <si>
    <t>APRIL/DATE</t>
  </si>
  <si>
    <t>MAY/DATE</t>
  </si>
  <si>
    <t>JUNE/DATE</t>
  </si>
  <si>
    <t>JULY/DATE</t>
  </si>
  <si>
    <t>AUG/DATE</t>
  </si>
  <si>
    <t>OCT/DATE</t>
  </si>
  <si>
    <t>NOV/DATE</t>
  </si>
  <si>
    <t>DEC/DATE</t>
  </si>
  <si>
    <t>Kaliyammal Madappan</t>
  </si>
  <si>
    <t>0300820026</t>
  </si>
  <si>
    <t>47516</t>
  </si>
  <si>
    <t>Shanmugam Dheevatikali</t>
  </si>
  <si>
    <t>0200706589</t>
  </si>
  <si>
    <t>106520</t>
  </si>
  <si>
    <t>Thirumal Manivasagam</t>
  </si>
  <si>
    <t>Arivumani Kannayairam</t>
  </si>
  <si>
    <t>Manivannan Madhesh</t>
  </si>
  <si>
    <t>Selvan Nanthan</t>
  </si>
  <si>
    <t>Sountharya Krishanan</t>
  </si>
  <si>
    <t>Ashok Munusami</t>
  </si>
  <si>
    <t>0300747534</t>
  </si>
  <si>
    <t>193454</t>
  </si>
  <si>
    <t>Sakthivel Shanmugam</t>
  </si>
  <si>
    <t>Maheswari Annadurai</t>
  </si>
  <si>
    <t>Kokila Thangamani</t>
  </si>
  <si>
    <t>Chithra Sivamani</t>
  </si>
  <si>
    <t>Angammal Kaveri</t>
  </si>
  <si>
    <t>Madhammal Kali</t>
  </si>
  <si>
    <t>Madhesh Madhan</t>
  </si>
  <si>
    <t>Manikkam Kali</t>
  </si>
  <si>
    <t>Manojkumar Thangaraj</t>
  </si>
  <si>
    <t>Ramesh Mariyappan</t>
  </si>
  <si>
    <t>Lakshmi Raja</t>
  </si>
  <si>
    <t>Subiramani Chinnu</t>
  </si>
  <si>
    <t>Vanitha Madhesh</t>
  </si>
  <si>
    <t>Nallaraji Madhan</t>
  </si>
  <si>
    <t>Ragavendhra Govindhan</t>
  </si>
  <si>
    <t>0300686686</t>
  </si>
  <si>
    <t>188663</t>
  </si>
  <si>
    <t>Manivel Chinnasami</t>
  </si>
  <si>
    <t>Pavithra Madhi (Selvi)</t>
  </si>
  <si>
    <t>Muniraj Chinnakannu</t>
  </si>
  <si>
    <t>0300591112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</si>
  <si>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</si>
  <si>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</si>
  <si>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</si>
  <si>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</si>
  <si>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</si>
  <si>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</si>
  <si>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</si>
  <si>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0300882640</t>
  </si>
  <si>
    <t>195455</t>
  </si>
  <si>
    <t>Dharman Sanjeevan</t>
  </si>
  <si>
    <t>Meena Arumugan</t>
  </si>
  <si>
    <t>0300741661</t>
  </si>
  <si>
    <t>46732</t>
  </si>
  <si>
    <t>Vadivel Munusamy (Rooja)</t>
  </si>
  <si>
    <t>0300847139</t>
  </si>
  <si>
    <t>84700</t>
  </si>
  <si>
    <t>Ranjitham Ravi</t>
  </si>
  <si>
    <t>Madhu Sundharesan</t>
  </si>
  <si>
    <t>Parimala Selvam</t>
  </si>
  <si>
    <t>Sivasakthi Gopal</t>
  </si>
  <si>
    <t>Ponnusamy Thangavel</t>
  </si>
  <si>
    <t>Vimalanandhan N.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</si>
  <si>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</si>
  <si>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</si>
  <si>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</si>
  <si>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</si>
  <si>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</si>
  <si>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</si>
  <si>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</si>
  <si>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</si>
  <si>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</si>
  <si>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</si>
  <si>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0400084770</t>
  </si>
  <si>
    <t>213372</t>
  </si>
  <si>
    <t>home 230</t>
  </si>
  <si>
    <t>Sengutuvan</t>
  </si>
  <si>
    <t>0300847096</t>
  </si>
  <si>
    <t>83864</t>
  </si>
  <si>
    <t>appa kanaku</t>
  </si>
  <si>
    <t>Sujatha</t>
  </si>
  <si>
    <t>0300820068</t>
  </si>
  <si>
    <t>63470</t>
  </si>
  <si>
    <t>Elizh silks</t>
  </si>
  <si>
    <t>0300686683</t>
  </si>
  <si>
    <t>185647</t>
  </si>
  <si>
    <t>Vengateshan P.C</t>
  </si>
  <si>
    <t>0300741683</t>
  </si>
  <si>
    <t>46964</t>
  </si>
  <si>
    <t>0400060535</t>
  </si>
  <si>
    <t>213133</t>
  </si>
  <si>
    <t>8006064608179688</t>
  </si>
  <si>
    <t>230879</t>
  </si>
  <si>
    <t>0300676255</t>
  </si>
  <si>
    <t>182934</t>
  </si>
  <si>
    <t>0200540144</t>
  </si>
  <si>
    <t>8904</t>
  </si>
  <si>
    <t>0300741679</t>
  </si>
  <si>
    <t>46796</t>
  </si>
  <si>
    <t>Manikkam</t>
  </si>
  <si>
    <t>8136404371010277</t>
  </si>
  <si>
    <t>115131</t>
  </si>
  <si>
    <t>Velu Boyar</t>
  </si>
  <si>
    <t>0300686673</t>
  </si>
  <si>
    <t>183198</t>
  </si>
  <si>
    <t>Alagar malai</t>
  </si>
  <si>
    <t>0300810260</t>
  </si>
  <si>
    <t>246346</t>
  </si>
  <si>
    <t>B.R Raji</t>
  </si>
  <si>
    <t>0300820098</t>
  </si>
  <si>
    <t>63506</t>
  </si>
  <si>
    <t>Ramakrishnan</t>
  </si>
  <si>
    <t>0300686700</t>
  </si>
  <si>
    <t>185676</t>
  </si>
  <si>
    <t>KPN - Mani</t>
  </si>
  <si>
    <t>0300741700</t>
  </si>
  <si>
    <t>44516</t>
  </si>
  <si>
    <t>0200540142</t>
  </si>
  <si>
    <t>8917</t>
  </si>
  <si>
    <t>viji chithapa</t>
  </si>
  <si>
    <t>SenthilKumar</t>
  </si>
  <si>
    <t>0300676243</t>
  </si>
  <si>
    <t>183203</t>
  </si>
  <si>
    <t>PCLA Sadhasivam</t>
  </si>
  <si>
    <t>Jayakodi</t>
  </si>
  <si>
    <t>0300500883</t>
  </si>
  <si>
    <t>36729</t>
  </si>
  <si>
    <t>Velu Kalam</t>
  </si>
  <si>
    <t>8006064608179357</t>
  </si>
  <si>
    <t>216839</t>
  </si>
  <si>
    <t>Thangam Saloon</t>
  </si>
  <si>
    <t>8136404371010772</t>
  </si>
  <si>
    <t>119425</t>
  </si>
  <si>
    <t>Natarajan Agency</t>
  </si>
  <si>
    <t>Magendhara Babu -1</t>
  </si>
  <si>
    <t>0300747515</t>
  </si>
  <si>
    <t>191497</t>
  </si>
  <si>
    <t>Magendhara Babu -2</t>
  </si>
  <si>
    <t>0300686702</t>
  </si>
  <si>
    <t>186851</t>
  </si>
  <si>
    <t>2box</t>
  </si>
  <si>
    <t>T.R Senthil</t>
  </si>
  <si>
    <t>Selvam vegetable</t>
  </si>
  <si>
    <t>0300820090</t>
  </si>
  <si>
    <t>62142</t>
  </si>
  <si>
    <t>Tamil Selvan</t>
  </si>
  <si>
    <t>0300820097</t>
  </si>
  <si>
    <t>326363</t>
  </si>
  <si>
    <t>Jayalakshmi Tailor</t>
  </si>
  <si>
    <t>0300825583</t>
  </si>
  <si>
    <t>333715</t>
  </si>
  <si>
    <t>Vinayagam Medical</t>
  </si>
  <si>
    <t>0300847020</t>
  </si>
  <si>
    <t>Sivaraman </t>
  </si>
  <si>
    <t>8136404371010244</t>
  </si>
  <si>
    <t>115129</t>
  </si>
  <si>
    <t>Sadhasivam</t>
  </si>
  <si>
    <t>0300500890</t>
  </si>
  <si>
    <t>36753</t>
  </si>
  <si>
    <t>Anandhan</t>
  </si>
  <si>
    <t>8200004418074319</t>
  </si>
  <si>
    <t>137422</t>
  </si>
  <si>
    <t>0300847035</t>
  </si>
  <si>
    <t>78344</t>
  </si>
  <si>
    <t>Pachiyammal</t>
  </si>
  <si>
    <t>0300882123</t>
  </si>
  <si>
    <t>197771</t>
  </si>
  <si>
    <t>0300847162</t>
  </si>
  <si>
    <t>87889</t>
  </si>
  <si>
    <t>8136404371011192</t>
  </si>
  <si>
    <t>118355</t>
  </si>
  <si>
    <t>0300847026</t>
  </si>
  <si>
    <t>77404</t>
  </si>
  <si>
    <t>0300500896</t>
  </si>
  <si>
    <t>36738</t>
  </si>
  <si>
    <t>Manomani</t>
  </si>
  <si>
    <t>0300500949</t>
  </si>
  <si>
    <t>30516</t>
  </si>
  <si>
    <t>0300686669</t>
  </si>
  <si>
    <t>184045</t>
  </si>
  <si>
    <t>0300847111</t>
  </si>
  <si>
    <t>83017</t>
  </si>
  <si>
    <t>0300882122</t>
  </si>
  <si>
    <t>197775</t>
  </si>
  <si>
    <t>0300557925</t>
  </si>
  <si>
    <t>241981</t>
  </si>
  <si>
    <t>Gnanamoorthi</t>
  </si>
  <si>
    <t>0300591044</t>
  </si>
  <si>
    <t>163286</t>
  </si>
  <si>
    <t>Gnanamoorthi - New</t>
  </si>
  <si>
    <t>8006064608179944</t>
  </si>
  <si>
    <t>230440</t>
  </si>
  <si>
    <t>Karthikeyan</t>
  </si>
  <si>
    <t>8136404371010236</t>
  </si>
  <si>
    <t>115136</t>
  </si>
  <si>
    <t>241975</t>
  </si>
  <si>
    <t>Sagundhala</t>
  </si>
  <si>
    <t>0300847129</t>
  </si>
  <si>
    <t>86615</t>
  </si>
  <si>
    <t>Aruthi</t>
  </si>
  <si>
    <t>0400068009</t>
  </si>
  <si>
    <t>213145</t>
  </si>
  <si>
    <t>8006064608179308</t>
  </si>
  <si>
    <t>216843</t>
  </si>
  <si>
    <t>Panduragan</t>
  </si>
  <si>
    <t>0300686670</t>
  </si>
  <si>
    <t>184043</t>
  </si>
  <si>
    <t>Poongodi</t>
  </si>
  <si>
    <t>0300847107</t>
  </si>
  <si>
    <t>83618</t>
  </si>
  <si>
    <t>0300847164</t>
  </si>
  <si>
    <t>89061</t>
  </si>
  <si>
    <t>Kashthuri</t>
  </si>
  <si>
    <t>0300847106</t>
  </si>
  <si>
    <t>87613</t>
  </si>
  <si>
    <t>0300591042</t>
  </si>
  <si>
    <t>160317</t>
  </si>
  <si>
    <t>Thangaraju</t>
  </si>
  <si>
    <t>0300820020</t>
  </si>
  <si>
    <t>51001</t>
  </si>
  <si>
    <t>0300847132</t>
  </si>
  <si>
    <t>86607</t>
  </si>
  <si>
    <t>8006064608179423</t>
  </si>
  <si>
    <t>225653</t>
  </si>
  <si>
    <t>next month</t>
  </si>
  <si>
    <t>0300741653</t>
  </si>
  <si>
    <t>193444</t>
  </si>
  <si>
    <t>Indhu Kumaravel</t>
  </si>
  <si>
    <t>0300847200</t>
  </si>
  <si>
    <t>39651</t>
  </si>
  <si>
    <t>Narayanan</t>
  </si>
  <si>
    <t>0300820042</t>
  </si>
  <si>
    <t>63468</t>
  </si>
  <si>
    <t>GopalaKrishnan</t>
  </si>
  <si>
    <t>8006064608179951</t>
  </si>
  <si>
    <t>232134</t>
  </si>
  <si>
    <t>0300847039</t>
  </si>
  <si>
    <t>77407</t>
  </si>
  <si>
    <t>0300686671</t>
  </si>
  <si>
    <t>184042</t>
  </si>
  <si>
    <t>0300591531</t>
  </si>
  <si>
    <t>172084</t>
  </si>
  <si>
    <t>Chinna pachai</t>
  </si>
  <si>
    <t>8006064608181510</t>
  </si>
  <si>
    <t>303319</t>
  </si>
  <si>
    <t>Thendralkaviarasu</t>
  </si>
  <si>
    <t>0300882130</t>
  </si>
  <si>
    <t>198234</t>
  </si>
  <si>
    <t>Munniyappan Murugan</t>
  </si>
  <si>
    <t>8136404371011721</t>
  </si>
  <si>
    <t>119432</t>
  </si>
  <si>
    <t>0300811524</t>
  </si>
  <si>
    <t>248071</t>
  </si>
  <si>
    <t>Varadharajan</t>
  </si>
  <si>
    <t>0300847054</t>
  </si>
  <si>
    <t>80520</t>
  </si>
  <si>
    <t>0300747529</t>
  </si>
  <si>
    <t>Vairamoorthi</t>
  </si>
  <si>
    <t>0300820040</t>
  </si>
  <si>
    <t>51182</t>
  </si>
  <si>
    <t>8136404371011218</t>
  </si>
  <si>
    <t>119156</t>
  </si>
  <si>
    <t>Palaniammal</t>
  </si>
  <si>
    <t>0300747508</t>
  </si>
  <si>
    <t>191506</t>
  </si>
  <si>
    <t>Chinnasami-1</t>
  </si>
  <si>
    <t>0300847183</t>
  </si>
  <si>
    <t>98210</t>
  </si>
  <si>
    <t>Chinnasami-2</t>
  </si>
  <si>
    <t>0300741644</t>
  </si>
  <si>
    <t>44538</t>
  </si>
  <si>
    <t>Rajamani</t>
  </si>
  <si>
    <t>0300747539</t>
  </si>
  <si>
    <t>193468</t>
  </si>
  <si>
    <t>Marimuthu</t>
  </si>
  <si>
    <t>8006064608179290</t>
  </si>
  <si>
    <t>232135</t>
  </si>
  <si>
    <t>Kalli</t>
  </si>
  <si>
    <t>0200540143</t>
  </si>
  <si>
    <t>100469</t>
  </si>
  <si>
    <t>Kadhiravan</t>
  </si>
  <si>
    <t>0300847104</t>
  </si>
  <si>
    <t>83617</t>
  </si>
  <si>
    <t>Munniyappan</t>
  </si>
  <si>
    <t>0300820066</t>
  </si>
  <si>
    <t>66713</t>
  </si>
  <si>
    <t>Dharmalingam</t>
  </si>
  <si>
    <t>0300747503</t>
  </si>
  <si>
    <t>196407</t>
  </si>
  <si>
    <t>Muthu</t>
  </si>
  <si>
    <t>0300741686</t>
  </si>
  <si>
    <t>48320</t>
  </si>
  <si>
    <t>Mani Nurse</t>
  </si>
  <si>
    <t>8200004418107663</t>
  </si>
  <si>
    <t>30488</t>
  </si>
  <si>
    <t>Murugan start studio</t>
  </si>
  <si>
    <t>0300820055</t>
  </si>
  <si>
    <t>66694</t>
  </si>
  <si>
    <t>0300741642</t>
  </si>
  <si>
    <t>44520</t>
  </si>
  <si>
    <t>0300741649</t>
  </si>
  <si>
    <t>Manivanan</t>
  </si>
  <si>
    <t>0300820031</t>
  </si>
  <si>
    <t>50997</t>
  </si>
  <si>
    <t>Arulmani</t>
  </si>
  <si>
    <t>0300591043</t>
  </si>
  <si>
    <t>160305</t>
  </si>
  <si>
    <t>Kuppu</t>
  </si>
  <si>
    <t>8200004418095850</t>
  </si>
  <si>
    <t>287772</t>
  </si>
  <si>
    <t>Kala</t>
  </si>
  <si>
    <t>8006064608179662</t>
  </si>
  <si>
    <t>231896</t>
  </si>
  <si>
    <t>Gnanasekar</t>
  </si>
  <si>
    <t>0300676254</t>
  </si>
  <si>
    <t>183771</t>
  </si>
  <si>
    <t>Chinnasami P.K</t>
  </si>
  <si>
    <t>Karthick Arusanalam</t>
  </si>
  <si>
    <t>8200004419230670</t>
  </si>
  <si>
    <t>244891</t>
  </si>
  <si>
    <t>Kumarmathu Muthi</t>
  </si>
  <si>
    <t>8200004419229953</t>
  </si>
  <si>
    <t>244894</t>
  </si>
  <si>
    <t>Madhammal Arunasalam</t>
  </si>
  <si>
    <t>8200004419230167</t>
  </si>
  <si>
    <t>309746</t>
  </si>
  <si>
    <t>Mangai Govindhasamy</t>
  </si>
  <si>
    <t>8200004419230712</t>
  </si>
  <si>
    <t>244893</t>
  </si>
  <si>
    <t>Muthumani Murugesan</t>
  </si>
  <si>
    <t>8200004419230274</t>
  </si>
  <si>
    <t>246987</t>
  </si>
  <si>
    <t>Rajaswari Sivaguru</t>
  </si>
  <si>
    <t>8200004419231934</t>
  </si>
  <si>
    <t>244896</t>
  </si>
  <si>
    <t>Sala Solai</t>
  </si>
  <si>
    <t>8200004419230969</t>
  </si>
  <si>
    <t>246984</t>
  </si>
  <si>
    <t>Thavamani Selvam</t>
  </si>
  <si>
    <t>8200004419230662</t>
  </si>
  <si>
    <t>246988</t>
  </si>
  <si>
    <t>Madhammal Arunasalam</t>
  </si>
  <si>
    <t>8200004419230688</t>
  </si>
  <si>
    <t>244899</t>
  </si>
  <si>
    <t>Shivam Etiyampatti</t>
  </si>
  <si>
    <t>8200004419231223</t>
  </si>
  <si>
    <t>309745</t>
  </si>
  <si>
    <t>AMOUNT RECEIVED</t>
  </si>
  <si>
    <t>Thenmozhli</t>
  </si>
  <si>
    <t>0300847172</t>
  </si>
  <si>
    <t>89059</t>
  </si>
  <si>
    <t>Sankar Lakshmi</t>
  </si>
  <si>
    <t>0300882124</t>
  </si>
  <si>
    <t>198230</t>
  </si>
  <si>
    <t>0300847135</t>
  </si>
  <si>
    <t>87169</t>
  </si>
  <si>
    <t>Jeeva</t>
  </si>
  <si>
    <t>0300882631</t>
  </si>
  <si>
    <t>195461</t>
  </si>
  <si>
    <t>Panjali</t>
  </si>
  <si>
    <t>0300882632</t>
  </si>
  <si>
    <t>195900</t>
  </si>
  <si>
    <t>Gnanasekaran</t>
  </si>
  <si>
    <t>0300686663</t>
  </si>
  <si>
    <t>184460</t>
  </si>
  <si>
    <t>karunanidi</t>
  </si>
  <si>
    <t>0300847062</t>
  </si>
  <si>
    <t>78151</t>
  </si>
  <si>
    <t>velliangkiri</t>
  </si>
  <si>
    <t>8006064608179175</t>
  </si>
  <si>
    <t>230510</t>
  </si>
  <si>
    <t>Sagadhevan</t>
  </si>
  <si>
    <t>8136404371010681</t>
  </si>
  <si>
    <t>120222</t>
  </si>
  <si>
    <t>Bhanumadi</t>
  </si>
  <si>
    <t>8006064608179829</t>
  </si>
  <si>
    <t>216884</t>
  </si>
  <si>
    <t>Suresh (LIC)</t>
  </si>
  <si>
    <t>0300481913</t>
  </si>
  <si>
    <t>245281</t>
  </si>
  <si>
    <t>0300882127</t>
  </si>
  <si>
    <t>198386</t>
  </si>
  <si>
    <t>0300847130</t>
  </si>
  <si>
    <t>89476</t>
  </si>
  <si>
    <t>Sumadhi</t>
  </si>
  <si>
    <t>8006064608179472</t>
  </si>
  <si>
    <t>219608</t>
  </si>
  <si>
    <t>0300820053</t>
  </si>
  <si>
    <t>106956</t>
  </si>
  <si>
    <t>0300546866</t>
  </si>
  <si>
    <t>241980</t>
  </si>
  <si>
    <t>0300955817</t>
  </si>
  <si>
    <t>Bhakhiyaraj</t>
  </si>
  <si>
    <t>0301296539</t>
  </si>
  <si>
    <t>195539</t>
  </si>
  <si>
    <t>Raja maadhu</t>
  </si>
  <si>
    <t>0300847173</t>
  </si>
  <si>
    <t>88461</t>
  </si>
  <si>
    <t>Krishnaveni</t>
  </si>
  <si>
    <t>8006064608179134</t>
  </si>
  <si>
    <t>218147</t>
  </si>
  <si>
    <t>Manjula</t>
  </si>
  <si>
    <t>0300882633</t>
  </si>
  <si>
    <t>195470</t>
  </si>
  <si>
    <t>Sudha</t>
  </si>
  <si>
    <t>0300882637</t>
  </si>
  <si>
    <t>195438</t>
  </si>
  <si>
    <t>Chinnaval</t>
  </si>
  <si>
    <t>0300747516</t>
  </si>
  <si>
    <t>8006064608179936</t>
  </si>
  <si>
    <t>218066</t>
  </si>
  <si>
    <t>Krishnan Pudhur</t>
  </si>
  <si>
    <t>0301296540</t>
  </si>
  <si>
    <t>331850</t>
  </si>
  <si>
    <t>0300882627</t>
  </si>
  <si>
    <t>195536</t>
  </si>
  <si>
    <t>Nyanamurthi</t>
  </si>
  <si>
    <t>8200004418387927</t>
  </si>
  <si>
    <t>125152</t>
  </si>
  <si>
    <t>8136404371010806</t>
  </si>
  <si>
    <t>119434</t>
  </si>
  <si>
    <t>Kaaliyammal</t>
  </si>
  <si>
    <t>0301296536</t>
  </si>
  <si>
    <t>38280</t>
  </si>
  <si>
    <t>8006064608179365</t>
  </si>
  <si>
    <t>231900</t>
  </si>
  <si>
    <t>Muniyappan vimala</t>
  </si>
  <si>
    <t>0300820037</t>
  </si>
  <si>
    <t>47755</t>
  </si>
  <si>
    <t>Sankar Govindhammal</t>
  </si>
  <si>
    <t>0300847063</t>
  </si>
  <si>
    <t>86547</t>
  </si>
  <si>
    <t>0300500884</t>
  </si>
  <si>
    <t>36725</t>
  </si>
  <si>
    <t>0300847181</t>
  </si>
  <si>
    <t>93665</t>
  </si>
  <si>
    <t>Vadivelu Lakhsmi</t>
  </si>
  <si>
    <t>8200004399991291</t>
  </si>
  <si>
    <t>288681</t>
  </si>
  <si>
    <t>Lalitha Sakthivel</t>
  </si>
  <si>
    <t>0300847069</t>
  </si>
  <si>
    <t>78341</t>
  </si>
  <si>
    <t>Palani ammal</t>
  </si>
  <si>
    <t>0300847001</t>
  </si>
  <si>
    <t>77433</t>
  </si>
  <si>
    <t>Shanmuga suntharam geetha</t>
  </si>
  <si>
    <t>0301296534</t>
  </si>
  <si>
    <t>212186</t>
  </si>
  <si>
    <t>Madhayan Palaniammal</t>
  </si>
  <si>
    <t>8200004418387877</t>
  </si>
  <si>
    <t>123742</t>
  </si>
  <si>
    <t>Gopal Madhayan</t>
  </si>
  <si>
    <t>8136404371010194</t>
  </si>
  <si>
    <t>115116</t>
  </si>
  <si>
    <t>Selvaraj Tailor</t>
  </si>
  <si>
    <t>0300847051</t>
  </si>
  <si>
    <t>78323</t>
  </si>
  <si>
    <t>Sivalingam Kalpana</t>
  </si>
  <si>
    <t>0300632190</t>
  </si>
  <si>
    <t>26697</t>
  </si>
  <si>
    <t>Perumal lakshmi</t>
  </si>
  <si>
    <t>8136404371011119</t>
  </si>
  <si>
    <t>117894</t>
  </si>
  <si>
    <t>Natarajan Roja</t>
  </si>
  <si>
    <t>0300686666</t>
  </si>
  <si>
    <t>184038</t>
  </si>
  <si>
    <t>Vinitha</t>
  </si>
  <si>
    <t>8136404371010509</t>
  </si>
  <si>
    <t>115134</t>
  </si>
  <si>
    <t>Gavaskar</t>
  </si>
  <si>
    <t>0300847185</t>
  </si>
  <si>
    <t>93698</t>
  </si>
  <si>
    <t>Nasaheamma</t>
  </si>
  <si>
    <t>0300686714</t>
  </si>
  <si>
    <t>186903</t>
  </si>
  <si>
    <t>Selvi Periyannan</t>
  </si>
  <si>
    <t>0300591052</t>
  </si>
  <si>
    <t>166625</t>
  </si>
  <si>
    <t>Anbuarasu Elavarasi</t>
  </si>
  <si>
    <t>0300591107</t>
  </si>
  <si>
    <t>153950</t>
  </si>
  <si>
    <t>kanniammal</t>
  </si>
  <si>
    <t>0300847167</t>
  </si>
  <si>
    <t>88458</t>
  </si>
  <si>
    <t>Ramachandran mechanic</t>
  </si>
  <si>
    <t>8200004418107614</t>
  </si>
  <si>
    <t>149762</t>
  </si>
  <si>
    <t>Boopathi (Pamba)</t>
  </si>
  <si>
    <t>HBO SD( Alacarte ), BST 200, STAR MOVIES( Alacarte ), DIGICON PACKAGE 4</t>
  </si>
  <si>
    <t>0300847058</t>
  </si>
  <si>
    <t>78325</t>
  </si>
  <si>
    <t>0300882806</t>
  </si>
  <si>
    <t>246397</t>
  </si>
  <si>
    <t>0300591115</t>
  </si>
  <si>
    <t>77400</t>
  </si>
  <si>
    <t>Prabhabhathi Madhesh</t>
  </si>
  <si>
    <t>0300632181</t>
  </si>
  <si>
    <t>26669</t>
  </si>
  <si>
    <t>Murugan jamuna</t>
  </si>
  <si>
    <t>0300847032</t>
  </si>
  <si>
    <t>77427</t>
  </si>
  <si>
    <t>Vadivelu Gandhimadhi</t>
  </si>
  <si>
    <t>0300882629</t>
  </si>
  <si>
    <t>195534</t>
  </si>
  <si>
    <t>8136404371011093</t>
  </si>
  <si>
    <t>117887</t>
  </si>
  <si>
    <t>0400068020</t>
  </si>
  <si>
    <t>231747</t>
  </si>
  <si>
    <t>Sarasu</t>
  </si>
  <si>
    <t>Chinnaammal</t>
  </si>
  <si>
    <t>0300686698</t>
  </si>
  <si>
    <t>185677</t>
  </si>
  <si>
    <t>Govindharaj Chandrakala</t>
  </si>
  <si>
    <t>8006064608179316</t>
  </si>
  <si>
    <t>216836</t>
  </si>
  <si>
    <t>Munniyapan Geetha</t>
  </si>
  <si>
    <t>0300747513</t>
  </si>
  <si>
    <t>191531</t>
  </si>
  <si>
    <t>Manjula (Saravanan Theatre)</t>
  </si>
  <si>
    <t>0300820034</t>
  </si>
  <si>
    <t>47512</t>
  </si>
  <si>
    <t>8200004418097864</t>
  </si>
  <si>
    <t>289235</t>
  </si>
  <si>
    <t>0300882623</t>
  </si>
  <si>
    <t>195475</t>
  </si>
  <si>
    <t>0300882651</t>
  </si>
  <si>
    <t>290784</t>
  </si>
  <si>
    <t>Thirunavukarasu</t>
  </si>
  <si>
    <t>0300897459</t>
  </si>
  <si>
    <t>300150</t>
  </si>
  <si>
    <t>0300847022</t>
  </si>
  <si>
    <t>77412</t>
  </si>
  <si>
    <t>home 220</t>
  </si>
  <si>
    <t>0300847078</t>
  </si>
  <si>
    <t>79537</t>
  </si>
  <si>
    <t>turned on 11/sep - govind</t>
  </si>
  <si>
    <t>8200004418387869</t>
  </si>
  <si>
    <t>123755</t>
  </si>
  <si>
    <t>0300820025</t>
  </si>
  <si>
    <t>47785</t>
  </si>
  <si>
    <t>0300847171</t>
  </si>
  <si>
    <t>93669</t>
  </si>
  <si>
    <t>0300591053</t>
  </si>
  <si>
    <t>167218</t>
  </si>
  <si>
    <t>0300741676</t>
  </si>
  <si>
    <t>46791</t>
  </si>
  <si>
    <t>0300847131</t>
  </si>
  <si>
    <t>84705</t>
  </si>
  <si>
    <t>0300847110</t>
  </si>
  <si>
    <t>84404</t>
  </si>
  <si>
    <t>8006064608179555</t>
  </si>
  <si>
    <t>231070</t>
  </si>
  <si>
    <t>STAR PLUS( Alacarte ), ZEE TV( Alacarte ), DIGICON TAMIL MAXX, BST 200</t>
  </si>
  <si>
    <t>0300632188</t>
  </si>
  <si>
    <t>26694</t>
  </si>
  <si>
    <t>ZEE TV( Alacarte ), SONY MAX( Alacarte ), BST 200, STAR PLUS HD( Alacarte ), DIGICON PACKAGE 4</t>
  </si>
  <si>
    <t>0300847112</t>
  </si>
  <si>
    <t>86579</t>
  </si>
  <si>
    <t>0300847116</t>
  </si>
  <si>
    <t>84709</t>
  </si>
  <si>
    <t>8136404371011291</t>
  </si>
  <si>
    <t>119423</t>
  </si>
  <si>
    <t>8006064608180033</t>
  </si>
  <si>
    <t>233453</t>
  </si>
  <si>
    <t>DIGICON PACKAGE 4, ZEE CINEMA( Alacarte ), BST 200</t>
  </si>
  <si>
    <t>0300847074</t>
  </si>
  <si>
    <t>78339</t>
  </si>
  <si>
    <t>0300955819</t>
  </si>
  <si>
    <t>178452</t>
  </si>
  <si>
    <t>0300686694</t>
  </si>
  <si>
    <t>0300847070</t>
  </si>
  <si>
    <t>78335</t>
  </si>
  <si>
    <t>0300847101</t>
  </si>
  <si>
    <t>86552</t>
  </si>
  <si>
    <t>0300500945</t>
  </si>
  <si>
    <t>30475</t>
  </si>
  <si>
    <t>0300676246</t>
  </si>
  <si>
    <t>0300287116</t>
  </si>
  <si>
    <t>154688</t>
  </si>
  <si>
    <t>8006064608179845</t>
  </si>
  <si>
    <t>237130</t>
  </si>
  <si>
    <t>0300820089</t>
  </si>
  <si>
    <t>63391</t>
  </si>
  <si>
    <t>0300847007</t>
  </si>
  <si>
    <t>77430</t>
  </si>
  <si>
    <t>8200004399991366</t>
  </si>
  <si>
    <t>286069</t>
  </si>
  <si>
    <t>0300847141</t>
  </si>
  <si>
    <t>135334</t>
  </si>
  <si>
    <t>8006064608179969</t>
  </si>
  <si>
    <t>217684</t>
  </si>
  <si>
    <t>8200004399991390</t>
  </si>
  <si>
    <t>286070</t>
  </si>
  <si>
    <t>selvam</t>
  </si>
  <si>
    <t>CAFID</t>
  </si>
  <si>
    <t>Old no</t>
  </si>
  <si>
    <t>Reenuka</t>
  </si>
  <si>
    <t>Y</t>
  </si>
  <si>
    <t>1301B7AD</t>
  </si>
  <si>
    <t>4967117</t>
  </si>
  <si>
    <t>1301CAFE</t>
  </si>
  <si>
    <t>13551654</t>
  </si>
  <si>
    <t>Chithra</t>
  </si>
  <si>
    <t>1305E457</t>
  </si>
  <si>
    <t>5411271</t>
  </si>
  <si>
    <t>1308F701</t>
  </si>
  <si>
    <t>13550689</t>
  </si>
  <si>
    <t>Ragubadhi</t>
  </si>
  <si>
    <t>14050290</t>
  </si>
  <si>
    <t>5411259</t>
  </si>
  <si>
    <t>140F1F92</t>
  </si>
  <si>
    <t>13551624</t>
  </si>
  <si>
    <t>on</t>
  </si>
  <si>
    <t>140BF2C5</t>
  </si>
  <si>
    <t>13551799</t>
  </si>
  <si>
    <t>Rani moorthi</t>
  </si>
  <si>
    <t>14017970</t>
  </si>
  <si>
    <t>13550534</t>
  </si>
  <si>
    <t>140F1F2F</t>
  </si>
  <si>
    <t>5411154</t>
  </si>
  <si>
    <t>Settu</t>
  </si>
  <si>
    <t>1302847D</t>
  </si>
  <si>
    <t>5410863</t>
  </si>
  <si>
    <t>1301A7B5</t>
  </si>
  <si>
    <t>5410923</t>
  </si>
  <si>
    <t>1301AACD</t>
  </si>
  <si>
    <t>5410956</t>
  </si>
  <si>
    <t>140B0A7F</t>
  </si>
  <si>
    <t>5411223</t>
  </si>
  <si>
    <t>Saridha</t>
  </si>
  <si>
    <t>13111B58</t>
  </si>
  <si>
    <t>5411448</t>
  </si>
  <si>
    <t>DY</t>
  </si>
  <si>
    <t>1302D101</t>
  </si>
  <si>
    <t>Viswanadhan</t>
  </si>
  <si>
    <t>1406B28D</t>
  </si>
  <si>
    <t>13551769</t>
  </si>
  <si>
    <t>Vanila</t>
  </si>
  <si>
    <t>140E84CB</t>
  </si>
  <si>
    <t>5411337</t>
  </si>
  <si>
    <t>140F06B1</t>
  </si>
  <si>
    <t>5411430</t>
  </si>
  <si>
    <t>140363D5</t>
  </si>
  <si>
    <t>13551814</t>
  </si>
  <si>
    <t>13007887</t>
  </si>
  <si>
    <t>5411025</t>
  </si>
  <si>
    <t>1406986F</t>
  </si>
  <si>
    <t>13551709</t>
  </si>
  <si>
    <t>Banupriya</t>
  </si>
  <si>
    <t>140E80E8</t>
  </si>
  <si>
    <t>13551879</t>
  </si>
  <si>
    <t>Vetrayan</t>
  </si>
  <si>
    <t>1308E2AF</t>
  </si>
  <si>
    <t>13551779</t>
  </si>
  <si>
    <t>Rajkumar</t>
  </si>
  <si>
    <t>1407F0FD</t>
  </si>
  <si>
    <t>13550639</t>
  </si>
  <si>
    <t>13045929</t>
  </si>
  <si>
    <t>5411328</t>
  </si>
  <si>
    <t>Mogana</t>
  </si>
  <si>
    <t>140404A8</t>
  </si>
  <si>
    <t>13551729</t>
  </si>
  <si>
    <t>1304E683</t>
  </si>
  <si>
    <t>5411562</t>
  </si>
  <si>
    <t>Murugesan</t>
  </si>
  <si>
    <t>13011096</t>
  </si>
  <si>
    <t>13550474</t>
  </si>
  <si>
    <t>Kovindharaj</t>
  </si>
  <si>
    <t>1311BA65</t>
  </si>
  <si>
    <t>13551644</t>
  </si>
  <si>
    <t>Veedi</t>
  </si>
  <si>
    <t>130284BB</t>
  </si>
  <si>
    <t>5410995</t>
  </si>
  <si>
    <t>Senthil kutti</t>
  </si>
  <si>
    <t>13053B39</t>
  </si>
  <si>
    <t>13551699</t>
  </si>
  <si>
    <t>1306F198</t>
  </si>
  <si>
    <t>13551664</t>
  </si>
  <si>
    <t>140EEDE2</t>
  </si>
  <si>
    <t>13551859</t>
  </si>
  <si>
    <t>140456B8</t>
  </si>
  <si>
    <t>13550609</t>
  </si>
  <si>
    <t>Pachaiyammal</t>
  </si>
  <si>
    <t>1309D115</t>
  </si>
  <si>
    <t>13551829</t>
  </si>
  <si>
    <t>Sagundhala-Silambu</t>
  </si>
  <si>
    <t>140D3187</t>
  </si>
  <si>
    <t>13551629</t>
  </si>
  <si>
    <t>Pachaiyappan</t>
  </si>
  <si>
    <t>14137A2E</t>
  </si>
  <si>
    <t>13551899</t>
  </si>
  <si>
    <t>Nadhiya</t>
  </si>
  <si>
    <t>14081845</t>
  </si>
  <si>
    <t>13551614</t>
  </si>
  <si>
    <t>Amaravadhi</t>
  </si>
  <si>
    <t>1404D709</t>
  </si>
  <si>
    <t>13551839</t>
  </si>
  <si>
    <t>Nanjappan</t>
  </si>
  <si>
    <t>141658D1</t>
  </si>
  <si>
    <t>5411403</t>
  </si>
  <si>
    <t>Neeru</t>
  </si>
  <si>
    <t>140DD9A1</t>
  </si>
  <si>
    <t>13550919</t>
  </si>
  <si>
    <t>141CAA18</t>
  </si>
  <si>
    <t>13669064</t>
  </si>
  <si>
    <t>Kamala</t>
  </si>
  <si>
    <t>1413B576</t>
  </si>
  <si>
    <t>13550504</t>
  </si>
  <si>
    <t>13066EBE</t>
  </si>
  <si>
    <t>5411196</t>
  </si>
  <si>
    <t>1402DD1B</t>
  </si>
  <si>
    <t>5411307</t>
  </si>
  <si>
    <t>1312601F</t>
  </si>
  <si>
    <t>13551824</t>
  </si>
  <si>
    <t>1403FA8F</t>
  </si>
  <si>
    <t>13551724</t>
  </si>
  <si>
    <t>Kiliammal</t>
  </si>
  <si>
    <t>1306937C</t>
  </si>
  <si>
    <t>141B458E</t>
  </si>
  <si>
    <t>13669034</t>
  </si>
  <si>
    <t>Aamsa</t>
  </si>
  <si>
    <t>13165C6F</t>
  </si>
  <si>
    <t>13551844</t>
  </si>
  <si>
    <t>Ravigandh</t>
  </si>
  <si>
    <t>140EBA7E</t>
  </si>
  <si>
    <t>13551884</t>
  </si>
  <si>
    <t>Mani Magesh</t>
  </si>
  <si>
    <t>140CF577</t>
  </si>
  <si>
    <t>13550454</t>
  </si>
  <si>
    <t>1416047D</t>
  </si>
  <si>
    <t>13669039</t>
  </si>
  <si>
    <t>1406EE9C</t>
  </si>
  <si>
    <t>13551774</t>
  </si>
  <si>
    <t>Ambika Madhayan</t>
  </si>
  <si>
    <t>13018CCD</t>
  </si>
  <si>
    <t>4967363</t>
  </si>
  <si>
    <t>1305DC02</t>
  </si>
  <si>
    <t>5411352</t>
  </si>
  <si>
    <t>14049FF9</t>
  </si>
  <si>
    <t>13550524</t>
  </si>
  <si>
    <t>13068E5A</t>
  </si>
  <si>
    <t>5411229</t>
  </si>
  <si>
    <t>Jayavel</t>
  </si>
  <si>
    <t>1414546E</t>
  </si>
  <si>
    <t>13669059</t>
  </si>
  <si>
    <t>Chinnavan</t>
  </si>
  <si>
    <t>13085D01</t>
  </si>
  <si>
    <t>5411091</t>
  </si>
  <si>
    <t>Konnammal</t>
  </si>
  <si>
    <t>13042EFF</t>
  </si>
  <si>
    <t>13551694</t>
  </si>
  <si>
    <t>Raja Selvi</t>
  </si>
  <si>
    <t>14160413</t>
  </si>
  <si>
    <t>13669024</t>
  </si>
  <si>
    <t>Karthiga</t>
  </si>
  <si>
    <t>1305EF93</t>
  </si>
  <si>
    <t>13551784</t>
  </si>
  <si>
    <t>1305C981</t>
  </si>
  <si>
    <t>5411556</t>
  </si>
  <si>
    <t>13028C44</t>
  </si>
  <si>
    <t>14859646</t>
  </si>
  <si>
    <t>1302D7C8</t>
  </si>
  <si>
    <t>4967465</t>
  </si>
  <si>
    <t>140D33FC</t>
  </si>
  <si>
    <t>13550669</t>
  </si>
  <si>
    <t>130274F8</t>
  </si>
  <si>
    <t>13550519</t>
  </si>
  <si>
    <t>Dinesh-diff</t>
  </si>
  <si>
    <t>14016CCD</t>
  </si>
  <si>
    <t>13550489</t>
  </si>
  <si>
    <t>Ganeshan</t>
  </si>
  <si>
    <t>1301A8BB</t>
  </si>
  <si>
    <t>5410938</t>
  </si>
  <si>
    <t>turned on 22-sep after 3 months</t>
  </si>
  <si>
    <t>1301B7AB</t>
  </si>
  <si>
    <t>5411049</t>
  </si>
  <si>
    <t>Santha moorthi</t>
  </si>
  <si>
    <t>13112128</t>
  </si>
  <si>
    <t>5411130</t>
  </si>
  <si>
    <t>Elavarasan</t>
  </si>
  <si>
    <t>130A94FE</t>
  </si>
  <si>
    <t>13550619</t>
  </si>
  <si>
    <t>Thirthamalai</t>
  </si>
  <si>
    <t>140E2796</t>
  </si>
  <si>
    <t>5411376</t>
  </si>
  <si>
    <t>130281E1</t>
  </si>
  <si>
    <t>5285962</t>
  </si>
  <si>
    <t>Annamalai</t>
  </si>
  <si>
    <t>1302C836</t>
  </si>
  <si>
    <t>5410914</t>
  </si>
  <si>
    <t>13010C34</t>
  </si>
  <si>
    <t>14866414</t>
  </si>
  <si>
    <t>13036906</t>
  </si>
  <si>
    <t>5411010</t>
  </si>
  <si>
    <t>14069A9B</t>
  </si>
  <si>
    <t>13551714</t>
  </si>
  <si>
    <t>Sivaraj</t>
  </si>
  <si>
    <t>130E96BA</t>
  </si>
  <si>
    <t>13550464</t>
  </si>
  <si>
    <t>1308250F</t>
  </si>
  <si>
    <t>13551904</t>
  </si>
  <si>
    <t>14039044</t>
  </si>
  <si>
    <t>5411244</t>
  </si>
  <si>
    <t>130667E0</t>
  </si>
  <si>
    <t>13669049</t>
  </si>
  <si>
    <t>Dharuman</t>
  </si>
  <si>
    <t>1414321D</t>
  </si>
  <si>
    <t>13669044</t>
  </si>
  <si>
    <t>Sathish Kumar-1</t>
  </si>
  <si>
    <t>140D50E6</t>
  </si>
  <si>
    <t>5411292</t>
  </si>
  <si>
    <t>Amsaa</t>
  </si>
  <si>
    <t>1302936B</t>
  </si>
  <si>
    <t>14859671</t>
  </si>
  <si>
    <t>130F6931</t>
  </si>
  <si>
    <t>13550554</t>
  </si>
  <si>
    <t>Kulandhai</t>
  </si>
  <si>
    <t>14110F27</t>
  </si>
  <si>
    <t>13550959</t>
  </si>
  <si>
    <t>13085D4D</t>
  </si>
  <si>
    <t>13551909</t>
  </si>
  <si>
    <t>govindhan not received on 5/9</t>
  </si>
  <si>
    <t>1402DD95</t>
  </si>
  <si>
    <t>13550569</t>
  </si>
  <si>
    <t>Manga</t>
  </si>
  <si>
    <t>14048615</t>
  </si>
  <si>
    <t>5411538</t>
  </si>
  <si>
    <t>Kasthuri</t>
  </si>
  <si>
    <t>1413C484</t>
  </si>
  <si>
    <t>13551894</t>
  </si>
  <si>
    <t>13027E06</t>
  </si>
  <si>
    <t>5411061</t>
  </si>
  <si>
    <t>Murugammal</t>
  </si>
  <si>
    <t>13085A73</t>
  </si>
  <si>
    <t>13551749</t>
  </si>
  <si>
    <t>14080D74</t>
  </si>
  <si>
    <t>13550544</t>
  </si>
  <si>
    <t>Jothi</t>
  </si>
  <si>
    <t>13165A8B</t>
  </si>
  <si>
    <t>13550649</t>
  </si>
  <si>
    <t>130284B4</t>
  </si>
  <si>
    <t>5410893</t>
  </si>
  <si>
    <t>node</t>
  </si>
  <si>
    <t>Selvarasu</t>
  </si>
  <si>
    <t>140B6236</t>
  </si>
  <si>
    <t>13551684</t>
  </si>
  <si>
    <t>1412B419</t>
  </si>
  <si>
    <t>13669054</t>
  </si>
  <si>
    <t>Valarmadhi</t>
  </si>
  <si>
    <t>13165A44</t>
  </si>
  <si>
    <t>13551849</t>
  </si>
  <si>
    <t>141ED3E8</t>
  </si>
  <si>
    <t>13669069</t>
  </si>
  <si>
    <t>Kaala</t>
  </si>
  <si>
    <t>140B119F</t>
  </si>
  <si>
    <t>13551734</t>
  </si>
  <si>
    <t>Pandurangan</t>
  </si>
  <si>
    <t>1402BDDC</t>
  </si>
  <si>
    <t>13550444</t>
  </si>
  <si>
    <t>Muthumani</t>
  </si>
  <si>
    <t>13082317</t>
  </si>
  <si>
    <t>13550479</t>
  </si>
  <si>
    <t>1306B302</t>
  </si>
  <si>
    <t>13551874</t>
  </si>
  <si>
    <t>1308248E</t>
  </si>
  <si>
    <t>13550989</t>
  </si>
  <si>
    <t>Munnusami</t>
  </si>
  <si>
    <t>140D32FF</t>
  </si>
  <si>
    <t>13551864</t>
  </si>
  <si>
    <t>1301F08A</t>
  </si>
  <si>
    <t>14859656</t>
  </si>
  <si>
    <t>13028497</t>
  </si>
  <si>
    <t>5410878</t>
  </si>
  <si>
    <t>Sasikumar</t>
  </si>
  <si>
    <t>141730F1</t>
  </si>
  <si>
    <t>5411214</t>
  </si>
  <si>
    <t>130F49D0</t>
  </si>
  <si>
    <t>140F2180</t>
  </si>
  <si>
    <t>5411526</t>
  </si>
  <si>
    <t>Mangammal</t>
  </si>
  <si>
    <t>Perumal - Diff LCO</t>
  </si>
  <si>
    <t>1302CFBB</t>
  </si>
  <si>
    <t>5591760</t>
  </si>
  <si>
    <t>Palaniammal - Diff LCO</t>
  </si>
  <si>
    <t>1302CF43</t>
  </si>
  <si>
    <t>5449386</t>
  </si>
  <si>
    <t>Venkateshan -diff</t>
  </si>
  <si>
    <t>1302CF15</t>
  </si>
  <si>
    <t>complaint stb off</t>
  </si>
  <si>
    <t>1301974B</t>
  </si>
  <si>
    <t>14859661</t>
  </si>
  <si>
    <t>Munniyammal</t>
  </si>
  <si>
    <t>13035083</t>
  </si>
  <si>
    <t>14859651</t>
  </si>
  <si>
    <t>1302A9B1</t>
  </si>
  <si>
    <t>14859641</t>
  </si>
  <si>
    <t>Silambarasan</t>
  </si>
  <si>
    <t>13060A77</t>
  </si>
  <si>
    <t>13550509</t>
  </si>
  <si>
    <t>1302c6b1</t>
  </si>
  <si>
    <t>2 box on in madhu at 5/9</t>
  </si>
  <si>
    <t>1302d101</t>
  </si>
  <si>
    <t>APPROX AMOUNT</t>
  </si>
  <si>
    <t>AREA NAME</t>
  </si>
  <si>
    <t>FEBUARY</t>
  </si>
  <si>
    <t>ACTIVE LIST</t>
  </si>
  <si>
    <t>TOTAL PAID</t>
  </si>
  <si>
    <t>VALLUR-1</t>
  </si>
  <si>
    <t>VALLUR-2</t>
  </si>
  <si>
    <t>SANKAR KOTAI</t>
  </si>
  <si>
    <t>PUDHUR</t>
  </si>
  <si>
    <t>MUSLISM STREET</t>
  </si>
  <si>
    <t>A.COLONY</t>
  </si>
  <si>
    <t>KAMARAJ NAGAR</t>
  </si>
  <si>
    <t>M.MARIAMMAN</t>
  </si>
  <si>
    <t>K.MUDHALIYAR</t>
  </si>
  <si>
    <t>AGALI THERU</t>
  </si>
  <si>
    <t>Mannikam_Muthaliyar-I</t>
  </si>
  <si>
    <t>Mannikam_Muthaliyar-II</t>
  </si>
  <si>
    <t>BHARADHIDHASAN</t>
  </si>
  <si>
    <t>SUBHARAMANIYA SIVA</t>
  </si>
  <si>
    <t>PILLAIYARKOVIL</t>
  </si>
  <si>
    <t>E.MUDHALI</t>
  </si>
  <si>
    <t>MAIN ROAD</t>
  </si>
  <si>
    <t>BHARATHIPURAM-1</t>
  </si>
  <si>
    <t>BHARATHIPURAM-2</t>
  </si>
  <si>
    <t>GOVT BOX</t>
  </si>
  <si>
    <t>APPA</t>
  </si>
  <si>
    <t>MURUGAN</t>
  </si>
  <si>
    <t>GOVINDHAN</t>
  </si>
  <si>
    <t>TOTAL BASED ON ABOVE</t>
  </si>
  <si>
    <t>TOTAL COLLECTION</t>
  </si>
  <si>
    <t>AUGUST 2020</t>
  </si>
  <si>
    <t>SEPTEMBER 2020</t>
  </si>
  <si>
    <t>DATE</t>
  </si>
  <si>
    <t>SALARY</t>
  </si>
  <si>
    <t>DATE2</t>
  </si>
  <si>
    <t>Extra</t>
  </si>
  <si>
    <t>GIVEN AMOUNT</t>
  </si>
  <si>
    <t>ENTRY AMOUNT</t>
  </si>
  <si>
    <t>TOTAL AMOUNT</t>
  </si>
  <si>
    <t>BOX NO</t>
  </si>
  <si>
    <t>NAME</t>
  </si>
  <si>
    <t>perumal</t>
  </si>
  <si>
    <t>vallur-1</t>
  </si>
  <si>
    <t>august-17 =&gt;200</t>
  </si>
  <si>
    <t>IMPORTANT LIST BELOW</t>
  </si>
  <si>
    <t>thirumalai store</t>
  </si>
  <si>
    <t>appu sami maligai kadai</t>
  </si>
  <si>
    <t>thirumalai store - staff girl</t>
  </si>
  <si>
    <t>Viji chithapa</t>
  </si>
  <si>
    <t>selvam palaniappa textiles</t>
  </si>
  <si>
    <t>mouli appa</t>
  </si>
  <si>
    <t>Dhanabakiyam</t>
  </si>
  <si>
    <t>Bala Subramaniyam</t>
  </si>
  <si>
    <t>Raji </t>
  </si>
  <si>
    <t>Sampu</t>
  </si>
  <si>
    <t>madesh</t>
  </si>
  <si>
    <t>Molaga Kararu</t>
  </si>
  <si>
    <t>Ganesan </t>
  </si>
  <si>
    <t>Saraswathi </t>
  </si>
  <si>
    <t>sappu murugan</t>
  </si>
  <si>
    <t>2000 on june</t>
  </si>
  <si>
    <t>chandra</t>
  </si>
  <si>
    <t>Chitra kummu</t>
  </si>
  <si>
    <t>govindhan vasul</t>
  </si>
  <si>
    <t>govindharaj staff</t>
  </si>
  <si>
    <t>sk</t>
  </si>
  <si>
    <t>lakshmi</t>
  </si>
  <si>
    <t>anandhan maligai</t>
  </si>
  <si>
    <t>0300591532</t>
  </si>
  <si>
    <t>muslism doctor</t>
  </si>
  <si>
    <t>devan</t>
  </si>
  <si>
    <t>Subramaniya siva</t>
  </si>
  <si>
    <t>0300882129</t>
  </si>
  <si>
    <t>anandhan ricemill</t>
  </si>
  <si>
    <t>kamaraj nagar</t>
  </si>
  <si>
    <t>not yet and not activated</t>
  </si>
  <si>
    <t>Kaadai</t>
  </si>
  <si>
    <t>Veedu</t>
  </si>
  <si>
    <t>0200210665</t>
  </si>
  <si>
    <t>spare box replaced with new card</t>
  </si>
  <si>
    <t>new box</t>
  </si>
  <si>
    <t>0300676247</t>
  </si>
  <si>
    <t>pudhur</t>
  </si>
  <si>
    <t>govind - from appa whatsapp</t>
  </si>
  <si>
    <t>0300686662</t>
  </si>
  <si>
    <t>sankar</t>
  </si>
  <si>
    <t>govind</t>
  </si>
  <si>
    <t>0300820069</t>
  </si>
  <si>
    <t>TOTAL - M</t>
  </si>
  <si>
    <t>TOTAL - A</t>
  </si>
  <si>
    <t>m</t>
  </si>
  <si>
    <t>8006064608179381</t>
  </si>
  <si>
    <t>228389</t>
  </si>
  <si>
    <t>195902</t>
  </si>
  <si>
    <t>0400076420</t>
  </si>
  <si>
    <t>H</t>
  </si>
  <si>
    <t>DC</t>
  </si>
  <si>
    <t>home 300</t>
  </si>
  <si>
    <t>GP 300 pending 160</t>
  </si>
  <si>
    <t>Agro service</t>
  </si>
  <si>
    <t>250 box</t>
  </si>
  <si>
    <t>8006064608179902</t>
  </si>
  <si>
    <t>1 month late</t>
  </si>
  <si>
    <t>M - 1M - 06/10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</si>
</sst>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_ [$₹-4009]\ * #,##0.00_ ;_ [$₹-4009]\ * \-#,##0.00_ ;_ [$₹-4009]\ * &quot;-&quot;??_ ;_ @_ "/>
    <numFmt numFmtId="166" formatCode="[$₹-4009]\ #,##0.00"/>
    <numFmt numFmtId="167" formatCode="[$₹-447]#,##0.00"/>
  </numFmts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medium">
        <color theme="4"/>
      </bottom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thin">
        <color theme="4"/>
      </left>
      <right/>
      <top/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thick">
        <color theme="4" tint="0.499984740745262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/>
    <xf numFmtId="0" fontId="3" fillId="4" borderId="0"/>
    <xf numFmtId="0" fontId="4" fillId="3" borderId="1"/>
    <xf numFmtId="44" fontId="15" fillId="0" borderId="0"/>
    <xf numFmtId="0" fontId="6" fillId="0" borderId="0"/>
    <xf numFmtId="0" fontId="5" fillId="0" borderId="11"/>
    <xf numFmtId="0" fontId="2" fillId="6" borderId="0"/>
    <xf numFmtId="0" fontId="10" fillId="0" borderId="0"/>
    <xf numFmtId="0" fontId="11" fillId="0" borderId="12"/>
    <xf numFmtId="0" fontId="12" fillId="7" borderId="0"/>
    <xf numFmtId="0" fontId="13" fillId="3" borderId="13"/>
    <xf numFmtId="0" fontId="14" fillId="8" borderId="14"/>
  </cellStyleXfs>
  <cellXfs count="92">
    <xf numFmtId="0" fontId="0" fillId="0" borderId="0" xfId="0"/>
    <xf numFmtId="0" fontId="1" fillId="2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3" fillId="4" borderId="0" xfId="2"/>
    <xf numFmtId="0" fontId="5" fillId="0" borderId="3" xfId="0" applyFont="1" applyBorder="1"/>
    <xf numFmtId="0" fontId="5" fillId="0" borderId="4" xfId="0" applyFont="1" applyBorder="1"/>
    <xf numFmtId="49" fontId="5" fillId="0" borderId="4" xfId="0" applyNumberFormat="1" applyFont="1" applyBorder="1"/>
    <xf numFmtId="164" fontId="5" fillId="0" borderId="4" xfId="0" applyNumberFormat="1" applyFont="1" applyBorder="1"/>
    <xf numFmtId="0" fontId="0" fillId="5" borderId="8" xfId="0" applyFill="1" applyBorder="1"/>
    <xf numFmtId="0" fontId="0" fillId="5" borderId="9" xfId="0" applyFill="1" applyBorder="1"/>
    <xf numFmtId="49" fontId="0" fillId="5" borderId="9" xfId="0" applyNumberFormat="1" applyFill="1" applyBorder="1"/>
    <xf numFmtId="0" fontId="1" fillId="2" borderId="2" xfId="1" applyBorder="1"/>
    <xf numFmtId="0" fontId="3" fillId="4" borderId="2" xfId="2" applyBorder="1"/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4" fontId="4" fillId="3" borderId="1" xfId="3" applyNumberFormat="1"/>
    <xf numFmtId="164" fontId="0" fillId="0" borderId="0" xfId="4" applyNumberFormat="1" applyFont="1"/>
    <xf numFmtId="164" fontId="5" fillId="0" borderId="5" xfId="0" applyNumberFormat="1" applyFont="1" applyBorder="1"/>
    <xf numFmtId="164" fontId="0" fillId="5" borderId="10" xfId="0" applyNumberFormat="1" applyFill="1" applyBorder="1"/>
    <xf numFmtId="164" fontId="0" fillId="5" borderId="9" xfId="0" applyNumberFormat="1" applyFill="1" applyBorder="1"/>
    <xf numFmtId="0" fontId="2" fillId="6" borderId="1" xfId="7" applyBorder="1"/>
    <xf numFmtId="165" fontId="2" fillId="6" borderId="1" xfId="7" applyNumberFormat="1" applyBorder="1"/>
    <xf numFmtId="0" fontId="5" fillId="3" borderId="11" xfId="6" applyFill="1"/>
    <xf numFmtId="165" fontId="5" fillId="3" borderId="11" xfId="6" applyNumberFormat="1" applyFill="1"/>
    <xf numFmtId="0" fontId="6" fillId="0" borderId="0" xfId="5" applyAlignment="1">
      <alignment horizontal="center"/>
    </xf>
    <xf numFmtId="165" fontId="6" fillId="0" borderId="0" xfId="5" applyNumberFormat="1"/>
    <xf numFmtId="49" fontId="5" fillId="0" borderId="5" xfId="0" applyNumberFormat="1" applyFont="1" applyBorder="1"/>
    <xf numFmtId="49" fontId="0" fillId="5" borderId="7" xfId="0" applyNumberFormat="1" applyFill="1" applyBorder="1"/>
    <xf numFmtId="49" fontId="0" fillId="0" borderId="7" xfId="0" applyNumberFormat="1" applyBorder="1"/>
    <xf numFmtId="0" fontId="5" fillId="0" borderId="0" xfId="0" applyFont="1"/>
    <xf numFmtId="164" fontId="5" fillId="0" borderId="0" xfId="0" applyNumberFormat="1" applyFont="1"/>
    <xf numFmtId="0" fontId="8" fillId="2" borderId="2" xfId="1" applyFont="1" applyBorder="1"/>
    <xf numFmtId="0" fontId="9" fillId="4" borderId="2" xfId="2" applyFont="1" applyBorder="1"/>
    <xf numFmtId="49" fontId="0" fillId="5" borderId="10" xfId="0" applyNumberFormat="1" applyFill="1" applyBorder="1"/>
    <xf numFmtId="49" fontId="5" fillId="0" borderId="0" xfId="0" applyNumberFormat="1" applyFont="1"/>
    <xf numFmtId="0" fontId="4" fillId="3" borderId="1" xfId="3"/>
    <xf numFmtId="164" fontId="0" fillId="0" borderId="0" xfId="0" applyNumberFormat="1" applyAlignment="1">
      <alignment horizontal="left"/>
    </xf>
    <xf numFmtId="14" fontId="0" fillId="0" borderId="0" xfId="0" applyNumberFormat="1"/>
    <xf numFmtId="0" fontId="0" fillId="4" borderId="0" xfId="2" applyFont="1"/>
    <xf numFmtId="0" fontId="0" fillId="2" borderId="0" xfId="1" applyFont="1"/>
    <xf numFmtId="49" fontId="0" fillId="0" borderId="0" xfId="0" applyNumberFormat="1"/>
    <xf numFmtId="0" fontId="0" fillId="3" borderId="1" xfId="3" applyFont="1"/>
    <xf numFmtId="0" fontId="0" fillId="0" borderId="2" xfId="0" applyBorder="1"/>
    <xf numFmtId="49" fontId="0" fillId="0" borderId="2" xfId="0" applyNumberFormat="1" applyBorder="1"/>
    <xf numFmtId="0" fontId="0" fillId="0" borderId="6" xfId="0" applyBorder="1"/>
    <xf numFmtId="164" fontId="0" fillId="0" borderId="7" xfId="0" applyNumberFormat="1" applyBorder="1"/>
    <xf numFmtId="164" fontId="0" fillId="0" borderId="2" xfId="0" applyNumberFormat="1" applyBorder="1"/>
    <xf numFmtId="164" fontId="7" fillId="0" borderId="0" xfId="4" applyNumberFormat="1" applyFont="1"/>
    <xf numFmtId="16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4" fontId="15" fillId="0" borderId="0" xfId="4" applyNumberFormat="1"/>
    <xf numFmtId="0" fontId="0" fillId="5" borderId="6" xfId="0" applyFill="1" applyBorder="1"/>
    <xf numFmtId="0" fontId="0" fillId="5" borderId="2" xfId="0" applyFill="1" applyBorder="1"/>
    <xf numFmtId="49" fontId="0" fillId="5" borderId="2" xfId="0" applyNumberFormat="1" applyFill="1" applyBorder="1"/>
    <xf numFmtId="164" fontId="0" fillId="5" borderId="7" xfId="0" applyNumberFormat="1" applyFill="1" applyBorder="1"/>
    <xf numFmtId="164" fontId="0" fillId="5" borderId="2" xfId="0" applyNumberFormat="1" applyFill="1" applyBorder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166" fontId="5" fillId="0" borderId="0" xfId="0" applyNumberFormat="1" applyFont="1"/>
    <xf numFmtId="0" fontId="0" fillId="0" borderId="0" xfId="0"/>
    <xf numFmtId="167" fontId="5" fillId="0" borderId="0" xfId="0" applyNumberFormat="1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/>
    <xf numFmtId="0" fontId="14" fillId="8" borderId="14" xfId="12" applyAlignment="1">
      <alignment horizontal="center"/>
    </xf>
    <xf numFmtId="0" fontId="0" fillId="0" borderId="16" xfId="0" applyBorder="1"/>
    <xf numFmtId="164" fontId="11" fillId="0" borderId="15" xfId="9" applyNumberFormat="1" applyBorder="1" applyAlignment="1">
      <alignment horizontal="center"/>
    </xf>
    <xf numFmtId="0" fontId="0" fillId="0" borderId="12" xfId="0" applyBorder="1"/>
    <xf numFmtId="0" fontId="1" fillId="2" borderId="0" xfId="1" applyAlignment="1">
      <alignment horizontal="left"/>
    </xf>
    <xf numFmtId="0" fontId="0" fillId="0" borderId="0" xfId="0"/>
    <xf numFmtId="164" fontId="1" fillId="2" borderId="17" xfId="1" applyNumberFormat="1" applyBorder="1" applyAlignment="1">
      <alignment horizontal="left"/>
    </xf>
    <xf numFmtId="0" fontId="0" fillId="0" borderId="17" xfId="0" applyBorder="1"/>
    <xf numFmtId="0" fontId="3" fillId="4" borderId="0" xfId="2" applyAlignment="1">
      <alignment horizontal="left"/>
    </xf>
    <xf numFmtId="164" fontId="3" fillId="4" borderId="0" xfId="2" applyNumberFormat="1" applyAlignment="1">
      <alignment horizontal="left"/>
    </xf>
    <xf numFmtId="0" fontId="13" fillId="3" borderId="13" xfId="11" applyAlignment="1">
      <alignment horizontal="center"/>
    </xf>
    <xf numFmtId="0" fontId="0" fillId="0" borderId="18" xfId="0" applyBorder="1"/>
    <xf numFmtId="0" fontId="0" fillId="0" borderId="19" xfId="0" applyBorder="1"/>
    <xf numFmtId="0" fontId="12" fillId="7" borderId="0" xfId="10" applyAlignment="1">
      <alignment horizontal="left"/>
    </xf>
    <xf numFmtId="164" fontId="12" fillId="7" borderId="0" xfId="10" applyNumberFormat="1" applyAlignment="1">
      <alignment horizontal="left"/>
    </xf>
    <xf numFmtId="164" fontId="1" fillId="2" borderId="0" xfId="1" applyNumberForma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49" fontId="10" fillId="0" borderId="0" xfId="8" applyNumberFormat="1" applyAlignment="1">
      <alignment horizontal="center"/>
    </xf>
    <xf numFmtId="0" fontId="5" fillId="0" borderId="0" xfId="0" applyFont="1" applyAlignment="1">
      <alignment horizontal="center"/>
    </xf>
  </cellXfs>
  <cellStyles count="13">
    <cellStyle name="Accent5" xfId="7" builtinId="45"/>
    <cellStyle name="Bad" xfId="10" builtinId="27"/>
    <cellStyle name="Calculation" xfId="3" builtinId="22"/>
    <cellStyle name="Check Cell" xfId="12" builtinId="23"/>
    <cellStyle name="Currency" xfId="4" builtinId="4"/>
    <cellStyle name="Good" xfId="1" builtinId="26"/>
    <cellStyle name="Heading 2" xfId="9" builtinId="17"/>
    <cellStyle name="Heading 4" xfId="5" builtinId="19"/>
    <cellStyle name="Neutral" xfId="2" builtinId="28"/>
    <cellStyle name="Normal" xfId="0" builtinId="0"/>
    <cellStyle name="Output" xfId="11" builtinId="21"/>
    <cellStyle name="Title" xfId="8" builtinId="15"/>
    <cellStyle name="Total" xfId="6" builtinId="25"/>
  </cellStyles>
  <dxfs count="708"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/>
    </dxf>
    <dxf>
      <alignment horizontal="left" vertical="bottom"/>
    </dxf>
    <dxf>
      <alignment horizontal="left" vertical="bottom"/>
    </dxf>
    <dxf>
      <alignment horizontal="left" vertical="bottom"/>
    </dxf>
    <dxf>
      <alignment horizontal="left" vertical="bottom"/>
    </dxf>
    <dxf>
      <alignment horizontal="left" vertical="bottom"/>
    </dxf>
    <dxf>
      <alignment horizontal="left" vertical="bottom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&quot;₹&quot;\ #,##0.00"/>
      <fill>
        <patternFill patternType="solid">
          <fgColor theme="4" tint="0.79998168889431442"/>
          <bgColor theme="4" tint="0.79998168889431442"/>
        </patternFill>
      </fill>
      <border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left/>
        <right/>
        <top/>
        <bottom style="medium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border outline="0">
        <left style="thin">
          <color theme="4"/>
        </left>
        <right style="thin">
          <color theme="4"/>
        </right>
        <top/>
        <bottom/>
      </border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</font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 outline="0">
        <left/>
        <right/>
        <top style="thin">
          <color theme="4"/>
        </top>
        <bottom/>
      </border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numFmt numFmtId="164" formatCode="&quot;₹&quot;\ #,##0.00"/>
    </dxf>
    <dxf>
      <font>
        <b/>
      </font>
    </dxf>
    <dxf>
      <font>
        <b/>
      </font>
    </dxf>
    <dxf>
      <numFmt numFmtId="30" formatCode="@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166" formatCode="[$₹-4009]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  <alignment horizontal="center" vertical="bottom" textRotation="0" wrapText="0" indent="0" justifyLastLine="0" shrinkToFit="0" readingOrder="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164" formatCode="&quot;₹&quot;\ #,##0.00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  <fill>
        <patternFill>
          <fgColor indexed="64"/>
          <bgColor indexed="65"/>
        </patternFill>
      </fill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30" formatCode="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T96" totalsRowCount="1">
  <autoFilter ref="A1:T95" xr:uid="{00000000-0009-0000-0100-000001000000}"/>
  <sortState xmlns:xlrd2="http://schemas.microsoft.com/office/spreadsheetml/2017/richdata2" ref="A2:R94">
    <sortCondition ref="A1:A94"/>
  </sortState>
  <tableColumns count="20">
    <tableColumn id="1" xr3:uid="{00000000-0010-0000-0000-000001000000}" name="S.NO" totalsRowLabel="Total"/>
    <tableColumn id="2" xr3:uid="{00000000-0010-0000-0000-000002000000}" name="Customer Name"/>
    <tableColumn id="3" xr3:uid="{00000000-0010-0000-0000-000003000000}" name="PAID">
      <calculatedColumnFormula array="1">_xlfn.IFS(vallur1[[#This Row],[OCTOBER]]="M","M",vallur1[[#This Row],[OCTOBER]]="A","A",vallur1[[#This Row],[OCTOBER]]="","",vallur1[[#This Row],[OCTOBER]]&gt;100,"P")</calculatedColumnFormula>
    </tableColumn>
    <tableColumn id="29" xr3:uid="{00000000-0010-0000-0000-00001D000000}" name="Package" totalsRowFunction="count"/>
    <tableColumn id="4" xr3:uid="{00000000-0010-0000-0000-000004000000}" name="Box No" totalsRowFunction="count" dataDxfId="707"/>
    <tableColumn id="28" xr3:uid="{00000000-0010-0000-0000-00001C000000}" name="CAF_ID" totalsRowFunction="count" dataDxfId="706"/>
    <tableColumn id="5" xr3:uid="{00000000-0010-0000-0000-000005000000}" name="JANUARY" totalsRowFunction="sum" dataDxfId="705" totalsRowDxfId="704"/>
    <tableColumn id="7" xr3:uid="{00000000-0010-0000-0000-000007000000}" name="FEBEUARY" totalsRowFunction="sum" dataDxfId="703" totalsRowDxfId="702"/>
    <tableColumn id="9" xr3:uid="{00000000-0010-0000-0000-000009000000}" name="MARCH" totalsRowFunction="sum" dataDxfId="701" totalsRowDxfId="700"/>
    <tableColumn id="11" xr3:uid="{00000000-0010-0000-0000-00000B000000}" name="APRIL" totalsRowFunction="sum" dataDxfId="699" totalsRowDxfId="698"/>
    <tableColumn id="13" xr3:uid="{00000000-0010-0000-0000-00000D000000}" name="MAY" totalsRowFunction="sum" dataDxfId="697" totalsRowDxfId="696"/>
    <tableColumn id="15" xr3:uid="{00000000-0010-0000-0000-00000F000000}" name="JUNE" totalsRowFunction="sum" dataDxfId="695" totalsRowDxfId="694"/>
    <tableColumn id="17" xr3:uid="{00000000-0010-0000-0000-000011000000}" name="JULY" totalsRowFunction="sum" dataDxfId="693" totalsRowDxfId="692"/>
    <tableColumn id="19" xr3:uid="{00000000-0010-0000-0000-000013000000}" name="AUGUST" totalsRowFunction="sum" dataDxfId="691" totalsRowDxfId="690"/>
    <tableColumn id="10" xr3:uid="{00000000-0010-0000-0000-00000A000000}" name="SEPTEMBER" totalsRowFunction="sum" dataDxfId="689" totalsRowDxfId="688"/>
    <tableColumn id="21" xr3:uid="{00000000-0010-0000-0000-000015000000}" name="OCTOBER" totalsRowFunction="sum" dataDxfId="687" totalsRowDxfId="686"/>
    <tableColumn id="23" xr3:uid="{00000000-0010-0000-0000-000017000000}" name="NOVEMBER" totalsRowFunction="sum" dataDxfId="685" totalsRowDxfId="684"/>
    <tableColumn id="25" xr3:uid="{00000000-0010-0000-0000-000019000000}" name="DECEMBER" totalsRowFunction="sum" dataDxfId="683" totalsRowDxfId="682"/>
    <tableColumn id="27" xr3:uid="{00000000-0010-0000-0000-00001B000000}" name="BALANCE" totalsRowFunction="sum" dataDxfId="681" totalsRowDxfId="680" dataCellStyle="Currency"/>
    <tableColumn id="8" xr3:uid="{00000000-0010-0000-0000-000008000000}" name="COMMENTS" dataDxfId="679" totalsRowDxfId="67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T34" totalsRowCount="1">
  <autoFilter ref="A1:T33" xr:uid="{00000000-0009-0000-0100-000002000000}"/>
  <sortState xmlns:xlrd2="http://schemas.microsoft.com/office/spreadsheetml/2017/richdata2" ref="A2:R32">
    <sortCondition ref="A1:A32"/>
  </sortState>
  <tableColumns count="20">
    <tableColumn id="1" xr3:uid="{00000000-0010-0000-0100-000001000000}" name="S.NO" totalsRowLabel="Total"/>
    <tableColumn id="2" xr3:uid="{00000000-0010-0000-0100-000002000000}" name="Customer Name"/>
    <tableColumn id="3" xr3:uid="{00000000-0010-0000-0100-000003000000}" name="PAID">
      <calculatedColumnFormula array="1">_xlfn.IFS(vallur2[[#This Row],[OCTOBER]]="M","M",vallur2[[#This Row],[OCTOBER]]="A","A",vallur2[[#This Row],[OCTOBER]]="","",vallur2[[#This Row],[OCTOBER]]&gt;100,"P")</calculatedColumnFormula>
    </tableColumn>
    <tableColumn id="29" xr3:uid="{00000000-0010-0000-0100-00001D000000}" name="Package" totalsRowFunction="count"/>
    <tableColumn id="4" xr3:uid="{00000000-0010-0000-0100-000004000000}" name="Box No" totalsRowFunction="count" dataDxfId="677"/>
    <tableColumn id="28" xr3:uid="{00000000-0010-0000-0100-00001C000000}" name="CAF_ID" totalsRowFunction="count" dataDxfId="676"/>
    <tableColumn id="5" xr3:uid="{00000000-0010-0000-0100-000005000000}" name="JANUARY" totalsRowFunction="sum" dataDxfId="675" totalsRowDxfId="674"/>
    <tableColumn id="7" xr3:uid="{00000000-0010-0000-0100-000007000000}" name="FEBEUARY" totalsRowFunction="sum" dataDxfId="673" totalsRowDxfId="672"/>
    <tableColumn id="9" xr3:uid="{00000000-0010-0000-0100-000009000000}" name="MARCH" totalsRowFunction="sum" dataDxfId="671" totalsRowDxfId="670"/>
    <tableColumn id="11" xr3:uid="{00000000-0010-0000-0100-00000B000000}" name="APRIL" totalsRowFunction="sum" dataDxfId="669" totalsRowDxfId="668"/>
    <tableColumn id="13" xr3:uid="{00000000-0010-0000-0100-00000D000000}" name="MAY" totalsRowFunction="sum" dataDxfId="667" totalsRowDxfId="666"/>
    <tableColumn id="15" xr3:uid="{00000000-0010-0000-0100-00000F000000}" name="JUNE" totalsRowFunction="sum" dataDxfId="665" totalsRowDxfId="664"/>
    <tableColumn id="17" xr3:uid="{00000000-0010-0000-0100-000011000000}" name="JULY" totalsRowFunction="sum" dataDxfId="663" totalsRowDxfId="662"/>
    <tableColumn id="19" xr3:uid="{00000000-0010-0000-0100-000013000000}" name="AUGUST" totalsRowFunction="sum" dataDxfId="661" totalsRowDxfId="660"/>
    <tableColumn id="8" xr3:uid="{00000000-0010-0000-0100-000008000000}" name="SEPTEMBER" totalsRowFunction="sum" dataDxfId="659" totalsRowDxfId="658"/>
    <tableColumn id="21" xr3:uid="{00000000-0010-0000-0100-000015000000}" name="OCTOBER" totalsRowFunction="sum" dataDxfId="657" totalsRowDxfId="656"/>
    <tableColumn id="23" xr3:uid="{00000000-0010-0000-0100-000017000000}" name="NOVEMBER" totalsRowFunction="sum" dataDxfId="655" totalsRowDxfId="654"/>
    <tableColumn id="25" xr3:uid="{00000000-0010-0000-0100-000019000000}" name="DECEMBER" totalsRowFunction="sum" dataDxfId="653" totalsRowDxfId="652"/>
    <tableColumn id="27" xr3:uid="{00000000-0010-0000-0100-00001B000000}" name="BALANCE" totalsRowFunction="sum" dataDxfId="651" totalsRowDxfId="650"/>
    <tableColumn id="6" xr3:uid="{00000000-0010-0000-0100-000006000000}" name="COMMENTS" dataDxfId="649" totalsRowDxfId="648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T66" totalsRowCount="1">
  <autoFilter ref="A1:T65" xr:uid="{00000000-0009-0000-0100-000003000000}"/>
  <sortState xmlns:xlrd2="http://schemas.microsoft.com/office/spreadsheetml/2017/richdata2" ref="A2:R61">
    <sortCondition ref="A1:A61"/>
  </sortState>
  <tableColumns count="20">
    <tableColumn id="1" xr3:uid="{00000000-0010-0000-0200-000001000000}" name="S.NO" totalsRowLabel="Total"/>
    <tableColumn id="2" xr3:uid="{00000000-0010-0000-0200-000002000000}" name="Customer Name"/>
    <tableColumn id="3" xr3:uid="{00000000-0010-0000-0200-000003000000}" name="PAID">
      <calculatedColumnFormula array="1">_xlfn.IFS(subramaniyasiva[[#This Row],[OCTOBER]]="M","M",subramaniyasiva[[#This Row],[OCTOBER]]="A","A",subramaniyasiva[[#This Row],[OCTOBER]]="","",subramaniyasiva[[#This Row],[OCTOBER]]&gt;100,"P")</calculatedColumnFormula>
    </tableColumn>
    <tableColumn id="29" xr3:uid="{00000000-0010-0000-0200-00001D000000}" name="Package" totalsRowFunction="count"/>
    <tableColumn id="4" xr3:uid="{00000000-0010-0000-0200-000004000000}" name="Box No" totalsRowFunction="count" dataDxfId="647"/>
    <tableColumn id="28" xr3:uid="{00000000-0010-0000-0200-00001C000000}" name="CAF_ID" totalsRowFunction="count" dataDxfId="646"/>
    <tableColumn id="5" xr3:uid="{00000000-0010-0000-0200-000005000000}" name="JANUARY" totalsRowFunction="sum" dataDxfId="645" totalsRowDxfId="644"/>
    <tableColumn id="7" xr3:uid="{00000000-0010-0000-0200-000007000000}" name="FEBEUARY" totalsRowFunction="sum" dataDxfId="643" totalsRowDxfId="642"/>
    <tableColumn id="9" xr3:uid="{00000000-0010-0000-0200-000009000000}" name="MARCH" totalsRowFunction="sum" dataDxfId="641" totalsRowDxfId="640"/>
    <tableColumn id="11" xr3:uid="{00000000-0010-0000-0200-00000B000000}" name="APRIL" totalsRowFunction="sum" dataDxfId="639" totalsRowDxfId="638"/>
    <tableColumn id="13" xr3:uid="{00000000-0010-0000-0200-00000D000000}" name="MAY" totalsRowFunction="sum" dataDxfId="637" totalsRowDxfId="636"/>
    <tableColumn id="15" xr3:uid="{00000000-0010-0000-0200-00000F000000}" name="JUNE" totalsRowFunction="sum" dataDxfId="635" totalsRowDxfId="634"/>
    <tableColumn id="17" xr3:uid="{00000000-0010-0000-0200-000011000000}" name="JULY" totalsRowFunction="sum" dataDxfId="633" totalsRowDxfId="632"/>
    <tableColumn id="19" xr3:uid="{00000000-0010-0000-0200-000013000000}" name="AUGUST" totalsRowFunction="sum" dataDxfId="631" totalsRowDxfId="630"/>
    <tableColumn id="8" xr3:uid="{00000000-0010-0000-0200-000008000000}" name="SEPTEMBER" totalsRowFunction="sum" dataDxfId="629" totalsRowDxfId="628"/>
    <tableColumn id="21" xr3:uid="{00000000-0010-0000-0200-000015000000}" name="OCTOBER" totalsRowFunction="sum" dataDxfId="627" totalsRowDxfId="626"/>
    <tableColumn id="23" xr3:uid="{00000000-0010-0000-0200-000017000000}" name="NOVEMBER" totalsRowFunction="sum" dataDxfId="625" totalsRowDxfId="624"/>
    <tableColumn id="25" xr3:uid="{00000000-0010-0000-0200-000019000000}" name="DECEMBER" totalsRowFunction="sum" dataDxfId="623" totalsRowDxfId="622"/>
    <tableColumn id="27" xr3:uid="{00000000-0010-0000-0200-00001B000000}" name="BALANCE" totalsRowFunction="sum" dataDxfId="621" totalsRowDxfId="620"/>
    <tableColumn id="6" xr3:uid="{00000000-0010-0000-0200-000006000000}" name="COMMENTS" dataDxfId="619" totalsRowDxfId="61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T66" totalsRowCount="1">
  <autoFilter ref="A1:T65" xr:uid="{00000000-0009-0000-0100-000004000000}"/>
  <sortState xmlns:xlrd2="http://schemas.microsoft.com/office/spreadsheetml/2017/richdata2" ref="A2:R64">
    <sortCondition ref="A1:A64"/>
  </sortState>
  <tableColumns count="20">
    <tableColumn id="1" xr3:uid="{00000000-0010-0000-0300-000001000000}" name="S.NO" totalsRowLabel="Total"/>
    <tableColumn id="2" xr3:uid="{00000000-0010-0000-0300-000002000000}" name="Customer Name"/>
    <tableColumn id="3" xr3:uid="{00000000-0010-0000-0300-000003000000}" name="PAID">
      <calculatedColumnFormula array="1">_xlfn.IFS(bharadhidhasan[[#This Row],[OCTOBER]]="M","M",bharadhidhasan[[#This Row],[OCTOBER]]="A","A",bharadhidhasan[[#This Row],[OCTOBER]]="","",bharadhidhasan[[#This Row],[OCTOBER]]&gt;100,"P")</calculatedColumnFormula>
    </tableColumn>
    <tableColumn id="29" xr3:uid="{00000000-0010-0000-0300-00001D000000}" name="Package" totalsRowFunction="count"/>
    <tableColumn id="4" xr3:uid="{00000000-0010-0000-0300-000004000000}" name="Box No" totalsRowFunction="count" dataDxfId="617"/>
    <tableColumn id="28" xr3:uid="{00000000-0010-0000-0300-00001C000000}" name="CAF_ID" totalsRowFunction="count" dataDxfId="616"/>
    <tableColumn id="5" xr3:uid="{00000000-0010-0000-0300-000005000000}" name="JANUARY" totalsRowFunction="sum" totalsRowDxfId="615"/>
    <tableColumn id="7" xr3:uid="{00000000-0010-0000-0300-000007000000}" name="FEBEUARY" totalsRowFunction="sum" totalsRowDxfId="614"/>
    <tableColumn id="9" xr3:uid="{00000000-0010-0000-0300-000009000000}" name="MARCH" totalsRowFunction="sum" totalsRowDxfId="613"/>
    <tableColumn id="11" xr3:uid="{00000000-0010-0000-0300-00000B000000}" name="APRIL" totalsRowFunction="sum" totalsRowDxfId="612"/>
    <tableColumn id="13" xr3:uid="{00000000-0010-0000-0300-00000D000000}" name="MAY" totalsRowFunction="sum" totalsRowDxfId="611"/>
    <tableColumn id="15" xr3:uid="{00000000-0010-0000-0300-00000F000000}" name="JUNE" totalsRowFunction="sum" totalsRowDxfId="610"/>
    <tableColumn id="17" xr3:uid="{00000000-0010-0000-0300-000011000000}" name="JULY" totalsRowFunction="sum" totalsRowDxfId="609"/>
    <tableColumn id="19" xr3:uid="{00000000-0010-0000-0300-000013000000}" name="AUGUST" totalsRowFunction="sum" totalsRowDxfId="608"/>
    <tableColumn id="8" xr3:uid="{00000000-0010-0000-0300-000008000000}" name="SEPTEMBER" totalsRowFunction="sum" totalsRowDxfId="607"/>
    <tableColumn id="21" xr3:uid="{00000000-0010-0000-0300-000015000000}" name="OCTOBER" totalsRowFunction="sum" totalsRowDxfId="606"/>
    <tableColumn id="23" xr3:uid="{00000000-0010-0000-0300-000017000000}" name="NOVEMBER" totalsRowFunction="sum" totalsRowDxfId="605"/>
    <tableColumn id="25" xr3:uid="{00000000-0010-0000-0300-000019000000}" name="DECEMBER" totalsRowFunction="sum" totalsRowDxfId="604"/>
    <tableColumn id="27" xr3:uid="{00000000-0010-0000-0300-00001B000000}" name="BALANCE" totalsRowFunction="sum" dataDxfId="603" totalsRowDxfId="602"/>
    <tableColumn id="6" xr3:uid="{00000000-0010-0000-0300-000006000000}" name="COMMENTS" dataDxfId="601" totalsRowDxfId="600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T16" totalsRowCount="1">
  <autoFilter ref="A1:T15" xr:uid="{00000000-0009-0000-0100-000005000000}"/>
  <tableColumns count="20">
    <tableColumn id="1" xr3:uid="{00000000-0010-0000-0400-000001000000}" name="S.NO" totalsRowLabel="Total"/>
    <tableColumn id="2" xr3:uid="{00000000-0010-0000-0400-000002000000}" name="Customer Name"/>
    <tableColumn id="3" xr3:uid="{00000000-0010-0000-0400-000003000000}" name="PAID">
      <calculatedColumnFormula array="1">_xlfn.IFS(Poothu_Kovil[[#This Row],[OCTOBER]]="M","M",Poothu_Kovil[[#This Row],[OCTOBER]]="A","A",Poothu_Kovil[[#This Row],[OCTOBER]]="","",Poothu_Kovil[[#This Row],[OCTOBER]]&gt;100,"P")</calculatedColumnFormula>
    </tableColumn>
    <tableColumn id="29" xr3:uid="{00000000-0010-0000-0400-00001D000000}" name="Package" totalsRowFunction="count"/>
    <tableColumn id="4" xr3:uid="{00000000-0010-0000-0400-000004000000}" name="Box No" totalsRowFunction="count" dataDxfId="599"/>
    <tableColumn id="28" xr3:uid="{00000000-0010-0000-0400-00001C000000}" name="CAF_ID" totalsRowFunction="count"/>
    <tableColumn id="5" xr3:uid="{00000000-0010-0000-0400-000005000000}" name="JANUARY" totalsRowFunction="sum" totalsRowDxfId="598"/>
    <tableColumn id="7" xr3:uid="{00000000-0010-0000-0400-000007000000}" name="FEBEUARY" totalsRowFunction="sum" totalsRowDxfId="597"/>
    <tableColumn id="9" xr3:uid="{00000000-0010-0000-0400-000009000000}" name="MARCH" totalsRowFunction="sum" totalsRowDxfId="596"/>
    <tableColumn id="11" xr3:uid="{00000000-0010-0000-0400-00000B000000}" name="APRIL" totalsRowFunction="sum" totalsRowDxfId="595"/>
    <tableColumn id="13" xr3:uid="{00000000-0010-0000-0400-00000D000000}" name="MAY" totalsRowFunction="sum" totalsRowDxfId="594"/>
    <tableColumn id="15" xr3:uid="{00000000-0010-0000-0400-00000F000000}" name="JUNE" totalsRowFunction="sum" totalsRowDxfId="593"/>
    <tableColumn id="17" xr3:uid="{00000000-0010-0000-0400-000011000000}" name="JULY" totalsRowFunction="sum" totalsRowDxfId="592"/>
    <tableColumn id="19" xr3:uid="{00000000-0010-0000-0400-000013000000}" name="AUGUST" totalsRowFunction="sum" totalsRowDxfId="591"/>
    <tableColumn id="8" xr3:uid="{00000000-0010-0000-0400-000008000000}" name="SEPTEMBER" totalsRowFunction="sum" totalsRowDxfId="590"/>
    <tableColumn id="21" xr3:uid="{00000000-0010-0000-0400-000015000000}" name="OCTOBER" totalsRowFunction="sum" totalsRowDxfId="589"/>
    <tableColumn id="23" xr3:uid="{00000000-0010-0000-0400-000017000000}" name="NOVEMBER" totalsRowFunction="sum" totalsRowDxfId="588"/>
    <tableColumn id="25" xr3:uid="{00000000-0010-0000-0400-000019000000}" name="DECEMBER" totalsRowFunction="sum" totalsRowDxfId="587"/>
    <tableColumn id="27" xr3:uid="{00000000-0010-0000-0400-00001B000000}" name="BALANCE" totalsRowFunction="sum" dataDxfId="586" totalsRowDxfId="585"/>
    <tableColumn id="6" xr3:uid="{00000000-0010-0000-0400-000006000000}" name="COMMENTS" dataDxfId="584" totalsRowDxfId="583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T19" totalsRowCount="1">
  <autoFilter ref="A1:T18" xr:uid="{00000000-0009-0000-0100-000006000000}"/>
  <sortState xmlns:xlrd2="http://schemas.microsoft.com/office/spreadsheetml/2017/richdata2" ref="A2:R18">
    <sortCondition ref="A1:A18"/>
  </sortState>
  <tableColumns count="20">
    <tableColumn id="1" xr3:uid="{00000000-0010-0000-0500-000001000000}" name="S.NO" totalsRowLabel="Total"/>
    <tableColumn id="2" xr3:uid="{00000000-0010-0000-0500-000002000000}" name="Customer Name"/>
    <tableColumn id="3" xr3:uid="{00000000-0010-0000-0500-000003000000}" name="PAID">
      <calculatedColumnFormula array="1">_xlfn.IFS(Mannikam_Muthaliyar1[[#This Row],[OCTOBER]]="M","M",Mannikam_Muthaliyar1[[#This Row],[OCTOBER]]="A","A",Mannikam_Muthaliyar1[[#This Row],[OCTOBER]]="","",Mannikam_Muthaliyar1[[#This Row],[OCTOBER]]&gt;100,"P")</calculatedColumnFormula>
    </tableColumn>
    <tableColumn id="29" xr3:uid="{00000000-0010-0000-0500-00001D000000}" name="Package" totalsRowFunction="count"/>
    <tableColumn id="4" xr3:uid="{00000000-0010-0000-0500-000004000000}" name="Box No" totalsRowFunction="count" dataDxfId="582"/>
    <tableColumn id="28" xr3:uid="{00000000-0010-0000-0500-00001C000000}" name="CAF_ID" totalsRowFunction="count" dataDxfId="581" totalsRowDxfId="580"/>
    <tableColumn id="5" xr3:uid="{00000000-0010-0000-0500-000005000000}" name="JANUARY" totalsRowFunction="sum" totalsRowDxfId="579"/>
    <tableColumn id="7" xr3:uid="{00000000-0010-0000-0500-000007000000}" name="FEBEUARY" totalsRowFunction="sum" totalsRowDxfId="578"/>
    <tableColumn id="9" xr3:uid="{00000000-0010-0000-0500-000009000000}" name="MARCH" totalsRowFunction="sum" totalsRowDxfId="577"/>
    <tableColumn id="11" xr3:uid="{00000000-0010-0000-0500-00000B000000}" name="APRIL" totalsRowFunction="sum" totalsRowDxfId="576"/>
    <tableColumn id="13" xr3:uid="{00000000-0010-0000-0500-00000D000000}" name="MAY" totalsRowFunction="sum" totalsRowDxfId="575"/>
    <tableColumn id="15" xr3:uid="{00000000-0010-0000-0500-00000F000000}" name="JUNE" totalsRowFunction="sum" totalsRowDxfId="574"/>
    <tableColumn id="17" xr3:uid="{00000000-0010-0000-0500-000011000000}" name="JULY" totalsRowFunction="sum" totalsRowDxfId="573"/>
    <tableColumn id="19" xr3:uid="{00000000-0010-0000-0500-000013000000}" name="AUGUST" totalsRowFunction="sum" totalsRowDxfId="572"/>
    <tableColumn id="6" xr3:uid="{00000000-0010-0000-0500-000006000000}" name="SEPTEMBER" totalsRowFunction="sum" totalsRowDxfId="571"/>
    <tableColumn id="21" xr3:uid="{00000000-0010-0000-0500-000015000000}" name="OCTOBER" totalsRowFunction="sum" totalsRowDxfId="570"/>
    <tableColumn id="23" xr3:uid="{00000000-0010-0000-0500-000017000000}" name="NOVEMBER" totalsRowFunction="sum" totalsRowDxfId="569"/>
    <tableColumn id="25" xr3:uid="{00000000-0010-0000-0500-000019000000}" name="DECEMBER" totalsRowFunction="sum" totalsRowDxfId="568"/>
    <tableColumn id="27" xr3:uid="{00000000-0010-0000-0500-00001B000000}" name="BALANCE" totalsRowFunction="sum" dataDxfId="567" totalsRowDxfId="566"/>
    <tableColumn id="8" xr3:uid="{00000000-0010-0000-0500-000008000000}" name="COMMENTS" dataDxfId="565" totalsRowDxfId="564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T15" totalsRowCount="1">
  <autoFilter ref="A1:T14" xr:uid="{00000000-0009-0000-0100-000007000000}"/>
  <sortState xmlns:xlrd2="http://schemas.microsoft.com/office/spreadsheetml/2017/richdata2" ref="A2:R14">
    <sortCondition ref="A1:A14"/>
  </sortState>
  <tableColumns count="20">
    <tableColumn id="1" xr3:uid="{00000000-0010-0000-0600-000001000000}" name="S.NO" totalsRowLabel="Total"/>
    <tableColumn id="2" xr3:uid="{00000000-0010-0000-0600-000002000000}" name="Customer Name"/>
    <tableColumn id="3" xr3:uid="{00000000-0010-0000-0600-000003000000}" name="PAID">
      <calculatedColumnFormula array="1">_xlfn.IFS(Mannikam_Muthaliyar2[[#This Row],[OCTOBER]]="M","M",Mannikam_Muthaliyar2[[#This Row],[OCTOBER]]="A","A",Mannikam_Muthaliyar2[[#This Row],[OCTOBER]]="","",Mannikam_Muthaliyar2[[#This Row],[OCTOBER]]&gt;100,"P")</calculatedColumnFormula>
    </tableColumn>
    <tableColumn id="29" xr3:uid="{00000000-0010-0000-0600-00001D000000}" name="Package" totalsRowFunction="count"/>
    <tableColumn id="4" xr3:uid="{00000000-0010-0000-0600-000004000000}" name="Box No" totalsRowFunction="count" dataDxfId="563"/>
    <tableColumn id="28" xr3:uid="{00000000-0010-0000-0600-00001C000000}" name="CAF_ID" totalsRowFunction="count"/>
    <tableColumn id="5" xr3:uid="{00000000-0010-0000-0600-000005000000}" name="JANUARY" totalsRowFunction="sum" totalsRowDxfId="562"/>
    <tableColumn id="7" xr3:uid="{00000000-0010-0000-0600-000007000000}" name="FEBEUARY" totalsRowFunction="sum" totalsRowDxfId="561"/>
    <tableColumn id="9" xr3:uid="{00000000-0010-0000-0600-000009000000}" name="MARCH" totalsRowFunction="sum" totalsRowDxfId="560"/>
    <tableColumn id="11" xr3:uid="{00000000-0010-0000-0600-00000B000000}" name="APRIL" totalsRowFunction="sum" totalsRowDxfId="559"/>
    <tableColumn id="13" xr3:uid="{00000000-0010-0000-0600-00000D000000}" name="MAY" totalsRowFunction="sum" totalsRowDxfId="558"/>
    <tableColumn id="15" xr3:uid="{00000000-0010-0000-0600-00000F000000}" name="JUNE" totalsRowFunction="sum" totalsRowDxfId="557"/>
    <tableColumn id="17" xr3:uid="{00000000-0010-0000-0600-000011000000}" name="JULY" totalsRowFunction="sum" totalsRowDxfId="556"/>
    <tableColumn id="19" xr3:uid="{00000000-0010-0000-0600-000013000000}" name="AUGUST" totalsRowFunction="sum" totalsRowDxfId="555"/>
    <tableColumn id="6" xr3:uid="{00000000-0010-0000-0600-000006000000}" name="SEPTEMBER" totalsRowFunction="sum" totalsRowDxfId="554"/>
    <tableColumn id="21" xr3:uid="{00000000-0010-0000-0600-000015000000}" name="OCTOBER" totalsRowFunction="sum" totalsRowDxfId="553"/>
    <tableColumn id="23" xr3:uid="{00000000-0010-0000-0600-000017000000}" name="NOVEMBER" totalsRowFunction="sum" totalsRowDxfId="552"/>
    <tableColumn id="25" xr3:uid="{00000000-0010-0000-0600-000019000000}" name="DECEMBER" totalsRowFunction="sum" totalsRowDxfId="551"/>
    <tableColumn id="27" xr3:uid="{00000000-0010-0000-0600-00001B000000}" name="BALANCE" totalsRowFunction="sum" dataDxfId="550" totalsRowDxfId="549"/>
    <tableColumn id="8" xr3:uid="{00000000-0010-0000-0600-000008000000}" name="COMMENTS" dataDxfId="548" totalsRowDxfId="547"/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T45" totalsRowCount="1" totalsRowDxfId="546">
  <autoFilter ref="A1:T44" xr:uid="{00000000-0009-0000-0100-000008000000}"/>
  <sortState xmlns:xlrd2="http://schemas.microsoft.com/office/spreadsheetml/2017/richdata2" ref="A2:R44">
    <sortCondition ref="A1:A44"/>
  </sortState>
  <tableColumns count="20">
    <tableColumn id="1" xr3:uid="{00000000-0010-0000-0700-000001000000}" name="S.NO" totalsRowLabel="Total" totalsRowDxfId="545"/>
    <tableColumn id="2" xr3:uid="{00000000-0010-0000-0700-000002000000}" name="Customer Name" totalsRowDxfId="544"/>
    <tableColumn id="3" xr3:uid="{00000000-0010-0000-0700-000003000000}" name="PAID" totalsRowDxfId="543">
      <calculatedColumnFormula array="1">_xlfn.IFS(Ramasami_Mudhaliyar[[#This Row],[OCTOBER]]="M","M",Ramasami_Mudhaliyar[[#This Row],[OCTOBER]]="A","A",Ramasami_Mudhaliyar[[#This Row],[OCTOBER]]="","",Ramasami_Mudhaliyar[[#This Row],[OCTOBER]]&gt;100,"P")</calculatedColumnFormula>
    </tableColumn>
    <tableColumn id="29" xr3:uid="{00000000-0010-0000-0700-00001D000000}" name="Package" totalsRowFunction="count" totalsRowDxfId="542"/>
    <tableColumn id="4" xr3:uid="{00000000-0010-0000-0700-000004000000}" name="Box No" totalsRowFunction="count" dataDxfId="541" totalsRowDxfId="540"/>
    <tableColumn id="28" xr3:uid="{00000000-0010-0000-0700-00001C000000}" name="CAF_ID" totalsRowFunction="count" dataDxfId="539" totalsRowDxfId="538"/>
    <tableColumn id="5" xr3:uid="{00000000-0010-0000-0700-000005000000}" name="JANUARY" totalsRowFunction="sum" totalsRowDxfId="537"/>
    <tableColumn id="7" xr3:uid="{00000000-0010-0000-0700-000007000000}" name="FEBEUARY" totalsRowFunction="sum" totalsRowDxfId="536"/>
    <tableColumn id="9" xr3:uid="{00000000-0010-0000-0700-000009000000}" name="MARCH" totalsRowFunction="sum" totalsRowDxfId="535"/>
    <tableColumn id="11" xr3:uid="{00000000-0010-0000-0700-00000B000000}" name="APRIL" totalsRowFunction="sum" totalsRowDxfId="534"/>
    <tableColumn id="13" xr3:uid="{00000000-0010-0000-0700-00000D000000}" name="MAY" totalsRowFunction="sum" totalsRowDxfId="533"/>
    <tableColumn id="15" xr3:uid="{00000000-0010-0000-0700-00000F000000}" name="JUNE" totalsRowFunction="sum" totalsRowDxfId="532"/>
    <tableColumn id="17" xr3:uid="{00000000-0010-0000-0700-000011000000}" name="JULY" totalsRowFunction="sum" totalsRowDxfId="531"/>
    <tableColumn id="19" xr3:uid="{00000000-0010-0000-0700-000013000000}" name="AUGUST" totalsRowFunction="sum" totalsRowDxfId="530"/>
    <tableColumn id="8" xr3:uid="{00000000-0010-0000-0700-000008000000}" name="SEPTEMBER" totalsRowFunction="sum" totalsRowDxfId="529"/>
    <tableColumn id="21" xr3:uid="{00000000-0010-0000-0700-000015000000}" name="OCTOBER" totalsRowFunction="sum" totalsRowDxfId="528"/>
    <tableColumn id="23" xr3:uid="{00000000-0010-0000-0700-000017000000}" name="NOVEMBER" totalsRowFunction="sum" totalsRowDxfId="527"/>
    <tableColumn id="25" xr3:uid="{00000000-0010-0000-0700-000019000000}" name="DECEMBER" totalsRowFunction="sum" totalsRowDxfId="526"/>
    <tableColumn id="27" xr3:uid="{00000000-0010-0000-0700-00001B000000}" name="BALANCE" totalsRowFunction="sum" dataDxfId="525" totalsRowDxfId="524"/>
    <tableColumn id="6" xr3:uid="{00000000-0010-0000-0700-000006000000}" name="COMMENTS" dataDxfId="523" totalsRowDxfId="522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T44" totalsRowCount="1" totalsRowDxfId="521">
  <autoFilter ref="A1:T43" xr:uid="{00000000-0009-0000-0100-000009000000}"/>
  <sortState xmlns:xlrd2="http://schemas.microsoft.com/office/spreadsheetml/2017/richdata2" ref="A2:R43">
    <sortCondition ref="B1:B43"/>
  </sortState>
  <tableColumns count="20">
    <tableColumn id="1" xr3:uid="{00000000-0010-0000-0800-000001000000}" name="S.NO" totalsRowLabel="Total" totalsRowDxfId="520"/>
    <tableColumn id="2" xr3:uid="{00000000-0010-0000-0800-000002000000}" name="Customer Name" totalsRowDxfId="519"/>
    <tableColumn id="3" xr3:uid="{00000000-0010-0000-0800-000003000000}" name="PAID" totalsRowDxfId="518">
      <calculatedColumnFormula array="1">_xlfn.IFS(PillaiyarKovil[[#This Row],[OCTOBER]]="M","M",PillaiyarKovil[[#This Row],[OCTOBER]]="A","A",PillaiyarKovil[[#This Row],[OCTOBER]]="","",PillaiyarKovil[[#This Row],[OCTOBER]]&gt;100,"P")</calculatedColumnFormula>
    </tableColumn>
    <tableColumn id="29" xr3:uid="{00000000-0010-0000-0800-00001D000000}" name="Package" totalsRowFunction="count" totalsRowDxfId="517"/>
    <tableColumn id="4" xr3:uid="{00000000-0010-0000-0800-000004000000}" name="Box No" totalsRowFunction="count" dataDxfId="516" totalsRowDxfId="515"/>
    <tableColumn id="28" xr3:uid="{00000000-0010-0000-0800-00001C000000}" name="CAF_ID" totalsRowFunction="count" totalsRowDxfId="514"/>
    <tableColumn id="5" xr3:uid="{00000000-0010-0000-0800-000005000000}" name="JANUARY" totalsRowFunction="sum" totalsRowDxfId="513"/>
    <tableColumn id="7" xr3:uid="{00000000-0010-0000-0800-000007000000}" name="FEBEUARY" totalsRowFunction="sum" totalsRowDxfId="512"/>
    <tableColumn id="9" xr3:uid="{00000000-0010-0000-0800-000009000000}" name="MARCH" totalsRowFunction="sum" totalsRowDxfId="511"/>
    <tableColumn id="11" xr3:uid="{00000000-0010-0000-0800-00000B000000}" name="APRIL" totalsRowFunction="sum" totalsRowDxfId="510"/>
    <tableColumn id="13" xr3:uid="{00000000-0010-0000-0800-00000D000000}" name="MAY" totalsRowFunction="sum" totalsRowDxfId="509"/>
    <tableColumn id="15" xr3:uid="{00000000-0010-0000-0800-00000F000000}" name="JUNE" totalsRowFunction="sum" totalsRowDxfId="508"/>
    <tableColumn id="17" xr3:uid="{00000000-0010-0000-0800-000011000000}" name="JULY" totalsRowFunction="sum" totalsRowDxfId="507"/>
    <tableColumn id="19" xr3:uid="{00000000-0010-0000-0800-000013000000}" name="AUGUST" totalsRowFunction="sum" totalsRowDxfId="506"/>
    <tableColumn id="8" xr3:uid="{00000000-0010-0000-0800-000008000000}" name="SEPTEMBER" totalsRowFunction="sum" totalsRowDxfId="505"/>
    <tableColumn id="21" xr3:uid="{00000000-0010-0000-0800-000015000000}" name="OCTOBER" totalsRowFunction="sum" totalsRowDxfId="504"/>
    <tableColumn id="23" xr3:uid="{00000000-0010-0000-0800-000017000000}" name="NOVEMBER" totalsRowFunction="sum" totalsRowDxfId="503"/>
    <tableColumn id="25" xr3:uid="{00000000-0010-0000-0800-000019000000}" name="DECEMBER" totalsRowFunction="sum" totalsRowDxfId="502"/>
    <tableColumn id="27" xr3:uid="{00000000-0010-0000-0800-00001B000000}" name="BALANCE" totalsRowFunction="sum" dataDxfId="501" totalsRowDxfId="500"/>
    <tableColumn id="6" xr3:uid="{00000000-0010-0000-0800-000006000000}" name="COMMENTS" dataDxfId="499" totalsRowDxfId="498"/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T30" totalsRowCount="1" totalsRowDxfId="497">
  <autoFilter ref="A1:T29" xr:uid="{00000000-0009-0000-0100-00000A000000}"/>
  <sortState xmlns:xlrd2="http://schemas.microsoft.com/office/spreadsheetml/2017/richdata2" ref="A2:R25">
    <sortCondition ref="A1:A25"/>
  </sortState>
  <tableColumns count="20">
    <tableColumn id="1" xr3:uid="{00000000-0010-0000-0900-000001000000}" name="S.NO" totalsRowLabel="Total" totalsRowDxfId="496"/>
    <tableColumn id="2" xr3:uid="{00000000-0010-0000-0900-000002000000}" name="Customer Name" totalsRowDxfId="495"/>
    <tableColumn id="3" xr3:uid="{00000000-0010-0000-0900-000003000000}" name="PAID" totalsRowDxfId="494">
      <calculatedColumnFormula array="1">_xlfn.IFS(kmudhaliyar[[#This Row],[OCTOBER]]="M","M",kmudhaliyar[[#This Row],[OCTOBER]]="A","A",kmudhaliyar[[#This Row],[OCTOBER]]="","",kmudhaliyar[[#This Row],[OCTOBER]]&gt;100,"P")</calculatedColumnFormula>
    </tableColumn>
    <tableColumn id="29" xr3:uid="{00000000-0010-0000-0900-00001D000000}" name="Package" totalsRowFunction="count" totalsRowDxfId="493"/>
    <tableColumn id="4" xr3:uid="{00000000-0010-0000-0900-000004000000}" name="Box No" totalsRowFunction="count" dataDxfId="492" totalsRowDxfId="491"/>
    <tableColumn id="28" xr3:uid="{00000000-0010-0000-0900-00001C000000}" name="CAF_ID" totalsRowFunction="count" totalsRowDxfId="490"/>
    <tableColumn id="5" xr3:uid="{00000000-0010-0000-0900-000005000000}" name="JANUARY" totalsRowFunction="sum" totalsRowDxfId="489"/>
    <tableColumn id="7" xr3:uid="{00000000-0010-0000-0900-000007000000}" name="FEBEUARY" totalsRowFunction="sum" totalsRowDxfId="488"/>
    <tableColumn id="9" xr3:uid="{00000000-0010-0000-0900-000009000000}" name="MARCH" totalsRowFunction="sum" totalsRowDxfId="487"/>
    <tableColumn id="11" xr3:uid="{00000000-0010-0000-0900-00000B000000}" name="APRIL" totalsRowFunction="sum" totalsRowDxfId="486"/>
    <tableColumn id="13" xr3:uid="{00000000-0010-0000-0900-00000D000000}" name="MAY" totalsRowFunction="sum" totalsRowDxfId="485"/>
    <tableColumn id="15" xr3:uid="{00000000-0010-0000-0900-00000F000000}" name="JUNE" totalsRowFunction="sum" totalsRowDxfId="484"/>
    <tableColumn id="17" xr3:uid="{00000000-0010-0000-0900-000011000000}" name="JULY" totalsRowFunction="sum" totalsRowDxfId="483"/>
    <tableColumn id="19" xr3:uid="{00000000-0010-0000-0900-000013000000}" name="AUGUST" totalsRowFunction="sum" totalsRowDxfId="482"/>
    <tableColumn id="8" xr3:uid="{00000000-0010-0000-0900-000008000000}" name="SEPTEMBER" totalsRowFunction="sum" totalsRowDxfId="481"/>
    <tableColumn id="21" xr3:uid="{00000000-0010-0000-0900-000015000000}" name="OCTOBER" totalsRowFunction="sum" totalsRowDxfId="480"/>
    <tableColumn id="23" xr3:uid="{00000000-0010-0000-0900-000017000000}" name="NOVEMBER" totalsRowFunction="sum" totalsRowDxfId="479"/>
    <tableColumn id="25" xr3:uid="{00000000-0010-0000-0900-000019000000}" name="DECEMBER" totalsRowFunction="sum" totalsRowDxfId="478"/>
    <tableColumn id="27" xr3:uid="{00000000-0010-0000-0900-00001B000000}" name="BALANCE" totalsRowFunction="sum" totalsRowDxfId="477"/>
    <tableColumn id="6" xr3:uid="{00000000-0010-0000-0900-000006000000}" name="COMMENTS" dataDxfId="476" totalsRowDxfId="475"/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T39" totalsRowCount="1" totalsRowDxfId="474">
  <autoFilter ref="A1:T38" xr:uid="{00000000-0009-0000-0100-00000B000000}"/>
  <sortState xmlns:xlrd2="http://schemas.microsoft.com/office/spreadsheetml/2017/richdata2" ref="A2:R36">
    <sortCondition ref="A1:A36"/>
  </sortState>
  <tableColumns count="20">
    <tableColumn id="1" xr3:uid="{00000000-0010-0000-0A00-000001000000}" name="S.NO" totalsRowLabel="Total" totalsRowDxfId="473"/>
    <tableColumn id="2" xr3:uid="{00000000-0010-0000-0A00-000002000000}" name="Customer Name" totalsRowDxfId="472"/>
    <tableColumn id="3" xr3:uid="{00000000-0010-0000-0A00-000003000000}" name="PAID" totalsRowFunction="count" totalsRowDxfId="471">
      <calculatedColumnFormula array="1">_xlfn.IFS(mariamman[[#This Row],[OCTOBER]]="M","M",mariamman[[#This Row],[OCTOBER]]="A","A",mariamman[[#This Row],[OCTOBER]]="","",mariamman[[#This Row],[OCTOBER]]&gt;100,"P")</calculatedColumnFormula>
    </tableColumn>
    <tableColumn id="29" xr3:uid="{00000000-0010-0000-0A00-00001D000000}" name="Package" totalsRowFunction="count" totalsRowDxfId="470"/>
    <tableColumn id="4" xr3:uid="{00000000-0010-0000-0A00-000004000000}" name="Box No" totalsRowFunction="count" dataDxfId="469" totalsRowDxfId="468"/>
    <tableColumn id="28" xr3:uid="{00000000-0010-0000-0A00-00001C000000}" name="CAF_ID" totalsRowFunction="count" totalsRowDxfId="467"/>
    <tableColumn id="5" xr3:uid="{00000000-0010-0000-0A00-000005000000}" name="JANUARY" totalsRowFunction="sum" totalsRowDxfId="466"/>
    <tableColumn id="7" xr3:uid="{00000000-0010-0000-0A00-000007000000}" name="FEBEUARY" totalsRowFunction="sum" totalsRowDxfId="465"/>
    <tableColumn id="9" xr3:uid="{00000000-0010-0000-0A00-000009000000}" name="MARCH" totalsRowFunction="sum" totalsRowDxfId="464"/>
    <tableColumn id="11" xr3:uid="{00000000-0010-0000-0A00-00000B000000}" name="APRIL" totalsRowFunction="sum" totalsRowDxfId="463"/>
    <tableColumn id="13" xr3:uid="{00000000-0010-0000-0A00-00000D000000}" name="MAY" totalsRowFunction="sum" totalsRowDxfId="462"/>
    <tableColumn id="15" xr3:uid="{00000000-0010-0000-0A00-00000F000000}" name="JUNE" totalsRowFunction="sum" totalsRowDxfId="461"/>
    <tableColumn id="17" xr3:uid="{00000000-0010-0000-0A00-000011000000}" name="JULY" totalsRowFunction="sum" totalsRowDxfId="460"/>
    <tableColumn id="19" xr3:uid="{00000000-0010-0000-0A00-000013000000}" name="AUGUST" totalsRowFunction="sum" totalsRowDxfId="459"/>
    <tableColumn id="8" xr3:uid="{00000000-0010-0000-0A00-000008000000}" name="SEPTEMBER" totalsRowFunction="sum" totalsRowDxfId="458"/>
    <tableColumn id="21" xr3:uid="{00000000-0010-0000-0A00-000015000000}" name="OCTOBER" totalsRowFunction="sum" totalsRowDxfId="457"/>
    <tableColumn id="23" xr3:uid="{00000000-0010-0000-0A00-000017000000}" name="NOVEMBER" totalsRowFunction="sum" totalsRowDxfId="456"/>
    <tableColumn id="25" xr3:uid="{00000000-0010-0000-0A00-000019000000}" name="DECEMBER" totalsRowFunction="sum" totalsRowDxfId="455"/>
    <tableColumn id="27" xr3:uid="{00000000-0010-0000-0A00-00001B000000}" name="BALANCE" totalsRowFunction="sum" dataDxfId="454" totalsRowDxfId="453"/>
    <tableColumn id="6" xr3:uid="{00000000-0010-0000-0A00-000006000000}" name="COMMENTS" dataDxfId="452" totalsRowDxfId="451"/>
  </tableColumns>
  <tableStyleInfo name="TableStyleMedium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T66" totalsRowCount="1" totalsRowDxfId="450">
  <autoFilter ref="A1:T65" xr:uid="{00000000-0009-0000-0100-00000C000000}"/>
  <sortState xmlns:xlrd2="http://schemas.microsoft.com/office/spreadsheetml/2017/richdata2" ref="A2:R64">
    <sortCondition ref="A1:A64"/>
  </sortState>
  <tableColumns count="20">
    <tableColumn id="1" xr3:uid="{00000000-0010-0000-0B00-000001000000}" name="S.NO" totalsRowLabel="Total" totalsRowDxfId="449"/>
    <tableColumn id="2" xr3:uid="{00000000-0010-0000-0B00-000002000000}" name="Customer Name" totalsRowDxfId="448"/>
    <tableColumn id="3" xr3:uid="{00000000-0010-0000-0B00-000003000000}" name="PAID" totalsRowDxfId="447">
      <calculatedColumnFormula array="1">_xlfn.IFS(acolony[[#This Row],[OCTOBER]]="M","M",acolony[[#This Row],[OCTOBER]]="A","A",acolony[[#This Row],[OCTOBER]]="","",acolony[[#This Row],[OCTOBER]]&gt;100,"P")</calculatedColumnFormula>
    </tableColumn>
    <tableColumn id="29" xr3:uid="{00000000-0010-0000-0B00-00001D000000}" name="Package" totalsRowFunction="count" totalsRowDxfId="446"/>
    <tableColumn id="4" xr3:uid="{00000000-0010-0000-0B00-000004000000}" name="Box No" totalsRowFunction="count" dataDxfId="445" totalsRowDxfId="444"/>
    <tableColumn id="28" xr3:uid="{00000000-0010-0000-0B00-00001C000000}" name="CAF_ID" totalsRowFunction="count" dataDxfId="443" totalsRowDxfId="442"/>
    <tableColumn id="5" xr3:uid="{00000000-0010-0000-0B00-000005000000}" name="JANUARY" totalsRowFunction="sum" dataDxfId="441" totalsRowDxfId="440"/>
    <tableColumn id="7" xr3:uid="{00000000-0010-0000-0B00-000007000000}" name="FEBEUARY" totalsRowFunction="sum" dataDxfId="439" totalsRowDxfId="438"/>
    <tableColumn id="9" xr3:uid="{00000000-0010-0000-0B00-000009000000}" name="MARCH" totalsRowFunction="sum" dataDxfId="437" totalsRowDxfId="436"/>
    <tableColumn id="11" xr3:uid="{00000000-0010-0000-0B00-00000B000000}" name="APRIL" totalsRowFunction="sum" dataDxfId="435" totalsRowDxfId="434"/>
    <tableColumn id="13" xr3:uid="{00000000-0010-0000-0B00-00000D000000}" name="MAY" totalsRowFunction="sum" dataDxfId="433" totalsRowDxfId="432"/>
    <tableColumn id="15" xr3:uid="{00000000-0010-0000-0B00-00000F000000}" name="JUNE" totalsRowFunction="sum" dataDxfId="431" totalsRowDxfId="430"/>
    <tableColumn id="17" xr3:uid="{00000000-0010-0000-0B00-000011000000}" name="JULY" totalsRowFunction="sum" dataDxfId="429" totalsRowDxfId="428"/>
    <tableColumn id="19" xr3:uid="{00000000-0010-0000-0B00-000013000000}" name="AUGUST" totalsRowFunction="sum" dataDxfId="427" totalsRowDxfId="426"/>
    <tableColumn id="6" xr3:uid="{00000000-0010-0000-0B00-000006000000}" name="SEPTEMBER" totalsRowFunction="sum" dataDxfId="425" totalsRowDxfId="424"/>
    <tableColumn id="21" xr3:uid="{00000000-0010-0000-0B00-000015000000}" name="OCTOBER" totalsRowFunction="sum" dataDxfId="423" totalsRowDxfId="422"/>
    <tableColumn id="23" xr3:uid="{00000000-0010-0000-0B00-000017000000}" name="NOVEMBER" totalsRowFunction="sum" dataDxfId="421" totalsRowDxfId="420"/>
    <tableColumn id="25" xr3:uid="{00000000-0010-0000-0B00-000019000000}" name="DECEMBER" totalsRowFunction="sum" dataDxfId="419" totalsRowDxfId="418"/>
    <tableColumn id="27" xr3:uid="{00000000-0010-0000-0B00-00001B000000}" name="BALANCE" totalsRowFunction="sum" dataDxfId="417" totalsRowDxfId="416"/>
    <tableColumn id="8" xr3:uid="{00000000-0010-0000-0B00-000008000000}" name="COMMENTS" dataDxfId="415" totalsRowDxfId="414"/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413"/>
    <tableColumn id="5" xr3:uid="{00000000-0010-0000-0C00-000005000000}" name="CAF_ID" dataDxfId="412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29" displayName="mainroad29" ref="A1:T36" totalsRowCount="1" totalsRowDxfId="411">
  <autoFilter ref="A1:T35" xr:uid="{00000000-0009-0000-0100-00000E000000}"/>
  <sortState xmlns:xlrd2="http://schemas.microsoft.com/office/spreadsheetml/2017/richdata2" ref="A2:R35">
    <sortCondition ref="A1:A35"/>
  </sortState>
  <tableColumns count="20">
    <tableColumn id="1" xr3:uid="{00000000-0010-0000-0D00-000001000000}" name="S.NO" totalsRowLabel="Total" totalsRowDxfId="410"/>
    <tableColumn id="2" xr3:uid="{00000000-0010-0000-0D00-000002000000}" name="Customer Name" totalsRowDxfId="409"/>
    <tableColumn id="3" xr3:uid="{00000000-0010-0000-0D00-000003000000}" name="PAID" totalsRowDxfId="408">
      <calculatedColumnFormula array="1">_xlfn.IFS(mainroad29[[#This Row],[OCTOBER]]="M","M",mainroad29[[#This Row],[OCTOBER]]="A","A",mainroad29[[#This Row],[OCTOBER]]="","",mainroad29[[#This Row],[OCTOBER]]&gt;100,"P")</calculatedColumnFormula>
    </tableColumn>
    <tableColumn id="29" xr3:uid="{00000000-0010-0000-0D00-00001D000000}" name="Package" totalsRowFunction="count" totalsRowDxfId="407"/>
    <tableColumn id="4" xr3:uid="{00000000-0010-0000-0D00-000004000000}" name="Box No" totalsRowFunction="count" dataDxfId="406" totalsRowDxfId="405"/>
    <tableColumn id="28" xr3:uid="{00000000-0010-0000-0D00-00001C000000}" name="CAF_ID" totalsRowFunction="count" dataDxfId="404" totalsRowDxfId="403"/>
    <tableColumn id="5" xr3:uid="{00000000-0010-0000-0D00-000005000000}" name="JANUARY" totalsRowFunction="sum" dataDxfId="402" totalsRowDxfId="401"/>
    <tableColumn id="7" xr3:uid="{00000000-0010-0000-0D00-000007000000}" name="FEBEUARY" totalsRowFunction="sum" dataDxfId="400" totalsRowDxfId="399"/>
    <tableColumn id="9" xr3:uid="{00000000-0010-0000-0D00-000009000000}" name="MARCH" totalsRowFunction="sum" dataDxfId="398" totalsRowDxfId="397"/>
    <tableColumn id="11" xr3:uid="{00000000-0010-0000-0D00-00000B000000}" name="APRIL" totalsRowFunction="sum" dataDxfId="396" totalsRowDxfId="395"/>
    <tableColumn id="13" xr3:uid="{00000000-0010-0000-0D00-00000D000000}" name="MAY" totalsRowFunction="sum" dataDxfId="394" totalsRowDxfId="393"/>
    <tableColumn id="15" xr3:uid="{00000000-0010-0000-0D00-00000F000000}" name="JUNE" totalsRowFunction="sum" dataDxfId="392" totalsRowDxfId="391"/>
    <tableColumn id="17" xr3:uid="{00000000-0010-0000-0D00-000011000000}" name="JULY" totalsRowFunction="sum" dataDxfId="390" totalsRowDxfId="389"/>
    <tableColumn id="19" xr3:uid="{00000000-0010-0000-0D00-000013000000}" name="AUGUST" totalsRowFunction="sum" dataDxfId="388" totalsRowDxfId="387"/>
    <tableColumn id="8" xr3:uid="{00000000-0010-0000-0D00-000008000000}" name="SEPTEMBER" totalsRowFunction="sum" dataDxfId="386" totalsRowDxfId="385"/>
    <tableColumn id="21" xr3:uid="{00000000-0010-0000-0D00-000015000000}" name="OCTOBER" totalsRowFunction="sum" dataDxfId="384" totalsRowDxfId="383"/>
    <tableColumn id="23" xr3:uid="{00000000-0010-0000-0D00-000017000000}" name="NOVEMBER" totalsRowFunction="sum" dataDxfId="382" totalsRowDxfId="381"/>
    <tableColumn id="25" xr3:uid="{00000000-0010-0000-0D00-000019000000}" name="DECEMBER" totalsRowFunction="sum" dataDxfId="380" totalsRowDxfId="379"/>
    <tableColumn id="27" xr3:uid="{00000000-0010-0000-0D00-00001B000000}" name="BALANCE" totalsRowFunction="sum" dataDxfId="378" totalsRowDxfId="377"/>
    <tableColumn id="6" xr3:uid="{00000000-0010-0000-0D00-000006000000}" name="COMMENTS" dataDxfId="376" totalsRowDxfId="375"/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30" displayName="bharathipuram130" ref="A1:T30" totalsRowCount="1" totalsRowDxfId="374">
  <autoFilter ref="A1:T29" xr:uid="{00000000-0009-0000-0100-00000F000000}"/>
  <sortState xmlns:xlrd2="http://schemas.microsoft.com/office/spreadsheetml/2017/richdata2" ref="A2:R29">
    <sortCondition ref="A1:A29"/>
  </sortState>
  <tableColumns count="20">
    <tableColumn id="1" xr3:uid="{00000000-0010-0000-0E00-000001000000}" name="S.NO" totalsRowLabel="Total" totalsRowDxfId="373"/>
    <tableColumn id="2" xr3:uid="{00000000-0010-0000-0E00-000002000000}" name="Customer Name" totalsRowDxfId="372"/>
    <tableColumn id="3" xr3:uid="{00000000-0010-0000-0E00-000003000000}" name="PAID" totalsRowDxfId="371">
      <calculatedColumnFormula array="1">_xlfn.IFS(bharathipuram130[[#This Row],[OCTOBER]]="M","M",bharathipuram130[[#This Row],[OCTOBER]]="A","A",bharathipuram130[[#This Row],[OCTOBER]]="","",bharathipuram130[[#This Row],[OCTOBER]]&gt;100,"P")</calculatedColumnFormula>
    </tableColumn>
    <tableColumn id="29" xr3:uid="{00000000-0010-0000-0E00-00001D000000}" name="Package" totalsRowFunction="count" totalsRowDxfId="370"/>
    <tableColumn id="4" xr3:uid="{00000000-0010-0000-0E00-000004000000}" name="Box No" totalsRowFunction="count" dataDxfId="369" totalsRowDxfId="368"/>
    <tableColumn id="28" xr3:uid="{00000000-0010-0000-0E00-00001C000000}" name="CAF_ID" totalsRowFunction="count" dataDxfId="367" totalsRowDxfId="366"/>
    <tableColumn id="5" xr3:uid="{00000000-0010-0000-0E00-000005000000}" name="JANUARY" totalsRowFunction="sum" dataDxfId="365" totalsRowDxfId="364"/>
    <tableColumn id="7" xr3:uid="{00000000-0010-0000-0E00-000007000000}" name="FEBEUARY" totalsRowFunction="sum" dataDxfId="363" totalsRowDxfId="362"/>
    <tableColumn id="9" xr3:uid="{00000000-0010-0000-0E00-000009000000}" name="MARCH" totalsRowFunction="sum" dataDxfId="361" totalsRowDxfId="360"/>
    <tableColumn id="11" xr3:uid="{00000000-0010-0000-0E00-00000B000000}" name="APRIL" totalsRowFunction="sum" dataDxfId="359" totalsRowDxfId="358"/>
    <tableColumn id="13" xr3:uid="{00000000-0010-0000-0E00-00000D000000}" name="MAY" totalsRowFunction="sum" dataDxfId="357" totalsRowDxfId="356"/>
    <tableColumn id="15" xr3:uid="{00000000-0010-0000-0E00-00000F000000}" name="JUNE" totalsRowFunction="sum" dataDxfId="355" totalsRowDxfId="354"/>
    <tableColumn id="17" xr3:uid="{00000000-0010-0000-0E00-000011000000}" name="JULY" totalsRowFunction="sum" dataDxfId="353" totalsRowDxfId="352"/>
    <tableColumn id="19" xr3:uid="{00000000-0010-0000-0E00-000013000000}" name="AUGUST" totalsRowFunction="sum" dataDxfId="351" totalsRowDxfId="350"/>
    <tableColumn id="8" xr3:uid="{00000000-0010-0000-0E00-000008000000}" name="SEPTEMBER" totalsRowFunction="sum" dataDxfId="349" totalsRowDxfId="348"/>
    <tableColumn id="21" xr3:uid="{00000000-0010-0000-0E00-000015000000}" name="OCTOBER" totalsRowFunction="sum" dataDxfId="347" totalsRowDxfId="346"/>
    <tableColumn id="23" xr3:uid="{00000000-0010-0000-0E00-000017000000}" name="NOVEMBER" totalsRowFunction="sum" dataDxfId="345" totalsRowDxfId="344"/>
    <tableColumn id="25" xr3:uid="{00000000-0010-0000-0E00-000019000000}" name="DECEMBER" totalsRowFunction="sum" dataDxfId="343" totalsRowDxfId="342"/>
    <tableColumn id="27" xr3:uid="{00000000-0010-0000-0E00-00001B000000}" name="BALANCE" totalsRowFunction="sum" dataDxfId="341" totalsRowDxfId="340"/>
    <tableColumn id="6" xr3:uid="{00000000-0010-0000-0E00-000006000000}" name="COMMENTS" dataDxfId="339" totalsRowDxfId="338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31" displayName="bharathipuram231" ref="A1:T29" totalsRowCount="1" totalsRowDxfId="337">
  <autoFilter ref="A1:T28" xr:uid="{00000000-0009-0000-0100-000010000000}"/>
  <sortState xmlns:xlrd2="http://schemas.microsoft.com/office/spreadsheetml/2017/richdata2" ref="A2:R28">
    <sortCondition ref="A1:A28"/>
  </sortState>
  <tableColumns count="20">
    <tableColumn id="1" xr3:uid="{00000000-0010-0000-0F00-000001000000}" name="S.NO" totalsRowLabel="Total" totalsRowDxfId="336"/>
    <tableColumn id="2" xr3:uid="{00000000-0010-0000-0F00-000002000000}" name="Customer Name" totalsRowDxfId="335"/>
    <tableColumn id="3" xr3:uid="{00000000-0010-0000-0F00-000003000000}" name="PAID" totalsRowDxfId="334">
      <calculatedColumnFormula array="1">_xlfn.IFS(bharathipuram231[[#This Row],[OCTOBER]]="M","M",bharathipuram231[[#This Row],[OCTOBER]]="A","A",bharathipuram231[[#This Row],[OCTOBER]]="","",bharathipuram231[[#This Row],[OCTOBER]]&gt;100,"P")</calculatedColumnFormula>
    </tableColumn>
    <tableColumn id="29" xr3:uid="{00000000-0010-0000-0F00-00001D000000}" name="Package" totalsRowFunction="count" totalsRowDxfId="333"/>
    <tableColumn id="4" xr3:uid="{00000000-0010-0000-0F00-000004000000}" name="Box No" totalsRowFunction="count" dataDxfId="332" totalsRowDxfId="331"/>
    <tableColumn id="28" xr3:uid="{00000000-0010-0000-0F00-00001C000000}" name="CAF_ID" totalsRowFunction="count" dataDxfId="330" totalsRowDxfId="329"/>
    <tableColumn id="5" xr3:uid="{00000000-0010-0000-0F00-000005000000}" name="JANUARY" totalsRowFunction="sum" dataDxfId="328" totalsRowDxfId="327"/>
    <tableColumn id="7" xr3:uid="{00000000-0010-0000-0F00-000007000000}" name="FEBEUARY" totalsRowFunction="sum" dataDxfId="326" totalsRowDxfId="325"/>
    <tableColumn id="9" xr3:uid="{00000000-0010-0000-0F00-000009000000}" name="MARCH" totalsRowFunction="sum" dataDxfId="324" totalsRowDxfId="323"/>
    <tableColumn id="11" xr3:uid="{00000000-0010-0000-0F00-00000B000000}" name="APRIL" totalsRowFunction="sum" dataDxfId="322" totalsRowDxfId="321"/>
    <tableColumn id="13" xr3:uid="{00000000-0010-0000-0F00-00000D000000}" name="MAY" totalsRowFunction="sum" dataDxfId="320" totalsRowDxfId="319"/>
    <tableColumn id="15" xr3:uid="{00000000-0010-0000-0F00-00000F000000}" name="JUNE" totalsRowFunction="sum" dataDxfId="318" totalsRowDxfId="317"/>
    <tableColumn id="17" xr3:uid="{00000000-0010-0000-0F00-000011000000}" name="JULY" totalsRowFunction="sum" dataDxfId="316" totalsRowDxfId="315"/>
    <tableColumn id="19" xr3:uid="{00000000-0010-0000-0F00-000013000000}" name="AUGUST" totalsRowFunction="sum" dataDxfId="314" totalsRowDxfId="313"/>
    <tableColumn id="8" xr3:uid="{00000000-0010-0000-0F00-000008000000}" name="SEPTEMBER" totalsRowFunction="sum" dataDxfId="312" totalsRowDxfId="311"/>
    <tableColumn id="21" xr3:uid="{00000000-0010-0000-0F00-000015000000}" name="OCTOBER" totalsRowFunction="sum" dataDxfId="310" totalsRowDxfId="309"/>
    <tableColumn id="23" xr3:uid="{00000000-0010-0000-0F00-000017000000}" name="NOVEMBER" totalsRowFunction="sum" dataDxfId="308" totalsRowDxfId="307"/>
    <tableColumn id="25" xr3:uid="{00000000-0010-0000-0F00-000019000000}" name="DECEMBER" totalsRowFunction="sum" dataDxfId="306" totalsRowDxfId="305"/>
    <tableColumn id="27" xr3:uid="{00000000-0010-0000-0F00-00001B000000}" name="BALANCE" totalsRowFunction="sum" dataDxfId="304" totalsRowDxfId="303"/>
    <tableColumn id="6" xr3:uid="{00000000-0010-0000-0F00-000006000000}" name="COMMENTS" dataDxfId="302" totalsRowDxfId="301"/>
  </tableColumns>
  <tableStyleInfo name="TableStyleMedium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T13" totalsRowCount="1" totalsRowDxfId="300">
  <autoFilter ref="A1:T12" xr:uid="{00000000-0009-0000-0100-000011000000}"/>
  <sortState xmlns:xlrd2="http://schemas.microsoft.com/office/spreadsheetml/2017/richdata2" ref="A2:R12">
    <sortCondition ref="A1:A12"/>
  </sortState>
  <tableColumns count="20">
    <tableColumn id="1" xr3:uid="{00000000-0010-0000-1000-000001000000}" name="S.NO" totalsRowLabel="Total" totalsRowDxfId="299"/>
    <tableColumn id="2" xr3:uid="{00000000-0010-0000-1000-000002000000}" name="Customer Name" totalsRowDxfId="298"/>
    <tableColumn id="3" xr3:uid="{00000000-0010-0000-1000-000003000000}" name="PAID" totalsRowDxfId="297">
      <calculatedColumnFormula>IF(agalist[[#This Row],[SEPTEMBER]]&gt;0,"P", " ")</calculatedColumnFormula>
    </tableColumn>
    <tableColumn id="29" xr3:uid="{00000000-0010-0000-1000-00001D000000}" name="Package" totalsRowFunction="count" totalsRowDxfId="296"/>
    <tableColumn id="4" xr3:uid="{00000000-0010-0000-1000-000004000000}" name="Box No" totalsRowFunction="count" dataDxfId="295" totalsRowDxfId="294"/>
    <tableColumn id="28" xr3:uid="{00000000-0010-0000-1000-00001C000000}" name="CAF_ID" totalsRowFunction="count" dataDxfId="293" totalsRowDxfId="292"/>
    <tableColumn id="5" xr3:uid="{00000000-0010-0000-1000-000005000000}" name="JANUARY" totalsRowFunction="sum" dataDxfId="291" totalsRowDxfId="290"/>
    <tableColumn id="7" xr3:uid="{00000000-0010-0000-1000-000007000000}" name="FEBEUARY" totalsRowFunction="sum" dataDxfId="289" totalsRowDxfId="288"/>
    <tableColumn id="9" xr3:uid="{00000000-0010-0000-1000-000009000000}" name="MARCH" totalsRowFunction="sum" dataDxfId="287" totalsRowDxfId="286"/>
    <tableColumn id="11" xr3:uid="{00000000-0010-0000-1000-00000B000000}" name="APRIL" totalsRowFunction="sum" dataDxfId="285" totalsRowDxfId="284"/>
    <tableColumn id="13" xr3:uid="{00000000-0010-0000-1000-00000D000000}" name="MAY" totalsRowFunction="sum" dataDxfId="283" totalsRowDxfId="282"/>
    <tableColumn id="15" xr3:uid="{00000000-0010-0000-1000-00000F000000}" name="JUNE" totalsRowFunction="sum" dataDxfId="281" totalsRowDxfId="280"/>
    <tableColumn id="17" xr3:uid="{00000000-0010-0000-1000-000011000000}" name="JULY" totalsRowFunction="sum" dataDxfId="279" totalsRowDxfId="278"/>
    <tableColumn id="19" xr3:uid="{00000000-0010-0000-1000-000013000000}" name="AUGUST" totalsRowFunction="sum" dataDxfId="277" totalsRowDxfId="276"/>
    <tableColumn id="8" xr3:uid="{00000000-0010-0000-1000-000008000000}" name="SEPTEMBER" totalsRowFunction="sum" dataDxfId="275" totalsRowDxfId="274"/>
    <tableColumn id="21" xr3:uid="{00000000-0010-0000-1000-000015000000}" name="OCTOBER" totalsRowFunction="sum" dataDxfId="273" totalsRowDxfId="272"/>
    <tableColumn id="23" xr3:uid="{00000000-0010-0000-1000-000017000000}" name="NOVEMBER" totalsRowFunction="sum" dataDxfId="271" totalsRowDxfId="270"/>
    <tableColumn id="25" xr3:uid="{00000000-0010-0000-1000-000019000000}" name="DECEMBER" totalsRowFunction="sum" dataDxfId="269" totalsRowDxfId="268"/>
    <tableColumn id="27" xr3:uid="{00000000-0010-0000-1000-00001B000000}" name="BALANCE" totalsRowFunction="sum" dataDxfId="267" totalsRowDxfId="266"/>
    <tableColumn id="6" xr3:uid="{00000000-0010-0000-1000-000006000000}" name="COMMENTS" dataDxfId="265" totalsRowDxfId="264"/>
  </tableColumns>
  <tableStyleInfo name="TableStyleMedium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tteiyampatti" displayName="etteiyampatti" ref="A1:R12" totalsRowCount="1" totalsRowDxfId="263">
  <autoFilter ref="A1:R11" xr:uid="{00000000-0009-0000-0100-000012000000}"/>
  <tableColumns count="18">
    <tableColumn id="1" xr3:uid="{00000000-0010-0000-1100-000001000000}" name="S.NO" totalsRowLabel="Total" totalsRowDxfId="262"/>
    <tableColumn id="2" xr3:uid="{00000000-0010-0000-1100-000002000000}" name="Customer Name" totalsRowDxfId="261"/>
    <tableColumn id="3" xr3:uid="{00000000-0010-0000-1100-000003000000}" name="PAID" totalsRowDxfId="260"/>
    <tableColumn id="29" xr3:uid="{00000000-0010-0000-1100-00001D000000}" name="Package" totalsRowFunction="count" totalsRowDxfId="259"/>
    <tableColumn id="4" xr3:uid="{00000000-0010-0000-1100-000004000000}" name="Box No" totalsRowFunction="count" dataDxfId="258" totalsRowDxfId="257"/>
    <tableColumn id="5" xr3:uid="{00000000-0010-0000-1100-000005000000}" name="CAF_ID" totalsRowFunction="count" totalsRowDxfId="256"/>
    <tableColumn id="6" xr3:uid="{00000000-0010-0000-1100-000006000000}" name="JANUARY" dataDxfId="255" totalsRowDxfId="254"/>
    <tableColumn id="8" xr3:uid="{00000000-0010-0000-1100-000008000000}" name="FEBEUARY" dataDxfId="253" totalsRowDxfId="252"/>
    <tableColumn id="10" xr3:uid="{00000000-0010-0000-1100-00000A000000}" name="MARCH" dataDxfId="251" totalsRowDxfId="250"/>
    <tableColumn id="12" xr3:uid="{00000000-0010-0000-1100-00000C000000}" name="APRIL" dataDxfId="249" totalsRowDxfId="248"/>
    <tableColumn id="14" xr3:uid="{00000000-0010-0000-1100-00000E000000}" name="MAY" dataDxfId="247" totalsRowDxfId="246"/>
    <tableColumn id="16" xr3:uid="{00000000-0010-0000-1100-000010000000}" name="JUNE" dataDxfId="245" totalsRowDxfId="244"/>
    <tableColumn id="18" xr3:uid="{00000000-0010-0000-1100-000012000000}" name="JULY" dataDxfId="243" totalsRowDxfId="242"/>
    <tableColumn id="20" xr3:uid="{00000000-0010-0000-1100-000014000000}" name="AUGUST" dataDxfId="241" totalsRowDxfId="240"/>
    <tableColumn id="7" xr3:uid="{00000000-0010-0000-1100-000007000000}" name="SEPTEMBER" dataDxfId="239" totalsRowDxfId="238"/>
    <tableColumn id="22" xr3:uid="{00000000-0010-0000-1100-000016000000}" name="OCTOBER" dataDxfId="237" totalsRowDxfId="236"/>
    <tableColumn id="24" xr3:uid="{00000000-0010-0000-1100-000018000000}" name="NOVEMBER" dataDxfId="235" totalsRowDxfId="234"/>
    <tableColumn id="26" xr3:uid="{00000000-0010-0000-1100-00001A000000}" name="DECEMBER" dataDxfId="233" totalsRowDxfId="232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udhur" displayName="pudhur" ref="A1:T28" totalsRowCount="1" totalsRowDxfId="229" headerRowBorderDxfId="231" tableBorderDxfId="230">
  <autoFilter ref="A1:T27" xr:uid="{00000000-0009-0000-0100-000013000000}"/>
  <sortState xmlns:xlrd2="http://schemas.microsoft.com/office/spreadsheetml/2017/richdata2" ref="A2:R27">
    <sortCondition ref="A1:A27"/>
  </sortState>
  <tableColumns count="20">
    <tableColumn id="1" xr3:uid="{00000000-0010-0000-1200-000001000000}" name="S.NO" totalsRowLabel="Total" totalsRowDxfId="228"/>
    <tableColumn id="2" xr3:uid="{00000000-0010-0000-1200-000002000000}" name="Customer Name" totalsRowDxfId="227"/>
    <tableColumn id="4" xr3:uid="{00000000-0010-0000-1200-000004000000}" name="PAID" totalsRowDxfId="226">
      <calculatedColumnFormula>IF(pudhur[[#This Row],[SEPTEMBER]]&gt;0,"P"," ")</calculatedColumnFormula>
    </tableColumn>
    <tableColumn id="5" xr3:uid="{00000000-0010-0000-1200-000005000000}" name="Package" totalsRowFunction="count" totalsRowDxfId="225"/>
    <tableColumn id="3" xr3:uid="{00000000-0010-0000-1200-000003000000}" name="Box No" totalsRowFunction="count" totalsRowDxfId="224"/>
    <tableColumn id="6" xr3:uid="{00000000-0010-0000-1200-000006000000}" name="CAF_ID" totalsRowFunction="count" totalsRowDxfId="223"/>
    <tableColumn id="7" xr3:uid="{00000000-0010-0000-1200-000007000000}" name="JANUARY" totalsRowFunction="sum" dataDxfId="222" totalsRowDxfId="221"/>
    <tableColumn id="9" xr3:uid="{00000000-0010-0000-1200-000009000000}" name="FEBEUARY" totalsRowFunction="sum" dataDxfId="220" totalsRowDxfId="219"/>
    <tableColumn id="11" xr3:uid="{00000000-0010-0000-1200-00000B000000}" name="MARCH" totalsRowFunction="sum" dataDxfId="218" totalsRowDxfId="217"/>
    <tableColumn id="13" xr3:uid="{00000000-0010-0000-1200-00000D000000}" name="APRIL" totalsRowFunction="sum" dataDxfId="216" totalsRowDxfId="215"/>
    <tableColumn id="15" xr3:uid="{00000000-0010-0000-1200-00000F000000}" name="MAY" totalsRowFunction="sum" dataDxfId="214" totalsRowDxfId="213"/>
    <tableColumn id="17" xr3:uid="{00000000-0010-0000-1200-000011000000}" name="JUNE" totalsRowFunction="sum" dataDxfId="212" totalsRowDxfId="211"/>
    <tableColumn id="19" xr3:uid="{00000000-0010-0000-1200-000013000000}" name="JULY" totalsRowFunction="sum" dataDxfId="210" totalsRowDxfId="209"/>
    <tableColumn id="21" xr3:uid="{00000000-0010-0000-1200-000015000000}" name="AUGUST" totalsRowFunction="sum" dataDxfId="208" totalsRowDxfId="207"/>
    <tableColumn id="14" xr3:uid="{00000000-0010-0000-1200-00000E000000}" name="SEPTEMBER" totalsRowFunction="sum" dataDxfId="206" totalsRowDxfId="205"/>
    <tableColumn id="23" xr3:uid="{00000000-0010-0000-1200-000017000000}" name="OCTOBER" totalsRowFunction="sum" dataDxfId="204" totalsRowDxfId="203"/>
    <tableColumn id="25" xr3:uid="{00000000-0010-0000-1200-000019000000}" name="NOVEMBER" totalsRowFunction="sum" dataDxfId="202" totalsRowDxfId="201"/>
    <tableColumn id="27" xr3:uid="{00000000-0010-0000-1200-00001B000000}" name="DECEMBER" totalsRowFunction="sum" dataDxfId="200" totalsRowDxfId="199"/>
    <tableColumn id="29" xr3:uid="{00000000-0010-0000-1200-00001D000000}" name="BALANCE" totalsRowFunction="sum" dataDxfId="198" totalsRowDxfId="197"/>
    <tableColumn id="8" xr3:uid="{00000000-0010-0000-1200-000008000000}" name="COMMENTS" dataDxfId="196" totalsRowDxfId="195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ankark" displayName="sankark" ref="A1:T11" totalsRowCount="1" totalsRowDxfId="192" headerRowBorderDxfId="194" tableBorderDxfId="193" totalsRowBorderDxfId="191">
  <autoFilter ref="A1:T10" xr:uid="{00000000-0009-0000-0100-000014000000}"/>
  <sortState xmlns:xlrd2="http://schemas.microsoft.com/office/spreadsheetml/2017/richdata2" ref="A2:R9">
    <sortCondition ref="A1:A9"/>
  </sortState>
  <tableColumns count="20">
    <tableColumn id="1" xr3:uid="{00000000-0010-0000-1300-000001000000}" name="S.NO" totalsRowLabel="Total" totalsRowDxfId="190"/>
    <tableColumn id="2" xr3:uid="{00000000-0010-0000-1300-000002000000}" name="Customer Name" totalsRowDxfId="189"/>
    <tableColumn id="4" xr3:uid="{00000000-0010-0000-1300-000004000000}" name="PAID" totalsRowDxfId="188">
      <calculatedColumnFormula>IF(sankark[[#This Row],[SEPTEMBER]]&gt;0,"P"," ")</calculatedColumnFormula>
    </tableColumn>
    <tableColumn id="5" xr3:uid="{00000000-0010-0000-1300-000005000000}" name="Package" totalsRowFunction="count" totalsRowDxfId="187"/>
    <tableColumn id="3" xr3:uid="{00000000-0010-0000-1300-000003000000}" name="Box No" totalsRowFunction="count" totalsRowDxfId="186"/>
    <tableColumn id="6" xr3:uid="{00000000-0010-0000-1300-000006000000}" name="CAF_ID" totalsRowFunction="count" totalsRowDxfId="185"/>
    <tableColumn id="7" xr3:uid="{00000000-0010-0000-1300-000007000000}" name="JANUARY" totalsRowFunction="sum" dataDxfId="184" totalsRowDxfId="183"/>
    <tableColumn id="9" xr3:uid="{00000000-0010-0000-1300-000009000000}" name="FEBEUARY" totalsRowFunction="sum" dataDxfId="182" totalsRowDxfId="181"/>
    <tableColumn id="11" xr3:uid="{00000000-0010-0000-1300-00000B000000}" name="MARCH" totalsRowFunction="sum" dataDxfId="180" totalsRowDxfId="179"/>
    <tableColumn id="13" xr3:uid="{00000000-0010-0000-1300-00000D000000}" name="APRIL" totalsRowFunction="sum" dataDxfId="178" totalsRowDxfId="177"/>
    <tableColumn id="15" xr3:uid="{00000000-0010-0000-1300-00000F000000}" name="MAY" totalsRowFunction="sum" dataDxfId="176" totalsRowDxfId="175"/>
    <tableColumn id="17" xr3:uid="{00000000-0010-0000-1300-000011000000}" name="JUNE" totalsRowFunction="sum" dataDxfId="174" totalsRowDxfId="173"/>
    <tableColumn id="19" xr3:uid="{00000000-0010-0000-1300-000013000000}" name="JULY" totalsRowFunction="sum" dataDxfId="172" totalsRowDxfId="171"/>
    <tableColumn id="21" xr3:uid="{00000000-0010-0000-1300-000015000000}" name="AUGUST" totalsRowFunction="sum" dataDxfId="170" totalsRowDxfId="169"/>
    <tableColumn id="10" xr3:uid="{00000000-0010-0000-1300-00000A000000}" name="SEPTEMBER" totalsRowFunction="sum" dataDxfId="168" totalsRowDxfId="167"/>
    <tableColumn id="23" xr3:uid="{00000000-0010-0000-1300-000017000000}" name="OCTOBER" totalsRowFunction="sum" dataDxfId="166" totalsRowDxfId="165"/>
    <tableColumn id="25" xr3:uid="{00000000-0010-0000-1300-000019000000}" name="NOVEMBER" totalsRowFunction="sum" dataDxfId="164" totalsRowDxfId="163"/>
    <tableColumn id="27" xr3:uid="{00000000-0010-0000-1300-00001B000000}" name="DECEMBER" totalsRowFunction="sum" dataDxfId="162" totalsRowDxfId="161"/>
    <tableColumn id="29" xr3:uid="{00000000-0010-0000-1300-00001D000000}" name="BALANCE" totalsRowFunction="sum" dataDxfId="160" totalsRowDxfId="159"/>
    <tableColumn id="8" xr3:uid="{00000000-0010-0000-1300-000008000000}" name="COMMENTS" totalsRowDxfId="158"/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kamarajnagar" displayName="kamarajnagar" ref="A1:T37" totalsRowCount="1">
  <autoFilter ref="A1:T36" xr:uid="{00000000-0009-0000-0100-000015000000}"/>
  <sortState xmlns:xlrd2="http://schemas.microsoft.com/office/spreadsheetml/2017/richdata2" ref="A2:T33">
    <sortCondition ref="A1:A33"/>
  </sortState>
  <tableColumns count="20">
    <tableColumn id="1" xr3:uid="{00000000-0010-0000-1400-000001000000}" name="S.NO" totalsRowLabel="Total"/>
    <tableColumn id="2" xr3:uid="{00000000-0010-0000-1400-000002000000}" name="Customer Name" dataDxfId="157" totalsRowDxfId="156"/>
    <tableColumn id="3" xr3:uid="{00000000-0010-0000-1400-000003000000}" name="PAID" totalsRowDxfId="155">
      <calculatedColumnFormula>IF(kamarajnagar[[#This Row],[SEPTEMBER]]&gt;0,"P"," ")</calculatedColumnFormula>
    </tableColumn>
    <tableColumn id="29" xr3:uid="{00000000-0010-0000-1400-00001D000000}" name="Package" totalsRowFunction="count"/>
    <tableColumn id="4" xr3:uid="{00000000-0010-0000-1400-000004000000}" name="Box No" totalsRowFunction="count" dataDxfId="154"/>
    <tableColumn id="5" xr3:uid="{00000000-0010-0000-1400-000005000000}" name="CAF_ID" totalsRowFunction="count" dataDxfId="153"/>
    <tableColumn id="7" xr3:uid="{00000000-0010-0000-1400-000007000000}" name="COMMENTS" dataDxfId="152" totalsRowDxfId="151"/>
    <tableColumn id="28" xr3:uid="{00000000-0010-0000-1400-00001C000000}" name="BALANCE" totalsRowFunction="sum" dataDxfId="150" totalsRowDxfId="149"/>
    <tableColumn id="6" xr3:uid="{00000000-0010-0000-1400-000006000000}" name="JANUARY" totalsRowFunction="sum" dataDxfId="148" totalsRowDxfId="147"/>
    <tableColumn id="8" xr3:uid="{00000000-0010-0000-1400-000008000000}" name="FEBEUARY" totalsRowFunction="sum" dataDxfId="146" totalsRowDxfId="145"/>
    <tableColumn id="10" xr3:uid="{00000000-0010-0000-1400-00000A000000}" name="MARCH" totalsRowFunction="sum" dataDxfId="144" totalsRowDxfId="143"/>
    <tableColumn id="12" xr3:uid="{00000000-0010-0000-1400-00000C000000}" name="APRIL" totalsRowFunction="sum" dataDxfId="142" totalsRowDxfId="141"/>
    <tableColumn id="14" xr3:uid="{00000000-0010-0000-1400-00000E000000}" name="MAY" totalsRowFunction="sum" dataDxfId="140" totalsRowDxfId="139"/>
    <tableColumn id="16" xr3:uid="{00000000-0010-0000-1400-000010000000}" name="JUNE" totalsRowFunction="sum" dataDxfId="138" totalsRowDxfId="137"/>
    <tableColumn id="18" xr3:uid="{00000000-0010-0000-1400-000012000000}" name="JULY" totalsRowFunction="sum" dataDxfId="136" totalsRowDxfId="135"/>
    <tableColumn id="20" xr3:uid="{00000000-0010-0000-1400-000014000000}" name="AUGUST" totalsRowFunction="sum" dataDxfId="134" totalsRowDxfId="133"/>
    <tableColumn id="9" xr3:uid="{00000000-0010-0000-1400-000009000000}" name="SEPTEMBER" totalsRowFunction="sum" dataDxfId="132" totalsRowDxfId="131"/>
    <tableColumn id="22" xr3:uid="{00000000-0010-0000-1400-000016000000}" name="OCTOBER" totalsRowFunction="sum" dataDxfId="130" totalsRowDxfId="129"/>
    <tableColumn id="24" xr3:uid="{00000000-0010-0000-1400-000018000000}" name="NOVEMBER" totalsRowFunction="sum" dataDxfId="128" totalsRowDxfId="127"/>
    <tableColumn id="26" xr3:uid="{00000000-0010-0000-1400-00001A000000}" name="DECEMBER" totalsRowFunction="sum" dataDxfId="126" totalsRowDxfId="12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muslismst" displayName="muslismst" ref="A1:T35" totalsRowCount="1" headerRowDxfId="124" dataDxfId="122" headerRowBorderDxfId="123" tableBorderDxfId="121">
  <autoFilter ref="A1:T34" xr:uid="{00000000-0009-0000-0100-000016000000}"/>
  <tableColumns count="20">
    <tableColumn id="1" xr3:uid="{00000000-0010-0000-1500-000001000000}" name="S.NO" totalsRowLabel="TOTAL" dataDxfId="120" totalsRowDxfId="119"/>
    <tableColumn id="2" xr3:uid="{00000000-0010-0000-1500-000002000000}" name="Customer Name" dataDxfId="118" totalsRowDxfId="117"/>
    <tableColumn id="4" xr3:uid="{00000000-0010-0000-1500-000004000000}" name="PAID" dataDxfId="116" totalsRowDxfId="115">
      <calculatedColumnFormula>IF(muslismst[[#This Row],[SEPTEMBER]]&gt;0,"P"," ")</calculatedColumnFormula>
    </tableColumn>
    <tableColumn id="5" xr3:uid="{00000000-0010-0000-1500-000005000000}" name="Package" totalsRowFunction="count" totalsRowDxfId="114"/>
    <tableColumn id="3" xr3:uid="{00000000-0010-0000-1500-000003000000}" name="Box No" totalsRowFunction="count" dataDxfId="113" totalsRowDxfId="112"/>
    <tableColumn id="6" xr3:uid="{00000000-0010-0000-1500-000006000000}" name="CAF_ID" totalsRowFunction="count" dataDxfId="111" totalsRowDxfId="110"/>
    <tableColumn id="8" xr3:uid="{00000000-0010-0000-1500-000008000000}" name="COMMENTS" dataDxfId="109" totalsRowDxfId="108"/>
    <tableColumn id="29" xr3:uid="{00000000-0010-0000-1500-00001D000000}" name="BALANCE" totalsRowFunction="sum" dataDxfId="107" totalsRowDxfId="106"/>
    <tableColumn id="7" xr3:uid="{00000000-0010-0000-1500-000007000000}" name="JANUARY" totalsRowFunction="sum" dataDxfId="105" totalsRowDxfId="104"/>
    <tableColumn id="9" xr3:uid="{00000000-0010-0000-1500-000009000000}" name="FEBEUARY" totalsRowFunction="sum" dataDxfId="103" totalsRowDxfId="102"/>
    <tableColumn id="11" xr3:uid="{00000000-0010-0000-1500-00000B000000}" name="MARCH" totalsRowFunction="sum" dataDxfId="101" totalsRowDxfId="100"/>
    <tableColumn id="13" xr3:uid="{00000000-0010-0000-1500-00000D000000}" name="APRIL" totalsRowFunction="sum" dataDxfId="99" totalsRowDxfId="98"/>
    <tableColumn id="15" xr3:uid="{00000000-0010-0000-1500-00000F000000}" name="MAY" totalsRowFunction="sum" dataDxfId="97" totalsRowDxfId="96"/>
    <tableColumn id="17" xr3:uid="{00000000-0010-0000-1500-000011000000}" name="JUNE" totalsRowFunction="sum" dataDxfId="95" totalsRowDxfId="94"/>
    <tableColumn id="19" xr3:uid="{00000000-0010-0000-1500-000013000000}" name="JULY" totalsRowFunction="sum" dataDxfId="93" totalsRowDxfId="92"/>
    <tableColumn id="21" xr3:uid="{00000000-0010-0000-1500-000015000000}" name="AUGUST" totalsRowFunction="sum" dataDxfId="91" totalsRowDxfId="90"/>
    <tableColumn id="10" xr3:uid="{00000000-0010-0000-1500-00000A000000}" name="SEPTEMBER" totalsRowFunction="sum" dataDxfId="89" totalsRowDxfId="88"/>
    <tableColumn id="23" xr3:uid="{00000000-0010-0000-1500-000017000000}" name="OCTOBER" totalsRowFunction="sum" dataDxfId="87" totalsRowDxfId="86"/>
    <tableColumn id="25" xr3:uid="{00000000-0010-0000-1500-000019000000}" name="NOVEMBER" totalsRowFunction="sum" dataDxfId="85" totalsRowDxfId="84"/>
    <tableColumn id="27" xr3:uid="{00000000-0010-0000-1500-00001B000000}" name="DECEMBER" totalsRowFunction="sum" dataDxfId="83" totalsRowDxfId="8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govtbox" displayName="govtbox" ref="A1:T122" totalsRowCount="1">
  <autoFilter ref="A1:T121" xr:uid="{00000000-0009-0000-0100-000017000000}"/>
  <sortState xmlns:xlrd2="http://schemas.microsoft.com/office/spreadsheetml/2017/richdata2" ref="A2:T121">
    <sortCondition ref="A1:A121"/>
  </sortState>
  <tableColumns count="20">
    <tableColumn id="1" xr3:uid="{00000000-0010-0000-1600-000001000000}" name="S.NO" totalsRowLabel="Total"/>
    <tableColumn id="2" xr3:uid="{00000000-0010-0000-1600-000002000000}" name="Customer Name"/>
    <tableColumn id="3" xr3:uid="{00000000-0010-0000-1600-000003000000}" name="PAID"/>
    <tableColumn id="4" xr3:uid="{00000000-0010-0000-1600-000004000000}" name="Box No" dataDxfId="81"/>
    <tableColumn id="5" xr3:uid="{00000000-0010-0000-1600-000005000000}" name="CAFID" dataDxfId="80" totalsRowDxfId="79"/>
    <tableColumn id="29" xr3:uid="{00000000-0010-0000-1600-00001D000000}" name="Old no" dataDxfId="78" totalsRowDxfId="77"/>
    <tableColumn id="7" xr3:uid="{00000000-0010-0000-1600-000007000000}" name="COMMENTS" dataDxfId="76" totalsRowDxfId="75"/>
    <tableColumn id="28" xr3:uid="{00000000-0010-0000-1600-00001C000000}" name="BALANCE" totalsRowFunction="sum" dataDxfId="74" totalsRowDxfId="73"/>
    <tableColumn id="6" xr3:uid="{00000000-0010-0000-1600-000006000000}" name="JANUARY" totalsRowFunction="sum" dataDxfId="72" totalsRowDxfId="71"/>
    <tableColumn id="8" xr3:uid="{00000000-0010-0000-1600-000008000000}" name="FEBEUARY" totalsRowFunction="sum" dataDxfId="70" totalsRowDxfId="69"/>
    <tableColumn id="10" xr3:uid="{00000000-0010-0000-1600-00000A000000}" name="MARCH" totalsRowFunction="sum" dataDxfId="68" totalsRowDxfId="67"/>
    <tableColumn id="12" xr3:uid="{00000000-0010-0000-1600-00000C000000}" name="APRIL" totalsRowFunction="sum" dataDxfId="66" totalsRowDxfId="65"/>
    <tableColumn id="14" xr3:uid="{00000000-0010-0000-1600-00000E000000}" name="MAY" totalsRowFunction="sum" dataDxfId="64" totalsRowDxfId="63"/>
    <tableColumn id="16" xr3:uid="{00000000-0010-0000-1600-000010000000}" name="JUNE" totalsRowFunction="sum" dataDxfId="62" totalsRowDxfId="61"/>
    <tableColumn id="18" xr3:uid="{00000000-0010-0000-1600-000012000000}" name="JULY" totalsRowFunction="sum" dataDxfId="60" totalsRowDxfId="59"/>
    <tableColumn id="20" xr3:uid="{00000000-0010-0000-1600-000014000000}" name="AUGUST" totalsRowFunction="sum" dataDxfId="58" totalsRowDxfId="57"/>
    <tableColumn id="9" xr3:uid="{00000000-0010-0000-1600-000009000000}" name="SEPTEMBER" totalsRowFunction="sum" dataDxfId="56" totalsRowDxfId="55"/>
    <tableColumn id="22" xr3:uid="{00000000-0010-0000-1600-000016000000}" name="OCTOBER" totalsRowFunction="sum" dataDxfId="54" totalsRowDxfId="53"/>
    <tableColumn id="24" xr3:uid="{00000000-0010-0000-1600-000018000000}" name="NOVEMBER" totalsRowFunction="sum" dataDxfId="52" totalsRowDxfId="51"/>
    <tableColumn id="26" xr3:uid="{00000000-0010-0000-1600-00001A000000}" name="DECEMBER" totalsRowFunction="sum" dataDxfId="50" totalsRowDxfId="49"/>
  </tableColumns>
  <tableStyleInfo name="TableStyleMedium1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6" displayName="Table26" ref="A1:P22" totalsRowCount="1">
  <autoFilter ref="A1:P21" xr:uid="{00000000-0009-0000-0100-000018000000}"/>
  <tableColumns count="16">
    <tableColumn id="1" xr3:uid="{00000000-0010-0000-1700-000001000000}" name="S.NO" totalsRowLabel="Total" totalsRowDxfId="48"/>
    <tableColumn id="2" xr3:uid="{00000000-0010-0000-1700-000002000000}" name="AREA NAME" dataDxfId="47" totalsRowDxfId="46"/>
    <tableColumn id="3" xr3:uid="{00000000-0010-0000-1700-000003000000}" name="JANUARY" dataDxfId="45" totalsRowDxfId="44"/>
    <tableColumn id="4" xr3:uid="{00000000-0010-0000-1700-000004000000}" name="FEBUARY" dataDxfId="43" totalsRowDxfId="42"/>
    <tableColumn id="5" xr3:uid="{00000000-0010-0000-1700-000005000000}" name="MARCH" dataDxfId="41" totalsRowDxfId="40"/>
    <tableColumn id="6" xr3:uid="{00000000-0010-0000-1700-000006000000}" name="APRIL" dataDxfId="39" totalsRowDxfId="38"/>
    <tableColumn id="7" xr3:uid="{00000000-0010-0000-1700-000007000000}" name="MAY" dataDxfId="37" totalsRowDxfId="36"/>
    <tableColumn id="8" xr3:uid="{00000000-0010-0000-1700-000008000000}" name="JUNE" dataDxfId="35" totalsRowDxfId="34"/>
    <tableColumn id="9" xr3:uid="{00000000-0010-0000-1700-000009000000}" name="JULY" totalsRowFunction="sum" dataDxfId="33" totalsRowDxfId="32"/>
    <tableColumn id="10" xr3:uid="{00000000-0010-0000-1700-00000A000000}" name="AUGUST" totalsRowFunction="sum" dataDxfId="31" totalsRowDxfId="30"/>
    <tableColumn id="11" xr3:uid="{00000000-0010-0000-1700-00000B000000}" name="SEPTEMBER" totalsRowFunction="sum" dataDxfId="29" totalsRowDxfId="28"/>
    <tableColumn id="12" xr3:uid="{00000000-0010-0000-1700-00000C000000}" name="OCTOBER" totalsRowFunction="sum" dataDxfId="27" totalsRowDxfId="26"/>
    <tableColumn id="13" xr3:uid="{00000000-0010-0000-1700-00000D000000}" name="NOVEMBER" totalsRowFunction="sum" dataDxfId="25" totalsRowDxfId="24"/>
    <tableColumn id="14" xr3:uid="{00000000-0010-0000-1700-00000E000000}" name="DECEMBER" totalsRowFunction="sum" dataDxfId="23" totalsRowDxfId="22"/>
    <tableColumn id="15" xr3:uid="{00000000-0010-0000-1700-00000F000000}" name="ACTIVE LIST" totalsRowFunction="custom" dataDxfId="21" totalsRowDxfId="20">
      <totalsRowFormula>SUM(O2:O20)</totalsRowFormula>
    </tableColumn>
    <tableColumn id="16" xr3:uid="{00000000-0010-0000-1700-000010000000}" name="TOTAL PAID" totalsRowFunction="sum" dataDxfId="19" totalsRowDxfId="18"/>
  </tableColumns>
  <tableStyleInfo name="TableStyleMedium2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25" displayName="Table25" ref="B2:F20" totalsRowCount="1">
  <autoFilter ref="B2:F19" xr:uid="{00000000-0009-0000-0100-000019000000}"/>
  <tableColumns count="5">
    <tableColumn id="1" xr3:uid="{00000000-0010-0000-1800-000001000000}" name="DATE" totalsRowLabel="AUGUST" dataDxfId="17"/>
    <tableColumn id="2" xr3:uid="{00000000-0010-0000-1800-000002000000}" name="MURUGAN" totalsRowFunction="sum" dataDxfId="16" totalsRowDxfId="15"/>
    <tableColumn id="5" xr3:uid="{00000000-0010-0000-1800-000005000000}" name="SALARY" totalsRowFunction="sum" dataDxfId="14" totalsRowDxfId="13"/>
    <tableColumn id="3" xr3:uid="{00000000-0010-0000-1800-000003000000}" name="DATE2" totalsRowLabel="AUGUST" dataDxfId="12"/>
    <tableColumn id="4" xr3:uid="{00000000-0010-0000-1800-000004000000}" name="GOVINDHAN" totalsRowFunction="sum" dataDxfId="11" totalsRowDxfId="10"/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2528" displayName="Table2528" ref="H2:L22" totalsRowCount="1">
  <autoFilter ref="H2:L21" xr:uid="{00000000-0009-0000-0100-00001A000000}"/>
  <tableColumns count="5">
    <tableColumn id="1" xr3:uid="{00000000-0010-0000-1900-000001000000}" name="DATE" totalsRowLabel="SEPTEMBER" dataDxfId="9"/>
    <tableColumn id="2" xr3:uid="{00000000-0010-0000-1900-000002000000}" name="MURUGAN" totalsRowFunction="sum" dataDxfId="8" totalsRowDxfId="7"/>
    <tableColumn id="5" xr3:uid="{00000000-0010-0000-1900-000005000000}" name="SALARY" totalsRowFunction="sum" dataDxfId="6" totalsRowDxfId="5"/>
    <tableColumn id="3" xr3:uid="{00000000-0010-0000-1900-000003000000}" name="DATE2" totalsRowLabel="SEPTEMBER" dataDxfId="4"/>
    <tableColumn id="4" xr3:uid="{00000000-0010-0000-1900-000004000000}" name="GOVINDHAN" totalsRowFunction="sum" dataDxfId="3" totalsRowDxfId="2"/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missingno" displayName="missingno" ref="A1:D39" totalsRowShown="0">
  <autoFilter ref="A1:D39" xr:uid="{00000000-0009-0000-0100-00001B000000}"/>
  <tableColumns count="4">
    <tableColumn id="1" xr3:uid="{00000000-0010-0000-1A00-000001000000}" name="BOX NO" dataDxfId="1"/>
    <tableColumn id="2" xr3:uid="{00000000-0010-0000-1A00-000002000000}" name="NAME" dataDxfId="0"/>
    <tableColumn id="3" xr3:uid="{00000000-0010-0000-1A00-000003000000}" name="AREA NAME"/>
    <tableColumn id="4" xr3:uid="{00000000-0010-0000-1A00-000004000000}" name="COMMENTS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3"/>
  <sheetViews>
    <sheetView zoomScale="115" zoomScaleNormal="115" workbookViewId="0">
      <selection activeCell="C3" sqref="C3"/>
    </sheetView>
  </sheetViews>
  <sheetFormatPr defaultColWidth="8.85546875" defaultRowHeight="15" x14ac:dyDescent="0.25"/>
  <cols>
    <col min="1" max="1" width="5.7109375" style="61" customWidth="1"/>
    <col min="2" max="2" width="20.28515625" style="61" customWidth="1"/>
    <col min="3" max="3" width="7.140625" style="61" customWidth="1"/>
    <col min="4" max="4" width="30.28515625" style="15" customWidth="1"/>
    <col min="5" max="5" width="20.7109375" style="61" customWidth="1"/>
    <col min="6" max="6" width="10.85546875" style="61" customWidth="1"/>
    <col min="7" max="7" width="11.28515625" style="52" hidden="1" customWidth="1"/>
    <col min="8" max="8" width="11.5703125" style="52" hidden="1" customWidth="1"/>
    <col min="9" max="9" width="11.7109375" style="52" hidden="1" customWidth="1"/>
    <col min="10" max="10" width="11.5703125" style="52" hidden="1" customWidth="1"/>
    <col min="11" max="13" width="8.85546875" style="52" hidden="1" customWidth="1"/>
    <col min="14" max="14" width="10.5703125" style="52" hidden="1" customWidth="1"/>
    <col min="15" max="15" width="12" style="52" customWidth="1"/>
    <col min="16" max="16" width="11.42578125" style="52" customWidth="1"/>
    <col min="17" max="17" width="11" style="52" customWidth="1"/>
    <col min="18" max="18" width="8.85546875" style="52" customWidth="1"/>
    <col min="19" max="19" width="12" style="61" customWidth="1"/>
    <col min="20" max="20" width="17.140625" style="61" customWidth="1"/>
    <col min="21" max="40" width="8.85546875" style="61" customWidth="1"/>
    <col min="41" max="16384" width="8.85546875" style="6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</row>
    <row r="2" spans="1:20" x14ac:dyDescent="0.25">
      <c r="A2">
        <v>1</v>
      </c>
      <c r="B2" t="s">
        <v>20</v>
      </c>
      <c r="C2" t="str" cm="1">
        <f t="array" ref="C2">_xlfn.IFS(vallur1[[#This Row],[OCTOBER]]="M","M",vallur1[[#This Row],[OCTOBER]]="A","A",vallur1[[#This Row],[OCTOBER]]="","",vallur1[[#This Row],[OCTOBER]]&gt;100,"P")</f>
        <v/>
      </c>
      <c r="D2" t="s">
        <v>21</v>
      </c>
      <c r="E2" s="44" t="s">
        <v>22</v>
      </c>
      <c r="F2" s="44" t="s">
        <v>23</v>
      </c>
      <c r="N2" s="52">
        <v>200</v>
      </c>
      <c r="O2" s="52">
        <v>200</v>
      </c>
      <c r="S2" s="20"/>
      <c r="T2" s="52"/>
    </row>
    <row r="3" spans="1:20" x14ac:dyDescent="0.25">
      <c r="A3">
        <v>2</v>
      </c>
      <c r="B3" t="s">
        <v>24</v>
      </c>
      <c r="C3" s="63" t="str" cm="1">
        <f t="array" ref="C3">_xlfn.IFS(vallur1[[#This Row],[OCTOBER]]="M","M",vallur1[[#This Row],[OCTOBER]]="A","A",vallur1[[#This Row],[OCTOBER]]="","",vallur1[[#This Row],[OCTOBER]]&gt;100,"P")</f>
        <v/>
      </c>
      <c r="D3" t="s">
        <v>25</v>
      </c>
      <c r="E3" s="44" t="s">
        <v>26</v>
      </c>
      <c r="F3" s="44" t="s">
        <v>27</v>
      </c>
      <c r="N3" s="52">
        <v>220</v>
      </c>
      <c r="O3" s="52">
        <v>220</v>
      </c>
      <c r="S3" s="20"/>
      <c r="T3" s="52"/>
    </row>
    <row r="4" spans="1:20" x14ac:dyDescent="0.25">
      <c r="A4">
        <v>3</v>
      </c>
      <c r="B4" t="s">
        <v>28</v>
      </c>
      <c r="C4" s="63" t="str" cm="1">
        <f t="array" ref="C4">_xlfn.IFS(vallur1[[#This Row],[OCTOBER]]="M","M",vallur1[[#This Row],[OCTOBER]]="A","A",vallur1[[#This Row],[OCTOBER]]="","",vallur1[[#This Row],[OCTOBER]]&gt;100,"P")</f>
        <v/>
      </c>
      <c r="E4" s="44" t="s">
        <v>29</v>
      </c>
      <c r="F4" s="44" t="s">
        <v>30</v>
      </c>
      <c r="N4" s="52">
        <v>250</v>
      </c>
      <c r="S4" s="20"/>
      <c r="T4" s="52"/>
    </row>
    <row r="5" spans="1:20" x14ac:dyDescent="0.25">
      <c r="A5">
        <v>4</v>
      </c>
      <c r="B5" t="s">
        <v>31</v>
      </c>
      <c r="C5" s="63" t="str" cm="1">
        <f t="array" ref="C5">_xlfn.IFS(vallur1[[#This Row],[OCTOBER]]="M","M",vallur1[[#This Row],[OCTOBER]]="A","A",vallur1[[#This Row],[OCTOBER]]="","",vallur1[[#This Row],[OCTOBER]]&gt;100,"P")</f>
        <v/>
      </c>
      <c r="D5" t="s">
        <v>25</v>
      </c>
      <c r="E5" s="44" t="s">
        <v>32</v>
      </c>
      <c r="F5" s="44" t="s">
        <v>33</v>
      </c>
      <c r="N5" s="52">
        <v>220</v>
      </c>
      <c r="O5" s="52">
        <v>220</v>
      </c>
      <c r="S5" s="20"/>
      <c r="T5" s="52"/>
    </row>
    <row r="6" spans="1:20" x14ac:dyDescent="0.25">
      <c r="A6">
        <v>5</v>
      </c>
      <c r="B6" t="s">
        <v>34</v>
      </c>
      <c r="C6" s="63" t="str" cm="1">
        <f t="array" ref="C6">_xlfn.IFS(vallur1[[#This Row],[OCTOBER]]="M","M",vallur1[[#This Row],[OCTOBER]]="A","A",vallur1[[#This Row],[OCTOBER]]="","",vallur1[[#This Row],[OCTOBER]]&gt;100,"P")</f>
        <v/>
      </c>
      <c r="D6" t="s">
        <v>35</v>
      </c>
      <c r="E6" s="44" t="s">
        <v>36</v>
      </c>
      <c r="F6" s="44" t="s">
        <v>37</v>
      </c>
      <c r="N6" s="52">
        <v>200</v>
      </c>
      <c r="O6" s="52">
        <v>200</v>
      </c>
      <c r="S6" s="20"/>
      <c r="T6" s="52"/>
    </row>
    <row r="7" spans="1:20" x14ac:dyDescent="0.25">
      <c r="A7">
        <v>6</v>
      </c>
      <c r="B7" t="s">
        <v>38</v>
      </c>
      <c r="C7" s="63" t="str" cm="1">
        <f t="array" ref="C7">_xlfn.IFS(vallur1[[#This Row],[OCTOBER]]="M","M",vallur1[[#This Row],[OCTOBER]]="A","A",vallur1[[#This Row],[OCTOBER]]="","",vallur1[[#This Row],[OCTOBER]]&gt;100,"P")</f>
        <v/>
      </c>
      <c r="D7" t="s">
        <v>35</v>
      </c>
      <c r="E7" s="44" t="s">
        <v>39</v>
      </c>
      <c r="F7" s="44" t="s">
        <v>40</v>
      </c>
      <c r="N7" s="52">
        <v>200</v>
      </c>
      <c r="O7" s="52">
        <v>200</v>
      </c>
      <c r="S7" s="20"/>
      <c r="T7" s="52"/>
    </row>
    <row r="8" spans="1:20" x14ac:dyDescent="0.25">
      <c r="A8">
        <v>7</v>
      </c>
      <c r="B8" t="s">
        <v>41</v>
      </c>
      <c r="C8" s="63" t="str" cm="1">
        <f t="array" ref="C8">_xlfn.IFS(vallur1[[#This Row],[OCTOBER]]="M","M",vallur1[[#This Row],[OCTOBER]]="A","A",vallur1[[#This Row],[OCTOBER]]="","",vallur1[[#This Row],[OCTOBER]]&gt;100,"P")</f>
        <v/>
      </c>
      <c r="E8" s="44" t="s">
        <v>42</v>
      </c>
      <c r="F8" s="44" t="s">
        <v>43</v>
      </c>
      <c r="S8" s="20"/>
      <c r="T8" s="52"/>
    </row>
    <row r="9" spans="1:20" x14ac:dyDescent="0.25">
      <c r="A9">
        <v>8</v>
      </c>
      <c r="B9" t="s">
        <v>44</v>
      </c>
      <c r="C9" s="63" t="str" cm="1">
        <f t="array" ref="C9">_xlfn.IFS(vallur1[[#This Row],[OCTOBER]]="M","M",vallur1[[#This Row],[OCTOBER]]="A","A",vallur1[[#This Row],[OCTOBER]]="","",vallur1[[#This Row],[OCTOBER]]&gt;100,"P")</f>
        <v/>
      </c>
      <c r="D9" t="s">
        <v>45</v>
      </c>
      <c r="E9" s="44" t="s">
        <v>46</v>
      </c>
      <c r="F9" s="44" t="s">
        <v>47</v>
      </c>
      <c r="N9" s="52">
        <v>300</v>
      </c>
      <c r="O9" s="52">
        <v>220</v>
      </c>
      <c r="S9" s="20"/>
      <c r="T9" s="52"/>
    </row>
    <row r="10" spans="1:20" x14ac:dyDescent="0.25">
      <c r="A10">
        <v>9</v>
      </c>
      <c r="B10" t="s">
        <v>48</v>
      </c>
      <c r="C10" s="63" t="str" cm="1">
        <f t="array" ref="C10">_xlfn.IFS(vallur1[[#This Row],[OCTOBER]]="M","M",vallur1[[#This Row],[OCTOBER]]="A","A",vallur1[[#This Row],[OCTOBER]]="","",vallur1[[#This Row],[OCTOBER]]&gt;100,"P")</f>
        <v/>
      </c>
      <c r="D10" t="s">
        <v>25</v>
      </c>
      <c r="E10" s="44" t="s">
        <v>49</v>
      </c>
      <c r="F10" s="44" t="s">
        <v>50</v>
      </c>
      <c r="N10" s="52">
        <v>200</v>
      </c>
      <c r="O10" s="52">
        <v>240</v>
      </c>
      <c r="S10" s="20"/>
      <c r="T10" s="52"/>
    </row>
    <row r="11" spans="1:20" x14ac:dyDescent="0.25">
      <c r="A11">
        <v>10</v>
      </c>
      <c r="B11" t="s">
        <v>51</v>
      </c>
      <c r="C11" s="63" t="str" cm="1">
        <f t="array" ref="C11">_xlfn.IFS(vallur1[[#This Row],[OCTOBER]]="M","M",vallur1[[#This Row],[OCTOBER]]="A","A",vallur1[[#This Row],[OCTOBER]]="","",vallur1[[#This Row],[OCTOBER]]&gt;100,"P")</f>
        <v/>
      </c>
      <c r="D11" t="s">
        <v>25</v>
      </c>
      <c r="E11" s="44" t="s">
        <v>52</v>
      </c>
      <c r="F11" s="44" t="s">
        <v>53</v>
      </c>
      <c r="S11" s="20"/>
      <c r="T11" s="52"/>
    </row>
    <row r="12" spans="1:20" x14ac:dyDescent="0.25">
      <c r="A12">
        <v>11</v>
      </c>
      <c r="B12" t="s">
        <v>54</v>
      </c>
      <c r="C12" s="63" t="str" cm="1">
        <f t="array" ref="C12">_xlfn.IFS(vallur1[[#This Row],[OCTOBER]]="M","M",vallur1[[#This Row],[OCTOBER]]="A","A",vallur1[[#This Row],[OCTOBER]]="","",vallur1[[#This Row],[OCTOBER]]&gt;100,"P")</f>
        <v/>
      </c>
      <c r="D12" t="s">
        <v>25</v>
      </c>
      <c r="E12" s="44" t="s">
        <v>55</v>
      </c>
      <c r="F12" s="44" t="s">
        <v>56</v>
      </c>
      <c r="N12" s="52">
        <v>400</v>
      </c>
      <c r="O12" s="52">
        <v>220</v>
      </c>
      <c r="S12" s="20"/>
      <c r="T12" s="52"/>
    </row>
    <row r="13" spans="1:20" x14ac:dyDescent="0.25">
      <c r="A13">
        <v>12</v>
      </c>
      <c r="B13" t="s">
        <v>57</v>
      </c>
      <c r="C13" s="63" t="str" cm="1">
        <f t="array" ref="C13">_xlfn.IFS(vallur1[[#This Row],[OCTOBER]]="M","M",vallur1[[#This Row],[OCTOBER]]="A","A",vallur1[[#This Row],[OCTOBER]]="","",vallur1[[#This Row],[OCTOBER]]&gt;100,"P")</f>
        <v/>
      </c>
      <c r="D13" t="s">
        <v>21</v>
      </c>
      <c r="E13" s="44" t="s">
        <v>58</v>
      </c>
      <c r="F13" s="44" t="s">
        <v>59</v>
      </c>
      <c r="O13" s="52">
        <v>220</v>
      </c>
      <c r="S13" s="20"/>
      <c r="T13" s="52"/>
    </row>
    <row r="14" spans="1:20" x14ac:dyDescent="0.25">
      <c r="A14">
        <v>13</v>
      </c>
      <c r="B14" t="s">
        <v>60</v>
      </c>
      <c r="C14" s="63" t="str" cm="1">
        <f t="array" ref="C14">_xlfn.IFS(vallur1[[#This Row],[OCTOBER]]="M","M",vallur1[[#This Row],[OCTOBER]]="A","A",vallur1[[#This Row],[OCTOBER]]="","",vallur1[[#This Row],[OCTOBER]]&gt;100,"P")</f>
        <v/>
      </c>
      <c r="E14" s="44" t="s">
        <v>61</v>
      </c>
      <c r="F14" s="44" t="s">
        <v>62</v>
      </c>
      <c r="N14" s="52">
        <v>400</v>
      </c>
      <c r="S14" s="20"/>
      <c r="T14" s="52"/>
    </row>
    <row r="15" spans="1:20" x14ac:dyDescent="0.25">
      <c r="A15">
        <v>14</v>
      </c>
      <c r="B15" t="s">
        <v>63</v>
      </c>
      <c r="C15" s="63" t="str" cm="1">
        <f t="array" ref="C15">_xlfn.IFS(vallur1[[#This Row],[OCTOBER]]="M","M",vallur1[[#This Row],[OCTOBER]]="A","A",vallur1[[#This Row],[OCTOBER]]="","",vallur1[[#This Row],[OCTOBER]]&gt;100,"P")</f>
        <v/>
      </c>
      <c r="D15" t="s">
        <v>35</v>
      </c>
      <c r="E15" s="44" t="s">
        <v>64</v>
      </c>
      <c r="F15" s="44" t="s">
        <v>65</v>
      </c>
      <c r="N15" s="52">
        <v>200</v>
      </c>
      <c r="S15" s="20"/>
      <c r="T15" s="52"/>
    </row>
    <row r="16" spans="1:20" x14ac:dyDescent="0.25">
      <c r="A16">
        <v>15</v>
      </c>
      <c r="B16" t="s">
        <v>66</v>
      </c>
      <c r="C16" s="63" t="str" cm="1">
        <f t="array" ref="C16">_xlfn.IFS(vallur1[[#This Row],[OCTOBER]]="M","M",vallur1[[#This Row],[OCTOBER]]="A","A",vallur1[[#This Row],[OCTOBER]]="","",vallur1[[#This Row],[OCTOBER]]&gt;100,"P")</f>
        <v/>
      </c>
      <c r="D16" t="s">
        <v>21</v>
      </c>
      <c r="E16" s="44" t="s">
        <v>67</v>
      </c>
      <c r="F16" s="44" t="s">
        <v>68</v>
      </c>
      <c r="N16" s="52">
        <v>200</v>
      </c>
      <c r="O16" s="52">
        <v>200</v>
      </c>
      <c r="S16" s="20"/>
      <c r="T16" s="52"/>
    </row>
    <row r="17" spans="1:20" x14ac:dyDescent="0.25">
      <c r="A17">
        <v>16</v>
      </c>
      <c r="B17" t="s">
        <v>54</v>
      </c>
      <c r="C17" s="63" t="str" cm="1">
        <f t="array" ref="C17">_xlfn.IFS(vallur1[[#This Row],[OCTOBER]]="M","M",vallur1[[#This Row],[OCTOBER]]="A","A",vallur1[[#This Row],[OCTOBER]]="","",vallur1[[#This Row],[OCTOBER]]&gt;100,"P")</f>
        <v/>
      </c>
      <c r="D17" t="s">
        <v>21</v>
      </c>
      <c r="E17" s="44" t="s">
        <v>69</v>
      </c>
      <c r="F17" s="44" t="s">
        <v>70</v>
      </c>
      <c r="S17" s="20"/>
      <c r="T17" s="52"/>
    </row>
    <row r="18" spans="1:20" x14ac:dyDescent="0.25">
      <c r="A18">
        <v>17</v>
      </c>
      <c r="B18" t="s">
        <v>71</v>
      </c>
      <c r="C18" s="63" t="str" cm="1">
        <f t="array" ref="C18">_xlfn.IFS(vallur1[[#This Row],[OCTOBER]]="M","M",vallur1[[#This Row],[OCTOBER]]="A","A",vallur1[[#This Row],[OCTOBER]]="","",vallur1[[#This Row],[OCTOBER]]&gt;100,"P")</f>
        <v/>
      </c>
      <c r="D18" s="61" t="s">
        <v>35</v>
      </c>
      <c r="E18" s="44" t="s">
        <v>72</v>
      </c>
      <c r="F18" s="44" t="s">
        <v>73</v>
      </c>
      <c r="N18" s="52">
        <v>200</v>
      </c>
      <c r="S18" s="20"/>
      <c r="T18" s="52"/>
    </row>
    <row r="19" spans="1:20" x14ac:dyDescent="0.25">
      <c r="A19">
        <v>18</v>
      </c>
      <c r="B19" t="s">
        <v>74</v>
      </c>
      <c r="C19" s="63" t="str" cm="1">
        <f t="array" ref="C19">_xlfn.IFS(vallur1[[#This Row],[OCTOBER]]="M","M",vallur1[[#This Row],[OCTOBER]]="A","A",vallur1[[#This Row],[OCTOBER]]="","",vallur1[[#This Row],[OCTOBER]]&gt;100,"P")</f>
        <v/>
      </c>
      <c r="E19" s="44" t="s">
        <v>75</v>
      </c>
      <c r="F19" s="44" t="s">
        <v>76</v>
      </c>
      <c r="S19" s="20"/>
      <c r="T19" s="52"/>
    </row>
    <row r="20" spans="1:20" x14ac:dyDescent="0.25">
      <c r="A20">
        <v>19</v>
      </c>
      <c r="B20" t="s">
        <v>77</v>
      </c>
      <c r="C20" s="63" t="str" cm="1">
        <f t="array" ref="C20">_xlfn.IFS(vallur1[[#This Row],[OCTOBER]]="M","M",vallur1[[#This Row],[OCTOBER]]="A","A",vallur1[[#This Row],[OCTOBER]]="","",vallur1[[#This Row],[OCTOBER]]&gt;100,"P")</f>
        <v/>
      </c>
      <c r="D20" t="s">
        <v>78</v>
      </c>
      <c r="E20" s="44" t="s">
        <v>79</v>
      </c>
      <c r="F20" s="44" t="s">
        <v>80</v>
      </c>
      <c r="N20" s="52" t="s">
        <v>81</v>
      </c>
      <c r="O20" s="52">
        <v>200</v>
      </c>
      <c r="S20" s="20"/>
      <c r="T20" s="52"/>
    </row>
    <row r="21" spans="1:20" x14ac:dyDescent="0.25">
      <c r="A21">
        <v>20</v>
      </c>
      <c r="B21" t="s">
        <v>82</v>
      </c>
      <c r="C21" s="63" t="str" cm="1">
        <f t="array" ref="C21">_xlfn.IFS(vallur1[[#This Row],[OCTOBER]]="M","M",vallur1[[#This Row],[OCTOBER]]="A","A",vallur1[[#This Row],[OCTOBER]]="","",vallur1[[#This Row],[OCTOBER]]&gt;100,"P")</f>
        <v/>
      </c>
      <c r="E21" s="44" t="s">
        <v>83</v>
      </c>
      <c r="F21" s="44" t="s">
        <v>84</v>
      </c>
      <c r="S21" s="20"/>
      <c r="T21" s="52"/>
    </row>
    <row r="22" spans="1:20" x14ac:dyDescent="0.25">
      <c r="A22">
        <v>21</v>
      </c>
      <c r="B22" t="s">
        <v>85</v>
      </c>
      <c r="C22" s="63" t="str" cm="1">
        <f t="array" ref="C22">_xlfn.IFS(vallur1[[#This Row],[OCTOBER]]="M","M",vallur1[[#This Row],[OCTOBER]]="A","A",vallur1[[#This Row],[OCTOBER]]="","",vallur1[[#This Row],[OCTOBER]]&gt;100,"P")</f>
        <v/>
      </c>
      <c r="D22" t="s">
        <v>78</v>
      </c>
      <c r="E22" s="44" t="s">
        <v>86</v>
      </c>
      <c r="F22" s="44" t="s">
        <v>87</v>
      </c>
      <c r="N22" s="52">
        <v>200</v>
      </c>
      <c r="O22" s="52">
        <v>200</v>
      </c>
      <c r="S22" s="20"/>
      <c r="T22" s="52"/>
    </row>
    <row r="23" spans="1:20" ht="14.25" customHeight="1" x14ac:dyDescent="0.25">
      <c r="A23">
        <v>22</v>
      </c>
      <c r="B23" t="s">
        <v>88</v>
      </c>
      <c r="C23" s="63" t="str" cm="1">
        <f t="array" ref="C23">_xlfn.IFS(vallur1[[#This Row],[OCTOBER]]="M","M",vallur1[[#This Row],[OCTOBER]]="A","A",vallur1[[#This Row],[OCTOBER]]="","",vallur1[[#This Row],[OCTOBER]]&gt;100,"P")</f>
        <v/>
      </c>
      <c r="D23" t="s">
        <v>35</v>
      </c>
      <c r="E23" s="44" t="s">
        <v>89</v>
      </c>
      <c r="F23" s="44" t="s">
        <v>90</v>
      </c>
      <c r="N23" s="52">
        <v>200</v>
      </c>
      <c r="O23" s="52">
        <v>200</v>
      </c>
      <c r="S23" s="20"/>
      <c r="T23" s="52"/>
    </row>
    <row r="24" spans="1:20" x14ac:dyDescent="0.25">
      <c r="A24">
        <v>23</v>
      </c>
      <c r="B24" t="s">
        <v>91</v>
      </c>
      <c r="C24" s="63" t="str" cm="1">
        <f t="array" ref="C24">_xlfn.IFS(vallur1[[#This Row],[OCTOBER]]="M","M",vallur1[[#This Row],[OCTOBER]]="A","A",vallur1[[#This Row],[OCTOBER]]="","",vallur1[[#This Row],[OCTOBER]]&gt;100,"P")</f>
        <v/>
      </c>
      <c r="D24" t="s">
        <v>35</v>
      </c>
      <c r="E24" s="44" t="s">
        <v>92</v>
      </c>
      <c r="F24" s="44" t="s">
        <v>93</v>
      </c>
      <c r="S24" s="20"/>
      <c r="T24" s="52"/>
    </row>
    <row r="25" spans="1:20" x14ac:dyDescent="0.25">
      <c r="A25">
        <v>24</v>
      </c>
      <c r="B25" t="s">
        <v>94</v>
      </c>
      <c r="C25" s="63" t="str" cm="1">
        <f t="array" ref="C25">_xlfn.IFS(vallur1[[#This Row],[OCTOBER]]="M","M",vallur1[[#This Row],[OCTOBER]]="A","A",vallur1[[#This Row],[OCTOBER]]="","",vallur1[[#This Row],[OCTOBER]]&gt;100,"P")</f>
        <v/>
      </c>
      <c r="D25" t="s">
        <v>78</v>
      </c>
      <c r="E25" s="44" t="s">
        <v>95</v>
      </c>
      <c r="F25" s="44" t="s">
        <v>96</v>
      </c>
      <c r="S25" s="20"/>
      <c r="T25" s="52"/>
    </row>
    <row r="26" spans="1:20" x14ac:dyDescent="0.25">
      <c r="A26">
        <v>25</v>
      </c>
      <c r="B26" t="s">
        <v>97</v>
      </c>
      <c r="C26" s="63" t="str" cm="1">
        <f t="array" ref="C26">_xlfn.IFS(vallur1[[#This Row],[OCTOBER]]="M","M",vallur1[[#This Row],[OCTOBER]]="A","A",vallur1[[#This Row],[OCTOBER]]="","",vallur1[[#This Row],[OCTOBER]]&gt;100,"P")</f>
        <v/>
      </c>
      <c r="D26" t="s">
        <v>25</v>
      </c>
      <c r="E26" s="44" t="s">
        <v>98</v>
      </c>
      <c r="F26" s="44" t="s">
        <v>99</v>
      </c>
      <c r="N26" s="52">
        <v>200</v>
      </c>
      <c r="O26" s="52">
        <v>200</v>
      </c>
      <c r="S26" s="20"/>
      <c r="T26" s="52"/>
    </row>
    <row r="27" spans="1:20" x14ac:dyDescent="0.25">
      <c r="A27">
        <v>26</v>
      </c>
      <c r="B27" t="s">
        <v>100</v>
      </c>
      <c r="C27" s="63" t="str" cm="1">
        <f t="array" ref="C27">_xlfn.IFS(vallur1[[#This Row],[OCTOBER]]="M","M",vallur1[[#This Row],[OCTOBER]]="A","A",vallur1[[#This Row],[OCTOBER]]="","",vallur1[[#This Row],[OCTOBER]]&gt;100,"P")</f>
        <v/>
      </c>
      <c r="D27" t="s">
        <v>35</v>
      </c>
      <c r="E27" s="44" t="s">
        <v>101</v>
      </c>
      <c r="F27" s="44" t="s">
        <v>102</v>
      </c>
      <c r="N27" s="52">
        <v>200</v>
      </c>
      <c r="O27" s="52">
        <v>200</v>
      </c>
      <c r="S27" s="20"/>
      <c r="T27" s="52"/>
    </row>
    <row r="28" spans="1:20" x14ac:dyDescent="0.25">
      <c r="A28">
        <v>27</v>
      </c>
      <c r="B28" t="s">
        <v>103</v>
      </c>
      <c r="C28" s="63" t="str" cm="1">
        <f t="array" ref="C28">_xlfn.IFS(vallur1[[#This Row],[OCTOBER]]="M","M",vallur1[[#This Row],[OCTOBER]]="A","A",vallur1[[#This Row],[OCTOBER]]="","",vallur1[[#This Row],[OCTOBER]]&gt;100,"P")</f>
        <v/>
      </c>
      <c r="D28" t="s">
        <v>25</v>
      </c>
      <c r="E28" s="44" t="s">
        <v>104</v>
      </c>
      <c r="F28" s="44" t="s">
        <v>105</v>
      </c>
      <c r="N28" s="52" t="s">
        <v>81</v>
      </c>
      <c r="O28" s="52">
        <v>500</v>
      </c>
      <c r="S28" s="20"/>
      <c r="T28" s="52"/>
    </row>
    <row r="29" spans="1:20" x14ac:dyDescent="0.25">
      <c r="A29">
        <v>28</v>
      </c>
      <c r="B29" t="s">
        <v>106</v>
      </c>
      <c r="C29" s="63" t="str" cm="1">
        <f t="array" ref="C29">_xlfn.IFS(vallur1[[#This Row],[OCTOBER]]="M","M",vallur1[[#This Row],[OCTOBER]]="A","A",vallur1[[#This Row],[OCTOBER]]="","",vallur1[[#This Row],[OCTOBER]]&gt;100,"P")</f>
        <v/>
      </c>
      <c r="D29" t="s">
        <v>78</v>
      </c>
      <c r="E29" s="44" t="s">
        <v>107</v>
      </c>
      <c r="F29" s="44" t="s">
        <v>108</v>
      </c>
      <c r="N29" s="52" t="s">
        <v>81</v>
      </c>
      <c r="O29" s="52">
        <v>200</v>
      </c>
      <c r="S29" s="20"/>
      <c r="T29" s="52"/>
    </row>
    <row r="30" spans="1:20" x14ac:dyDescent="0.25">
      <c r="A30">
        <v>29</v>
      </c>
      <c r="B30" t="s">
        <v>109</v>
      </c>
      <c r="C30" s="63" t="str" cm="1">
        <f t="array" ref="C30">_xlfn.IFS(vallur1[[#This Row],[OCTOBER]]="M","M",vallur1[[#This Row],[OCTOBER]]="A","A",vallur1[[#This Row],[OCTOBER]]="","",vallur1[[#This Row],[OCTOBER]]&gt;100,"P")</f>
        <v/>
      </c>
      <c r="D30" t="s">
        <v>35</v>
      </c>
      <c r="E30" s="44" t="s">
        <v>110</v>
      </c>
      <c r="F30" s="44" t="s">
        <v>111</v>
      </c>
      <c r="N30" s="52">
        <v>200</v>
      </c>
      <c r="O30" s="52">
        <v>200</v>
      </c>
      <c r="S30" s="20"/>
      <c r="T30" s="52"/>
    </row>
    <row r="31" spans="1:20" x14ac:dyDescent="0.25">
      <c r="A31">
        <v>30</v>
      </c>
      <c r="B31" t="s">
        <v>57</v>
      </c>
      <c r="C31" s="63" t="str" cm="1">
        <f t="array" ref="C31">_xlfn.IFS(vallur1[[#This Row],[OCTOBER]]="M","M",vallur1[[#This Row],[OCTOBER]]="A","A",vallur1[[#This Row],[OCTOBER]]="","",vallur1[[#This Row],[OCTOBER]]&gt;100,"P")</f>
        <v/>
      </c>
      <c r="D31" t="s">
        <v>35</v>
      </c>
      <c r="E31" s="44" t="s">
        <v>112</v>
      </c>
      <c r="F31" s="44" t="s">
        <v>113</v>
      </c>
      <c r="S31" s="20"/>
      <c r="T31" s="52"/>
    </row>
    <row r="32" spans="1:20" x14ac:dyDescent="0.25">
      <c r="A32">
        <v>31</v>
      </c>
      <c r="B32" t="s">
        <v>114</v>
      </c>
      <c r="C32" s="63" t="str" cm="1">
        <f t="array" ref="C32">_xlfn.IFS(vallur1[[#This Row],[OCTOBER]]="M","M",vallur1[[#This Row],[OCTOBER]]="A","A",vallur1[[#This Row],[OCTOBER]]="","",vallur1[[#This Row],[OCTOBER]]&gt;100,"P")</f>
        <v/>
      </c>
      <c r="D32" t="s">
        <v>25</v>
      </c>
      <c r="E32" s="44" t="s">
        <v>115</v>
      </c>
      <c r="F32" s="44" t="s">
        <v>116</v>
      </c>
      <c r="N32" s="52" t="s">
        <v>81</v>
      </c>
      <c r="O32" s="52">
        <v>440</v>
      </c>
      <c r="S32" s="20"/>
      <c r="T32" s="52"/>
    </row>
    <row r="33" spans="1:20" x14ac:dyDescent="0.25">
      <c r="A33">
        <v>32</v>
      </c>
      <c r="B33" t="s">
        <v>117</v>
      </c>
      <c r="C33" s="63" t="str" cm="1">
        <f t="array" ref="C33">_xlfn.IFS(vallur1[[#This Row],[OCTOBER]]="M","M",vallur1[[#This Row],[OCTOBER]]="A","A",vallur1[[#This Row],[OCTOBER]]="","",vallur1[[#This Row],[OCTOBER]]&gt;100,"P")</f>
        <v/>
      </c>
      <c r="D33" t="s">
        <v>78</v>
      </c>
      <c r="E33" s="44" t="s">
        <v>118</v>
      </c>
      <c r="F33" s="44" t="s">
        <v>119</v>
      </c>
      <c r="O33" s="52">
        <v>200</v>
      </c>
      <c r="S33" s="20"/>
      <c r="T33" s="52"/>
    </row>
    <row r="34" spans="1:20" x14ac:dyDescent="0.25">
      <c r="A34">
        <v>33</v>
      </c>
      <c r="B34" t="s">
        <v>120</v>
      </c>
      <c r="C34" s="63" t="str" cm="1">
        <f t="array" ref="C34">_xlfn.IFS(vallur1[[#This Row],[OCTOBER]]="M","M",vallur1[[#This Row],[OCTOBER]]="A","A",vallur1[[#This Row],[OCTOBER]]="","",vallur1[[#This Row],[OCTOBER]]&gt;100,"P")</f>
        <v/>
      </c>
      <c r="E34" s="44" t="s">
        <v>121</v>
      </c>
      <c r="F34" s="44" t="s">
        <v>122</v>
      </c>
      <c r="S34" s="20"/>
      <c r="T34" s="52"/>
    </row>
    <row r="35" spans="1:20" x14ac:dyDescent="0.25">
      <c r="A35">
        <v>34</v>
      </c>
      <c r="B35" t="s">
        <v>123</v>
      </c>
      <c r="C35" s="63" t="str" cm="1">
        <f t="array" ref="C35">_xlfn.IFS(vallur1[[#This Row],[OCTOBER]]="M","M",vallur1[[#This Row],[OCTOBER]]="A","A",vallur1[[#This Row],[OCTOBER]]="","",vallur1[[#This Row],[OCTOBER]]&gt;100,"P")</f>
        <v/>
      </c>
      <c r="E35" s="44" t="s">
        <v>121</v>
      </c>
      <c r="F35" s="44" t="s">
        <v>122</v>
      </c>
      <c r="S35" s="20"/>
      <c r="T35" s="52"/>
    </row>
    <row r="36" spans="1:20" x14ac:dyDescent="0.25">
      <c r="A36">
        <v>35</v>
      </c>
      <c r="B36" t="s">
        <v>123</v>
      </c>
      <c r="C36" s="63" t="str" cm="1">
        <f t="array" ref="C36">_xlfn.IFS(vallur1[[#This Row],[OCTOBER]]="M","M",vallur1[[#This Row],[OCTOBER]]="A","A",vallur1[[#This Row],[OCTOBER]]="","",vallur1[[#This Row],[OCTOBER]]&gt;100,"P")</f>
        <v/>
      </c>
      <c r="D36" t="s">
        <v>21</v>
      </c>
      <c r="E36" s="44" t="s">
        <v>124</v>
      </c>
      <c r="F36" s="44" t="s">
        <v>1884</v>
      </c>
      <c r="S36" s="20"/>
      <c r="T36" s="52"/>
    </row>
    <row r="37" spans="1:20" x14ac:dyDescent="0.25">
      <c r="A37">
        <v>36</v>
      </c>
      <c r="B37" t="s">
        <v>125</v>
      </c>
      <c r="C37" s="63" t="str" cm="1">
        <f t="array" ref="C37">_xlfn.IFS(vallur1[[#This Row],[OCTOBER]]="M","M",vallur1[[#This Row],[OCTOBER]]="A","A",vallur1[[#This Row],[OCTOBER]]="","",vallur1[[#This Row],[OCTOBER]]&gt;100,"P")</f>
        <v/>
      </c>
      <c r="D37" t="s">
        <v>25</v>
      </c>
      <c r="E37" s="44" t="s">
        <v>126</v>
      </c>
      <c r="F37" s="44" t="s">
        <v>127</v>
      </c>
      <c r="S37" s="20"/>
      <c r="T37" s="52"/>
    </row>
    <row r="38" spans="1:20" x14ac:dyDescent="0.25">
      <c r="A38">
        <v>37</v>
      </c>
      <c r="B38" t="s">
        <v>128</v>
      </c>
      <c r="C38" s="63" t="str" cm="1">
        <f t="array" ref="C38">_xlfn.IFS(vallur1[[#This Row],[OCTOBER]]="M","M",vallur1[[#This Row],[OCTOBER]]="A","A",vallur1[[#This Row],[OCTOBER]]="","",vallur1[[#This Row],[OCTOBER]]&gt;100,"P")</f>
        <v/>
      </c>
      <c r="D38" t="s">
        <v>25</v>
      </c>
      <c r="E38" s="44" t="s">
        <v>129</v>
      </c>
      <c r="F38" s="44" t="s">
        <v>130</v>
      </c>
      <c r="O38" s="52">
        <v>200</v>
      </c>
      <c r="S38" s="20"/>
      <c r="T38" s="52"/>
    </row>
    <row r="39" spans="1:20" x14ac:dyDescent="0.25">
      <c r="A39">
        <v>38</v>
      </c>
      <c r="B39" t="s">
        <v>131</v>
      </c>
      <c r="C39" s="63" t="str" cm="1">
        <f t="array" ref="C39">_xlfn.IFS(vallur1[[#This Row],[OCTOBER]]="M","M",vallur1[[#This Row],[OCTOBER]]="A","A",vallur1[[#This Row],[OCTOBER]]="","",vallur1[[#This Row],[OCTOBER]]&gt;100,"P")</f>
        <v/>
      </c>
      <c r="E39" s="44" t="s">
        <v>132</v>
      </c>
      <c r="F39" s="44" t="s">
        <v>133</v>
      </c>
      <c r="S39" s="20"/>
      <c r="T39" s="52"/>
    </row>
    <row r="40" spans="1:20" x14ac:dyDescent="0.25">
      <c r="A40">
        <v>39</v>
      </c>
      <c r="B40" t="s">
        <v>134</v>
      </c>
      <c r="C40" s="63" t="str" cm="1">
        <f t="array" ref="C40">_xlfn.IFS(vallur1[[#This Row],[OCTOBER]]="M","M",vallur1[[#This Row],[OCTOBER]]="A","A",vallur1[[#This Row],[OCTOBER]]="","",vallur1[[#This Row],[OCTOBER]]&gt;100,"P")</f>
        <v/>
      </c>
      <c r="D40" t="s">
        <v>25</v>
      </c>
      <c r="E40" s="44" t="s">
        <v>135</v>
      </c>
      <c r="F40" s="44" t="s">
        <v>136</v>
      </c>
      <c r="N40" s="52" t="s">
        <v>137</v>
      </c>
      <c r="O40" s="52">
        <v>400</v>
      </c>
      <c r="S40" s="20"/>
      <c r="T40" s="52">
        <v>1000</v>
      </c>
    </row>
    <row r="41" spans="1:20" x14ac:dyDescent="0.25">
      <c r="A41">
        <v>40</v>
      </c>
      <c r="B41" t="s">
        <v>138</v>
      </c>
      <c r="C41" s="63" t="str" cm="1">
        <f t="array" ref="C41">_xlfn.IFS(vallur1[[#This Row],[OCTOBER]]="M","M",vallur1[[#This Row],[OCTOBER]]="A","A",vallur1[[#This Row],[OCTOBER]]="","",vallur1[[#This Row],[OCTOBER]]&gt;100,"P")</f>
        <v/>
      </c>
      <c r="D41" t="s">
        <v>78</v>
      </c>
      <c r="E41" s="44" t="s">
        <v>139</v>
      </c>
      <c r="F41" s="44" t="s">
        <v>140</v>
      </c>
      <c r="N41" s="52">
        <v>300</v>
      </c>
      <c r="S41" s="20"/>
      <c r="T41" s="52"/>
    </row>
    <row r="42" spans="1:20" x14ac:dyDescent="0.25">
      <c r="A42">
        <v>41</v>
      </c>
      <c r="B42" t="s">
        <v>138</v>
      </c>
      <c r="C42" s="63" t="str" cm="1">
        <f t="array" ref="C42">_xlfn.IFS(vallur1[[#This Row],[OCTOBER]]="M","M",vallur1[[#This Row],[OCTOBER]]="A","A",vallur1[[#This Row],[OCTOBER]]="","",vallur1[[#This Row],[OCTOBER]]&gt;100,"P")</f>
        <v/>
      </c>
      <c r="D42" t="s">
        <v>141</v>
      </c>
      <c r="E42" s="44" t="s">
        <v>142</v>
      </c>
      <c r="F42" s="44" t="s">
        <v>143</v>
      </c>
      <c r="O42" s="52">
        <v>300</v>
      </c>
      <c r="S42" s="20"/>
      <c r="T42" s="52"/>
    </row>
    <row r="43" spans="1:20" x14ac:dyDescent="0.25">
      <c r="A43">
        <v>42</v>
      </c>
      <c r="B43" t="s">
        <v>144</v>
      </c>
      <c r="C43" s="63" t="str" cm="1">
        <f t="array" ref="C43">_xlfn.IFS(vallur1[[#This Row],[OCTOBER]]="M","M",vallur1[[#This Row],[OCTOBER]]="A","A",vallur1[[#This Row],[OCTOBER]]="","",vallur1[[#This Row],[OCTOBER]]&gt;100,"P")</f>
        <v/>
      </c>
      <c r="E43" s="44" t="s">
        <v>145</v>
      </c>
      <c r="F43" s="44" t="s">
        <v>146</v>
      </c>
      <c r="S43" s="20"/>
      <c r="T43" s="52"/>
    </row>
    <row r="44" spans="1:20" ht="14.25" customHeight="1" x14ac:dyDescent="0.25">
      <c r="A44">
        <v>43</v>
      </c>
      <c r="B44" t="s">
        <v>147</v>
      </c>
      <c r="C44" s="63" t="str" cm="1">
        <f t="array" ref="C44">_xlfn.IFS(vallur1[[#This Row],[OCTOBER]]="M","M",vallur1[[#This Row],[OCTOBER]]="A","A",vallur1[[#This Row],[OCTOBER]]="","",vallur1[[#This Row],[OCTOBER]]&gt;100,"P")</f>
        <v/>
      </c>
      <c r="D44" t="s">
        <v>78</v>
      </c>
      <c r="E44" s="44" t="s">
        <v>148</v>
      </c>
      <c r="F44" s="44" t="s">
        <v>149</v>
      </c>
      <c r="N44" s="52" t="s">
        <v>81</v>
      </c>
      <c r="O44" s="52">
        <v>200</v>
      </c>
      <c r="S44" s="20"/>
      <c r="T44" s="52"/>
    </row>
    <row r="45" spans="1:20" x14ac:dyDescent="0.25">
      <c r="A45">
        <v>44</v>
      </c>
      <c r="B45" t="s">
        <v>150</v>
      </c>
      <c r="C45" s="63" t="str" cm="1">
        <f t="array" ref="C45">_xlfn.IFS(vallur1[[#This Row],[OCTOBER]]="M","M",vallur1[[#This Row],[OCTOBER]]="A","A",vallur1[[#This Row],[OCTOBER]]="","",vallur1[[#This Row],[OCTOBER]]&gt;100,"P")</f>
        <v/>
      </c>
      <c r="D45" t="s">
        <v>35</v>
      </c>
      <c r="E45" s="44" t="s">
        <v>151</v>
      </c>
      <c r="F45" s="44" t="s">
        <v>152</v>
      </c>
      <c r="N45" s="52">
        <v>200</v>
      </c>
      <c r="O45" s="52">
        <v>200</v>
      </c>
      <c r="S45" s="20"/>
      <c r="T45" s="52"/>
    </row>
    <row r="46" spans="1:20" x14ac:dyDescent="0.25">
      <c r="A46">
        <v>45</v>
      </c>
      <c r="B46" t="s">
        <v>153</v>
      </c>
      <c r="C46" s="63" t="str" cm="1">
        <f t="array" ref="C46">_xlfn.IFS(vallur1[[#This Row],[OCTOBER]]="M","M",vallur1[[#This Row],[OCTOBER]]="A","A",vallur1[[#This Row],[OCTOBER]]="","",vallur1[[#This Row],[OCTOBER]]&gt;100,"P")</f>
        <v/>
      </c>
      <c r="E46" s="44" t="s">
        <v>154</v>
      </c>
      <c r="F46" s="44" t="s">
        <v>155</v>
      </c>
      <c r="S46" s="20"/>
      <c r="T46" s="52"/>
    </row>
    <row r="47" spans="1:20" x14ac:dyDescent="0.25">
      <c r="A47">
        <v>46</v>
      </c>
      <c r="B47" t="s">
        <v>156</v>
      </c>
      <c r="C47" s="63" t="str" cm="1">
        <f t="array" ref="C47">_xlfn.IFS(vallur1[[#This Row],[OCTOBER]]="M","M",vallur1[[#This Row],[OCTOBER]]="A","A",vallur1[[#This Row],[OCTOBER]]="","",vallur1[[#This Row],[OCTOBER]]&gt;100,"P")</f>
        <v/>
      </c>
      <c r="E47" s="44" t="s">
        <v>157</v>
      </c>
      <c r="F47" s="44" t="s">
        <v>158</v>
      </c>
      <c r="N47" s="52">
        <v>200</v>
      </c>
      <c r="S47" s="20"/>
      <c r="T47" s="52"/>
    </row>
    <row r="48" spans="1:20" x14ac:dyDescent="0.25">
      <c r="A48">
        <v>47</v>
      </c>
      <c r="B48" t="s">
        <v>159</v>
      </c>
      <c r="C48" s="63" t="str" cm="1">
        <f t="array" ref="C48">_xlfn.IFS(vallur1[[#This Row],[OCTOBER]]="M","M",vallur1[[#This Row],[OCTOBER]]="A","A",vallur1[[#This Row],[OCTOBER]]="","",vallur1[[#This Row],[OCTOBER]]&gt;100,"P")</f>
        <v/>
      </c>
      <c r="E48" s="44" t="s">
        <v>160</v>
      </c>
      <c r="F48" s="44" t="s">
        <v>161</v>
      </c>
      <c r="S48" s="20"/>
      <c r="T48" s="52"/>
    </row>
    <row r="49" spans="1:20" x14ac:dyDescent="0.25">
      <c r="A49">
        <v>48</v>
      </c>
      <c r="B49" t="s">
        <v>103</v>
      </c>
      <c r="C49" s="63" t="str" cm="1">
        <f t="array" ref="C49">_xlfn.IFS(vallur1[[#This Row],[OCTOBER]]="M","M",vallur1[[#This Row],[OCTOBER]]="A","A",vallur1[[#This Row],[OCTOBER]]="","",vallur1[[#This Row],[OCTOBER]]&gt;100,"P")</f>
        <v/>
      </c>
      <c r="D49" t="s">
        <v>78</v>
      </c>
      <c r="E49" s="44" t="s">
        <v>162</v>
      </c>
      <c r="F49" s="44" t="s">
        <v>163</v>
      </c>
      <c r="N49" s="52">
        <v>200</v>
      </c>
      <c r="O49" s="52">
        <v>200</v>
      </c>
      <c r="S49" s="20"/>
      <c r="T49" s="52"/>
    </row>
    <row r="50" spans="1:20" x14ac:dyDescent="0.25">
      <c r="A50">
        <v>49</v>
      </c>
      <c r="B50" t="s">
        <v>164</v>
      </c>
      <c r="C50" s="63" t="str" cm="1">
        <f t="array" ref="C50">_xlfn.IFS(vallur1[[#This Row],[OCTOBER]]="M","M",vallur1[[#This Row],[OCTOBER]]="A","A",vallur1[[#This Row],[OCTOBER]]="","",vallur1[[#This Row],[OCTOBER]]&gt;100,"P")</f>
        <v/>
      </c>
      <c r="D50" t="s">
        <v>78</v>
      </c>
      <c r="E50" s="44" t="s">
        <v>165</v>
      </c>
      <c r="F50" s="44" t="s">
        <v>166</v>
      </c>
      <c r="N50" s="52">
        <v>200</v>
      </c>
      <c r="S50" s="20"/>
      <c r="T50" s="52"/>
    </row>
    <row r="51" spans="1:20" x14ac:dyDescent="0.25">
      <c r="A51">
        <v>50</v>
      </c>
      <c r="B51" t="s">
        <v>167</v>
      </c>
      <c r="C51" s="63" t="str" cm="1">
        <f t="array" ref="C51">_xlfn.IFS(vallur1[[#This Row],[OCTOBER]]="M","M",vallur1[[#This Row],[OCTOBER]]="A","A",vallur1[[#This Row],[OCTOBER]]="","",vallur1[[#This Row],[OCTOBER]]&gt;100,"P")</f>
        <v/>
      </c>
      <c r="D51" t="s">
        <v>78</v>
      </c>
      <c r="E51" s="44" t="s">
        <v>168</v>
      </c>
      <c r="F51" s="44" t="s">
        <v>169</v>
      </c>
      <c r="O51" s="52">
        <v>200</v>
      </c>
      <c r="S51" s="20"/>
      <c r="T51" s="52"/>
    </row>
    <row r="52" spans="1:20" x14ac:dyDescent="0.25">
      <c r="A52">
        <v>51</v>
      </c>
      <c r="B52" t="s">
        <v>170</v>
      </c>
      <c r="C52" s="63" t="str" cm="1">
        <f t="array" ref="C52">_xlfn.IFS(vallur1[[#This Row],[OCTOBER]]="M","M",vallur1[[#This Row],[OCTOBER]]="A","A",vallur1[[#This Row],[OCTOBER]]="","",vallur1[[#This Row],[OCTOBER]]&gt;100,"P")</f>
        <v/>
      </c>
      <c r="D52" t="s">
        <v>35</v>
      </c>
      <c r="E52" s="44" t="s">
        <v>171</v>
      </c>
      <c r="F52" s="44" t="s">
        <v>172</v>
      </c>
      <c r="O52" s="52">
        <v>200</v>
      </c>
      <c r="S52" s="20"/>
      <c r="T52" s="52"/>
    </row>
    <row r="53" spans="1:20" x14ac:dyDescent="0.25">
      <c r="A53">
        <v>52</v>
      </c>
      <c r="B53" t="s">
        <v>173</v>
      </c>
      <c r="C53" s="63" t="str" cm="1">
        <f t="array" ref="C53">_xlfn.IFS(vallur1[[#This Row],[OCTOBER]]="M","M",vallur1[[#This Row],[OCTOBER]]="A","A",vallur1[[#This Row],[OCTOBER]]="","",vallur1[[#This Row],[OCTOBER]]&gt;100,"P")</f>
        <v/>
      </c>
      <c r="D53" t="s">
        <v>25</v>
      </c>
      <c r="E53" s="44" t="s">
        <v>174</v>
      </c>
      <c r="F53" s="44" t="s">
        <v>175</v>
      </c>
      <c r="S53" s="20"/>
      <c r="T53" s="52"/>
    </row>
    <row r="54" spans="1:20" x14ac:dyDescent="0.25">
      <c r="A54">
        <v>53</v>
      </c>
      <c r="B54" t="s">
        <v>176</v>
      </c>
      <c r="C54" s="63" t="str" cm="1">
        <f t="array" ref="C54">_xlfn.IFS(vallur1[[#This Row],[OCTOBER]]="M","M",vallur1[[#This Row],[OCTOBER]]="A","A",vallur1[[#This Row],[OCTOBER]]="","",vallur1[[#This Row],[OCTOBER]]&gt;100,"P")</f>
        <v/>
      </c>
      <c r="D54" t="s">
        <v>21</v>
      </c>
      <c r="E54" s="44" t="s">
        <v>177</v>
      </c>
      <c r="F54" s="44" t="s">
        <v>178</v>
      </c>
      <c r="N54" s="52">
        <v>220</v>
      </c>
      <c r="S54" s="20"/>
      <c r="T54" s="52"/>
    </row>
    <row r="55" spans="1:20" x14ac:dyDescent="0.25">
      <c r="A55">
        <v>54</v>
      </c>
      <c r="B55" t="s">
        <v>179</v>
      </c>
      <c r="C55" s="63" t="str" cm="1">
        <f t="array" ref="C55">_xlfn.IFS(vallur1[[#This Row],[OCTOBER]]="M","M",vallur1[[#This Row],[OCTOBER]]="A","A",vallur1[[#This Row],[OCTOBER]]="","",vallur1[[#This Row],[OCTOBER]]&gt;100,"P")</f>
        <v/>
      </c>
      <c r="D55" t="s">
        <v>35</v>
      </c>
      <c r="E55" s="44" t="s">
        <v>180</v>
      </c>
      <c r="F55" s="44" t="s">
        <v>181</v>
      </c>
      <c r="N55" s="52">
        <v>200</v>
      </c>
      <c r="O55" s="52">
        <v>200</v>
      </c>
      <c r="S55" s="20"/>
      <c r="T55" s="52"/>
    </row>
    <row r="56" spans="1:20" x14ac:dyDescent="0.25">
      <c r="A56">
        <v>55</v>
      </c>
      <c r="B56" t="s">
        <v>182</v>
      </c>
      <c r="C56" s="63" t="str" cm="1">
        <f t="array" ref="C56">_xlfn.IFS(vallur1[[#This Row],[OCTOBER]]="M","M",vallur1[[#This Row],[OCTOBER]]="A","A",vallur1[[#This Row],[OCTOBER]]="","",vallur1[[#This Row],[OCTOBER]]&gt;100,"P")</f>
        <v/>
      </c>
      <c r="E56" s="44" t="s">
        <v>183</v>
      </c>
      <c r="F56" s="44" t="s">
        <v>184</v>
      </c>
      <c r="N56" s="52">
        <v>200</v>
      </c>
      <c r="O56" s="52">
        <v>200</v>
      </c>
      <c r="S56" s="20"/>
      <c r="T56" s="52"/>
    </row>
    <row r="57" spans="1:20" x14ac:dyDescent="0.25">
      <c r="A57">
        <v>56</v>
      </c>
      <c r="B57" t="s">
        <v>185</v>
      </c>
      <c r="C57" s="63" t="str" cm="1">
        <f t="array" ref="C57">_xlfn.IFS(vallur1[[#This Row],[OCTOBER]]="M","M",vallur1[[#This Row],[OCTOBER]]="A","A",vallur1[[#This Row],[OCTOBER]]="","",vallur1[[#This Row],[OCTOBER]]&gt;100,"P")</f>
        <v/>
      </c>
      <c r="E57" s="44" t="s">
        <v>186</v>
      </c>
      <c r="F57" s="44" t="s">
        <v>187</v>
      </c>
      <c r="S57" s="20"/>
      <c r="T57" s="52"/>
    </row>
    <row r="58" spans="1:20" x14ac:dyDescent="0.25">
      <c r="A58">
        <v>57</v>
      </c>
      <c r="B58" t="s">
        <v>188</v>
      </c>
      <c r="C58" s="63" t="str" cm="1">
        <f t="array" ref="C58">_xlfn.IFS(vallur1[[#This Row],[OCTOBER]]="M","M",vallur1[[#This Row],[OCTOBER]]="A","A",vallur1[[#This Row],[OCTOBER]]="","",vallur1[[#This Row],[OCTOBER]]&gt;100,"P")</f>
        <v/>
      </c>
      <c r="D58" t="s">
        <v>21</v>
      </c>
      <c r="E58" s="44" t="s">
        <v>189</v>
      </c>
      <c r="F58" s="44" t="s">
        <v>190</v>
      </c>
      <c r="N58" s="52" t="s">
        <v>81</v>
      </c>
      <c r="O58" s="52">
        <v>200</v>
      </c>
      <c r="S58" s="20"/>
      <c r="T58" s="52"/>
    </row>
    <row r="59" spans="1:20" x14ac:dyDescent="0.25">
      <c r="A59">
        <v>58</v>
      </c>
      <c r="B59" t="s">
        <v>117</v>
      </c>
      <c r="C59" s="63" t="str" cm="1">
        <f t="array" ref="C59">_xlfn.IFS(vallur1[[#This Row],[OCTOBER]]="M","M",vallur1[[#This Row],[OCTOBER]]="A","A",vallur1[[#This Row],[OCTOBER]]="","",vallur1[[#This Row],[OCTOBER]]&gt;100,"P")</f>
        <v/>
      </c>
      <c r="D59" t="s">
        <v>78</v>
      </c>
      <c r="E59" s="44" t="s">
        <v>191</v>
      </c>
      <c r="F59" s="44" t="s">
        <v>192</v>
      </c>
      <c r="O59" s="52">
        <v>200</v>
      </c>
      <c r="S59" s="20"/>
      <c r="T59" s="52"/>
    </row>
    <row r="60" spans="1:20" x14ac:dyDescent="0.25">
      <c r="A60">
        <v>59</v>
      </c>
      <c r="B60" t="s">
        <v>193</v>
      </c>
      <c r="C60" s="63" t="str" cm="1">
        <f t="array" ref="C60">_xlfn.IFS(vallur1[[#This Row],[OCTOBER]]="M","M",vallur1[[#This Row],[OCTOBER]]="A","A",vallur1[[#This Row],[OCTOBER]]="","",vallur1[[#This Row],[OCTOBER]]&gt;100,"P")</f>
        <v/>
      </c>
      <c r="E60" s="44" t="s">
        <v>194</v>
      </c>
      <c r="F60" s="44" t="s">
        <v>195</v>
      </c>
      <c r="S60" s="20"/>
      <c r="T60" s="52"/>
    </row>
    <row r="61" spans="1:20" x14ac:dyDescent="0.25">
      <c r="A61">
        <v>60</v>
      </c>
      <c r="B61" t="s">
        <v>196</v>
      </c>
      <c r="C61" s="63" t="str" cm="1">
        <f t="array" ref="C61">_xlfn.IFS(vallur1[[#This Row],[OCTOBER]]="M","M",vallur1[[#This Row],[OCTOBER]]="A","A",vallur1[[#This Row],[OCTOBER]]="","",vallur1[[#This Row],[OCTOBER]]&gt;100,"P")</f>
        <v/>
      </c>
      <c r="E61" s="44" t="s">
        <v>197</v>
      </c>
      <c r="F61" s="44" t="s">
        <v>198</v>
      </c>
      <c r="S61" s="20"/>
      <c r="T61" s="52"/>
    </row>
    <row r="62" spans="1:20" x14ac:dyDescent="0.25">
      <c r="A62">
        <v>61</v>
      </c>
      <c r="B62" t="s">
        <v>54</v>
      </c>
      <c r="C62" s="63" t="str" cm="1">
        <f t="array" ref="C62">_xlfn.IFS(vallur1[[#This Row],[OCTOBER]]="M","M",vallur1[[#This Row],[OCTOBER]]="A","A",vallur1[[#This Row],[OCTOBER]]="","",vallur1[[#This Row],[OCTOBER]]&gt;100,"P")</f>
        <v/>
      </c>
      <c r="D62" t="s">
        <v>35</v>
      </c>
      <c r="E62" s="44" t="s">
        <v>199</v>
      </c>
      <c r="F62" s="44" t="s">
        <v>200</v>
      </c>
      <c r="O62" s="52">
        <v>200</v>
      </c>
      <c r="S62" s="20"/>
      <c r="T62" s="52"/>
    </row>
    <row r="63" spans="1:20" x14ac:dyDescent="0.25">
      <c r="A63">
        <v>62</v>
      </c>
      <c r="B63" t="s">
        <v>41</v>
      </c>
      <c r="C63" s="63" t="str" cm="1">
        <f t="array" ref="C63">_xlfn.IFS(vallur1[[#This Row],[OCTOBER]]="M","M",vallur1[[#This Row],[OCTOBER]]="A","A",vallur1[[#This Row],[OCTOBER]]="","",vallur1[[#This Row],[OCTOBER]]&gt;100,"P")</f>
        <v/>
      </c>
      <c r="D63" t="s">
        <v>21</v>
      </c>
      <c r="E63" s="44" t="s">
        <v>201</v>
      </c>
      <c r="F63" s="44" t="s">
        <v>202</v>
      </c>
      <c r="S63" s="20"/>
      <c r="T63" s="52"/>
    </row>
    <row r="64" spans="1:20" x14ac:dyDescent="0.25">
      <c r="A64">
        <v>63</v>
      </c>
      <c r="B64" t="s">
        <v>203</v>
      </c>
      <c r="C64" s="63" t="str" cm="1">
        <f t="array" ref="C64">_xlfn.IFS(vallur1[[#This Row],[OCTOBER]]="M","M",vallur1[[#This Row],[OCTOBER]]="A","A",vallur1[[#This Row],[OCTOBER]]="","",vallur1[[#This Row],[OCTOBER]]&gt;100,"P")</f>
        <v/>
      </c>
      <c r="E64" s="44" t="s">
        <v>204</v>
      </c>
      <c r="F64" s="44" t="s">
        <v>205</v>
      </c>
      <c r="O64" s="52">
        <v>200</v>
      </c>
      <c r="S64" s="20"/>
      <c r="T64" s="52"/>
    </row>
    <row r="65" spans="1:20" x14ac:dyDescent="0.25">
      <c r="A65">
        <v>64</v>
      </c>
      <c r="B65" t="s">
        <v>206</v>
      </c>
      <c r="C65" s="63" t="str" cm="1">
        <f t="array" ref="C65">_xlfn.IFS(vallur1[[#This Row],[OCTOBER]]="M","M",vallur1[[#This Row],[OCTOBER]]="A","A",vallur1[[#This Row],[OCTOBER]]="","",vallur1[[#This Row],[OCTOBER]]&gt;100,"P")</f>
        <v/>
      </c>
      <c r="E65" s="44" t="s">
        <v>207</v>
      </c>
      <c r="F65" s="44" t="s">
        <v>208</v>
      </c>
      <c r="O65" s="52">
        <v>200</v>
      </c>
      <c r="S65" s="20"/>
      <c r="T65" s="52"/>
    </row>
    <row r="66" spans="1:20" x14ac:dyDescent="0.25">
      <c r="A66">
        <v>65</v>
      </c>
      <c r="B66" t="s">
        <v>209</v>
      </c>
      <c r="C66" s="63" t="str" cm="1">
        <f t="array" ref="C66">_xlfn.IFS(vallur1[[#This Row],[OCTOBER]]="M","M",vallur1[[#This Row],[OCTOBER]]="A","A",vallur1[[#This Row],[OCTOBER]]="","",vallur1[[#This Row],[OCTOBER]]&gt;100,"P")</f>
        <v/>
      </c>
      <c r="E66" s="44" t="s">
        <v>210</v>
      </c>
      <c r="F66" s="44" t="s">
        <v>211</v>
      </c>
      <c r="S66" s="20"/>
      <c r="T66" s="52"/>
    </row>
    <row r="67" spans="1:20" x14ac:dyDescent="0.25">
      <c r="A67">
        <v>66</v>
      </c>
      <c r="B67" t="s">
        <v>212</v>
      </c>
      <c r="C67" s="63" t="str" cm="1">
        <f t="array" ref="C67">_xlfn.IFS(vallur1[[#This Row],[OCTOBER]]="M","M",vallur1[[#This Row],[OCTOBER]]="A","A",vallur1[[#This Row],[OCTOBER]]="","",vallur1[[#This Row],[OCTOBER]]&gt;100,"P")</f>
        <v/>
      </c>
      <c r="D67" t="s">
        <v>25</v>
      </c>
      <c r="E67" s="44" t="s">
        <v>213</v>
      </c>
      <c r="F67" s="44" t="s">
        <v>214</v>
      </c>
      <c r="N67" s="52">
        <v>200</v>
      </c>
      <c r="O67" s="52">
        <v>200</v>
      </c>
      <c r="S67" s="20"/>
      <c r="T67" s="52"/>
    </row>
    <row r="68" spans="1:20" x14ac:dyDescent="0.25">
      <c r="A68">
        <v>67</v>
      </c>
      <c r="B68" t="s">
        <v>215</v>
      </c>
      <c r="C68" s="63" t="str" cm="1">
        <f t="array" ref="C68">_xlfn.IFS(vallur1[[#This Row],[OCTOBER]]="M","M",vallur1[[#This Row],[OCTOBER]]="A","A",vallur1[[#This Row],[OCTOBER]]="","",vallur1[[#This Row],[OCTOBER]]&gt;100,"P")</f>
        <v/>
      </c>
      <c r="D68" t="s">
        <v>78</v>
      </c>
      <c r="E68" s="44" t="s">
        <v>216</v>
      </c>
      <c r="F68" s="44" t="s">
        <v>217</v>
      </c>
      <c r="O68" s="52">
        <v>200</v>
      </c>
      <c r="S68" s="20"/>
      <c r="T68" s="52"/>
    </row>
    <row r="69" spans="1:20" x14ac:dyDescent="0.25">
      <c r="A69">
        <v>68</v>
      </c>
      <c r="B69" t="s">
        <v>218</v>
      </c>
      <c r="C69" s="63" t="str" cm="1">
        <f t="array" ref="C69">_xlfn.IFS(vallur1[[#This Row],[OCTOBER]]="M","M",vallur1[[#This Row],[OCTOBER]]="A","A",vallur1[[#This Row],[OCTOBER]]="","",vallur1[[#This Row],[OCTOBER]]&gt;100,"P")</f>
        <v/>
      </c>
      <c r="D69" t="s">
        <v>78</v>
      </c>
      <c r="E69" s="44" t="s">
        <v>219</v>
      </c>
      <c r="F69" s="44" t="s">
        <v>220</v>
      </c>
      <c r="S69" s="20"/>
      <c r="T69" s="52"/>
    </row>
    <row r="70" spans="1:20" x14ac:dyDescent="0.25">
      <c r="A70">
        <v>69</v>
      </c>
      <c r="B70" t="s">
        <v>221</v>
      </c>
      <c r="C70" s="63" t="str" cm="1">
        <f t="array" ref="C70">_xlfn.IFS(vallur1[[#This Row],[OCTOBER]]="M","M",vallur1[[#This Row],[OCTOBER]]="A","A",vallur1[[#This Row],[OCTOBER]]="","",vallur1[[#This Row],[OCTOBER]]&gt;100,"P")</f>
        <v/>
      </c>
      <c r="D70" t="s">
        <v>25</v>
      </c>
      <c r="E70" s="44" t="s">
        <v>222</v>
      </c>
      <c r="F70" s="44" t="s">
        <v>223</v>
      </c>
      <c r="N70" s="52" t="s">
        <v>224</v>
      </c>
      <c r="O70" s="52">
        <v>220</v>
      </c>
      <c r="S70" s="20"/>
      <c r="T70" s="52"/>
    </row>
    <row r="71" spans="1:20" x14ac:dyDescent="0.25">
      <c r="A71">
        <v>70</v>
      </c>
      <c r="B71" t="s">
        <v>164</v>
      </c>
      <c r="C71" s="63" t="str" cm="1">
        <f t="array" ref="C71">_xlfn.IFS(vallur1[[#This Row],[OCTOBER]]="M","M",vallur1[[#This Row],[OCTOBER]]="A","A",vallur1[[#This Row],[OCTOBER]]="","",vallur1[[#This Row],[OCTOBER]]&gt;100,"P")</f>
        <v/>
      </c>
      <c r="E71" s="44" t="s">
        <v>225</v>
      </c>
      <c r="F71" s="44" t="s">
        <v>226</v>
      </c>
      <c r="S71" s="20"/>
      <c r="T71" s="52"/>
    </row>
    <row r="72" spans="1:20" x14ac:dyDescent="0.25">
      <c r="A72">
        <v>71</v>
      </c>
      <c r="B72" t="s">
        <v>227</v>
      </c>
      <c r="C72" s="63" t="str" cm="1">
        <f t="array" ref="C72">_xlfn.IFS(vallur1[[#This Row],[OCTOBER]]="M","M",vallur1[[#This Row],[OCTOBER]]="A","A",vallur1[[#This Row],[OCTOBER]]="","",vallur1[[#This Row],[OCTOBER]]&gt;100,"P")</f>
        <v/>
      </c>
      <c r="E72" s="44" t="s">
        <v>228</v>
      </c>
      <c r="F72" s="44" t="s">
        <v>229</v>
      </c>
      <c r="N72" s="52">
        <v>200</v>
      </c>
      <c r="S72" s="20"/>
      <c r="T72" s="52"/>
    </row>
    <row r="73" spans="1:20" x14ac:dyDescent="0.25">
      <c r="A73">
        <v>72</v>
      </c>
      <c r="B73" t="s">
        <v>230</v>
      </c>
      <c r="C73" s="63" t="str" cm="1">
        <f t="array" ref="C73">_xlfn.IFS(vallur1[[#This Row],[OCTOBER]]="M","M",vallur1[[#This Row],[OCTOBER]]="A","A",vallur1[[#This Row],[OCTOBER]]="","",vallur1[[#This Row],[OCTOBER]]&gt;100,"P")</f>
        <v/>
      </c>
      <c r="D73" t="s">
        <v>21</v>
      </c>
      <c r="E73" s="44" t="s">
        <v>231</v>
      </c>
      <c r="F73" s="44" t="s">
        <v>232</v>
      </c>
      <c r="N73" s="52">
        <v>200</v>
      </c>
      <c r="O73" s="52">
        <v>200</v>
      </c>
      <c r="S73" s="20"/>
      <c r="T73" s="52"/>
    </row>
    <row r="74" spans="1:20" x14ac:dyDescent="0.25">
      <c r="A74">
        <v>73</v>
      </c>
      <c r="B74" t="s">
        <v>233</v>
      </c>
      <c r="C74" s="63" t="str" cm="1">
        <f t="array" ref="C74">_xlfn.IFS(vallur1[[#This Row],[OCTOBER]]="M","M",vallur1[[#This Row],[OCTOBER]]="A","A",vallur1[[#This Row],[OCTOBER]]="","",vallur1[[#This Row],[OCTOBER]]&gt;100,"P")</f>
        <v/>
      </c>
      <c r="D74" t="s">
        <v>25</v>
      </c>
      <c r="E74" s="44" t="s">
        <v>234</v>
      </c>
      <c r="F74" s="44" t="s">
        <v>235</v>
      </c>
      <c r="N74" s="52">
        <v>200</v>
      </c>
      <c r="O74" s="52">
        <v>200</v>
      </c>
      <c r="S74" s="20"/>
      <c r="T74" s="52"/>
    </row>
    <row r="75" spans="1:20" x14ac:dyDescent="0.25">
      <c r="A75">
        <v>74</v>
      </c>
      <c r="B75" t="s">
        <v>236</v>
      </c>
      <c r="C75" s="63" t="str" cm="1">
        <f t="array" ref="C75">_xlfn.IFS(vallur1[[#This Row],[OCTOBER]]="M","M",vallur1[[#This Row],[OCTOBER]]="A","A",vallur1[[#This Row],[OCTOBER]]="","",vallur1[[#This Row],[OCTOBER]]&gt;100,"P")</f>
        <v/>
      </c>
      <c r="D75" t="s">
        <v>25</v>
      </c>
      <c r="E75" s="44" t="s">
        <v>237</v>
      </c>
      <c r="F75" s="44" t="s">
        <v>238</v>
      </c>
      <c r="S75" s="20"/>
      <c r="T75" s="52"/>
    </row>
    <row r="76" spans="1:20" x14ac:dyDescent="0.25">
      <c r="A76">
        <v>75</v>
      </c>
      <c r="B76" t="s">
        <v>138</v>
      </c>
      <c r="C76" s="63" t="str" cm="1">
        <f t="array" ref="C76">_xlfn.IFS(vallur1[[#This Row],[OCTOBER]]="M","M",vallur1[[#This Row],[OCTOBER]]="A","A",vallur1[[#This Row],[OCTOBER]]="","",vallur1[[#This Row],[OCTOBER]]&gt;100,"P")</f>
        <v/>
      </c>
      <c r="D76" t="s">
        <v>21</v>
      </c>
      <c r="E76" s="44" t="s">
        <v>239</v>
      </c>
      <c r="F76" s="44" t="s">
        <v>240</v>
      </c>
      <c r="N76" s="52">
        <v>500</v>
      </c>
      <c r="S76" s="20"/>
      <c r="T76" s="52"/>
    </row>
    <row r="77" spans="1:20" x14ac:dyDescent="0.25">
      <c r="A77">
        <v>76</v>
      </c>
      <c r="B77" t="s">
        <v>241</v>
      </c>
      <c r="C77" s="63" t="str" cm="1">
        <f t="array" ref="C77">_xlfn.IFS(vallur1[[#This Row],[OCTOBER]]="M","M",vallur1[[#This Row],[OCTOBER]]="A","A",vallur1[[#This Row],[OCTOBER]]="","",vallur1[[#This Row],[OCTOBER]]&gt;100,"P")</f>
        <v/>
      </c>
      <c r="D77" t="s">
        <v>242</v>
      </c>
      <c r="E77" s="44" t="s">
        <v>243</v>
      </c>
      <c r="F77" s="44" t="s">
        <v>244</v>
      </c>
      <c r="N77" s="52">
        <v>220</v>
      </c>
      <c r="O77" s="52">
        <v>220</v>
      </c>
      <c r="S77" s="20"/>
      <c r="T77" s="52"/>
    </row>
    <row r="78" spans="1:20" x14ac:dyDescent="0.25">
      <c r="A78">
        <v>77</v>
      </c>
      <c r="B78" t="s">
        <v>245</v>
      </c>
      <c r="C78" s="63" t="str" cm="1">
        <f t="array" ref="C78">_xlfn.IFS(vallur1[[#This Row],[OCTOBER]]="M","M",vallur1[[#This Row],[OCTOBER]]="A","A",vallur1[[#This Row],[OCTOBER]]="","",vallur1[[#This Row],[OCTOBER]]&gt;100,"P")</f>
        <v/>
      </c>
      <c r="E78" s="44"/>
      <c r="F78" s="44"/>
      <c r="S78" s="20"/>
      <c r="T78" s="52"/>
    </row>
    <row r="79" spans="1:20" x14ac:dyDescent="0.25">
      <c r="A79">
        <v>78</v>
      </c>
      <c r="B79" t="s">
        <v>138</v>
      </c>
      <c r="C79" s="63" t="str" cm="1">
        <f t="array" ref="C79">_xlfn.IFS(vallur1[[#This Row],[OCTOBER]]="M","M",vallur1[[#This Row],[OCTOBER]]="A","A",vallur1[[#This Row],[OCTOBER]]="","",vallur1[[#This Row],[OCTOBER]]&gt;100,"P")</f>
        <v/>
      </c>
      <c r="D79" t="s">
        <v>35</v>
      </c>
      <c r="E79" s="44" t="s">
        <v>246</v>
      </c>
      <c r="F79" s="44" t="s">
        <v>247</v>
      </c>
      <c r="N79" s="52">
        <v>200</v>
      </c>
      <c r="O79" s="52" t="s">
        <v>248</v>
      </c>
      <c r="S79" s="20"/>
      <c r="T79" s="52"/>
    </row>
    <row r="80" spans="1:20" x14ac:dyDescent="0.25">
      <c r="A80">
        <v>79</v>
      </c>
      <c r="B80" t="s">
        <v>249</v>
      </c>
      <c r="C80" s="63" t="str" cm="1">
        <f t="array" ref="C80">_xlfn.IFS(vallur1[[#This Row],[OCTOBER]]="M","M",vallur1[[#This Row],[OCTOBER]]="A","A",vallur1[[#This Row],[OCTOBER]]="","",vallur1[[#This Row],[OCTOBER]]&gt;100,"P")</f>
        <v/>
      </c>
      <c r="E80" s="44" t="s">
        <v>250</v>
      </c>
      <c r="F80" s="44" t="s">
        <v>251</v>
      </c>
      <c r="O80" s="52">
        <v>200</v>
      </c>
      <c r="S80" s="20"/>
      <c r="T80" s="52"/>
    </row>
    <row r="81" spans="1:20" x14ac:dyDescent="0.25">
      <c r="A81">
        <v>80</v>
      </c>
      <c r="B81" t="s">
        <v>252</v>
      </c>
      <c r="C81" s="63" t="str" cm="1">
        <f t="array" ref="C81">_xlfn.IFS(vallur1[[#This Row],[OCTOBER]]="M","M",vallur1[[#This Row],[OCTOBER]]="A","A",vallur1[[#This Row],[OCTOBER]]="","",vallur1[[#This Row],[OCTOBER]]&gt;100,"P")</f>
        <v/>
      </c>
      <c r="E81" s="44" t="s">
        <v>253</v>
      </c>
      <c r="F81" s="44" t="s">
        <v>254</v>
      </c>
      <c r="S81" s="20"/>
      <c r="T81" s="52"/>
    </row>
    <row r="82" spans="1:20" x14ac:dyDescent="0.25">
      <c r="A82">
        <v>81</v>
      </c>
      <c r="B82" t="s">
        <v>255</v>
      </c>
      <c r="C82" s="63" t="str" cm="1">
        <f t="array" ref="C82">_xlfn.IFS(vallur1[[#This Row],[OCTOBER]]="M","M",vallur1[[#This Row],[OCTOBER]]="A","A",vallur1[[#This Row],[OCTOBER]]="","",vallur1[[#This Row],[OCTOBER]]&gt;100,"P")</f>
        <v/>
      </c>
      <c r="D82" t="s">
        <v>78</v>
      </c>
      <c r="E82" s="44" t="s">
        <v>256</v>
      </c>
      <c r="F82" s="44" t="s">
        <v>257</v>
      </c>
      <c r="O82" s="52" t="s">
        <v>258</v>
      </c>
      <c r="S82" s="20"/>
      <c r="T82" s="52"/>
    </row>
    <row r="83" spans="1:20" x14ac:dyDescent="0.25">
      <c r="A83">
        <v>82</v>
      </c>
      <c r="B83" t="s">
        <v>259</v>
      </c>
      <c r="C83" s="63" t="str" cm="1">
        <f t="array" ref="C83">_xlfn.IFS(vallur1[[#This Row],[OCTOBER]]="M","M",vallur1[[#This Row],[OCTOBER]]="A","A",vallur1[[#This Row],[OCTOBER]]="","",vallur1[[#This Row],[OCTOBER]]&gt;100,"P")</f>
        <v/>
      </c>
      <c r="D83" t="s">
        <v>35</v>
      </c>
      <c r="E83" s="44" t="s">
        <v>260</v>
      </c>
      <c r="F83" s="44" t="s">
        <v>261</v>
      </c>
      <c r="S83" s="20"/>
      <c r="T83" s="52"/>
    </row>
    <row r="84" spans="1:20" x14ac:dyDescent="0.25">
      <c r="A84">
        <v>83</v>
      </c>
      <c r="B84" t="s">
        <v>262</v>
      </c>
      <c r="C84" s="63" t="str" cm="1">
        <f t="array" ref="C84">_xlfn.IFS(vallur1[[#This Row],[OCTOBER]]="M","M",vallur1[[#This Row],[OCTOBER]]="A","A",vallur1[[#This Row],[OCTOBER]]="","",vallur1[[#This Row],[OCTOBER]]&gt;100,"P")</f>
        <v/>
      </c>
      <c r="E84" s="44" t="s">
        <v>263</v>
      </c>
      <c r="F84" s="44" t="s">
        <v>264</v>
      </c>
      <c r="S84" s="20"/>
      <c r="T84" s="52"/>
    </row>
    <row r="85" spans="1:20" x14ac:dyDescent="0.25">
      <c r="A85">
        <v>84</v>
      </c>
      <c r="B85" t="s">
        <v>265</v>
      </c>
      <c r="C85" s="63" t="str" cm="1">
        <f t="array" ref="C85">_xlfn.IFS(vallur1[[#This Row],[OCTOBER]]="M","M",vallur1[[#This Row],[OCTOBER]]="A","A",vallur1[[#This Row],[OCTOBER]]="","",vallur1[[#This Row],[OCTOBER]]&gt;100,"P")</f>
        <v/>
      </c>
      <c r="D85" t="s">
        <v>25</v>
      </c>
      <c r="E85" s="44" t="s">
        <v>266</v>
      </c>
      <c r="F85" s="44" t="s">
        <v>267</v>
      </c>
      <c r="N85" s="52" t="s">
        <v>81</v>
      </c>
      <c r="S85" s="20"/>
      <c r="T85" s="52"/>
    </row>
    <row r="86" spans="1:20" x14ac:dyDescent="0.25">
      <c r="A86">
        <v>85</v>
      </c>
      <c r="B86" t="s">
        <v>268</v>
      </c>
      <c r="C86" s="63" t="str" cm="1">
        <f t="array" ref="C86">_xlfn.IFS(vallur1[[#This Row],[OCTOBER]]="M","M",vallur1[[#This Row],[OCTOBER]]="A","A",vallur1[[#This Row],[OCTOBER]]="","",vallur1[[#This Row],[OCTOBER]]&gt;100,"P")</f>
        <v/>
      </c>
      <c r="E86" s="44" t="s">
        <v>269</v>
      </c>
      <c r="F86" s="44" t="s">
        <v>270</v>
      </c>
      <c r="S86" s="51"/>
      <c r="T86" s="52"/>
    </row>
    <row r="87" spans="1:20" x14ac:dyDescent="0.25">
      <c r="A87">
        <v>86</v>
      </c>
      <c r="B87" t="s">
        <v>271</v>
      </c>
      <c r="C87" s="63" t="str" cm="1">
        <f t="array" ref="C87">_xlfn.IFS(vallur1[[#This Row],[OCTOBER]]="M","M",vallur1[[#This Row],[OCTOBER]]="A","A",vallur1[[#This Row],[OCTOBER]]="","",vallur1[[#This Row],[OCTOBER]]&gt;100,"P")</f>
        <v/>
      </c>
      <c r="D87" t="s">
        <v>35</v>
      </c>
      <c r="E87" s="44" t="s">
        <v>272</v>
      </c>
      <c r="F87" s="44" t="s">
        <v>273</v>
      </c>
      <c r="O87" s="52">
        <v>200</v>
      </c>
      <c r="S87" s="51"/>
      <c r="T87" s="52"/>
    </row>
    <row r="88" spans="1:20" x14ac:dyDescent="0.25">
      <c r="A88">
        <v>87</v>
      </c>
      <c r="B88" t="s">
        <v>138</v>
      </c>
      <c r="C88" s="63" t="str" cm="1">
        <f t="array" ref="C88">_xlfn.IFS(vallur1[[#This Row],[OCTOBER]]="M","M",vallur1[[#This Row],[OCTOBER]]="A","A",vallur1[[#This Row],[OCTOBER]]="","",vallur1[[#This Row],[OCTOBER]]&gt;100,"P")</f>
        <v/>
      </c>
      <c r="D88" t="s">
        <v>21</v>
      </c>
      <c r="E88" s="44" t="s">
        <v>274</v>
      </c>
      <c r="F88" s="44" t="s">
        <v>275</v>
      </c>
      <c r="N88" s="52">
        <v>200</v>
      </c>
      <c r="O88" s="52" t="s">
        <v>276</v>
      </c>
      <c r="S88" s="51"/>
      <c r="T88" s="52"/>
    </row>
    <row r="89" spans="1:20" x14ac:dyDescent="0.25">
      <c r="A89">
        <v>87</v>
      </c>
      <c r="B89" t="s">
        <v>277</v>
      </c>
      <c r="C89" s="63" t="str" cm="1">
        <f t="array" ref="C89">_xlfn.IFS(vallur1[[#This Row],[OCTOBER]]="M","M",vallur1[[#This Row],[OCTOBER]]="A","A",vallur1[[#This Row],[OCTOBER]]="","",vallur1[[#This Row],[OCTOBER]]&gt;100,"P")</f>
        <v/>
      </c>
      <c r="D89" t="s">
        <v>25</v>
      </c>
      <c r="E89" s="44" t="s">
        <v>278</v>
      </c>
      <c r="F89" s="44" t="s">
        <v>279</v>
      </c>
      <c r="N89" s="52">
        <v>150</v>
      </c>
      <c r="S89" s="51"/>
      <c r="T89" s="52"/>
    </row>
    <row r="90" spans="1:20" x14ac:dyDescent="0.25">
      <c r="A90">
        <v>88</v>
      </c>
      <c r="B90" t="s">
        <v>280</v>
      </c>
      <c r="C90" s="63" t="str" cm="1">
        <f t="array" ref="C90">_xlfn.IFS(vallur1[[#This Row],[OCTOBER]]="M","M",vallur1[[#This Row],[OCTOBER]]="A","A",vallur1[[#This Row],[OCTOBER]]="","",vallur1[[#This Row],[OCTOBER]]&gt;100,"P")</f>
        <v/>
      </c>
      <c r="E90" s="44" t="s">
        <v>281</v>
      </c>
      <c r="F90" s="44" t="s">
        <v>282</v>
      </c>
      <c r="S90" s="55"/>
      <c r="T90" s="52"/>
    </row>
    <row r="91" spans="1:20" x14ac:dyDescent="0.25">
      <c r="A91">
        <v>89</v>
      </c>
      <c r="B91" t="s">
        <v>283</v>
      </c>
      <c r="C91" s="63" t="str" cm="1">
        <f t="array" ref="C91">_xlfn.IFS(vallur1[[#This Row],[OCTOBER]]="M","M",vallur1[[#This Row],[OCTOBER]]="A","A",vallur1[[#This Row],[OCTOBER]]="","",vallur1[[#This Row],[OCTOBER]]&gt;100,"P")</f>
        <v/>
      </c>
      <c r="D91" t="s">
        <v>25</v>
      </c>
      <c r="E91" s="44" t="s">
        <v>284</v>
      </c>
      <c r="F91" s="44" t="s">
        <v>285</v>
      </c>
      <c r="S91" s="55"/>
      <c r="T91" s="52"/>
    </row>
    <row r="92" spans="1:20" x14ac:dyDescent="0.25">
      <c r="A92">
        <v>90</v>
      </c>
      <c r="C92" s="63" t="str" cm="1">
        <f t="array" ref="C92">_xlfn.IFS(vallur1[[#This Row],[OCTOBER]]="M","M",vallur1[[#This Row],[OCTOBER]]="A","A",vallur1[[#This Row],[OCTOBER]]="","",vallur1[[#This Row],[OCTOBER]]&gt;100,"P")</f>
        <v/>
      </c>
      <c r="D92" t="s">
        <v>25</v>
      </c>
      <c r="E92" s="44" t="s">
        <v>286</v>
      </c>
      <c r="F92" s="44" t="s">
        <v>287</v>
      </c>
      <c r="O92" s="52">
        <v>230</v>
      </c>
      <c r="S92" s="55"/>
      <c r="T92" s="52"/>
    </row>
    <row r="93" spans="1:20" x14ac:dyDescent="0.25">
      <c r="A93">
        <v>91</v>
      </c>
      <c r="B93" t="s">
        <v>288</v>
      </c>
      <c r="C93" s="63" t="str" cm="1">
        <f t="array" ref="C93">_xlfn.IFS(vallur1[[#This Row],[OCTOBER]]="M","M",vallur1[[#This Row],[OCTOBER]]="A","A",vallur1[[#This Row],[OCTOBER]]="","",vallur1[[#This Row],[OCTOBER]]&gt;100,"P")</f>
        <v/>
      </c>
      <c r="D93" t="s">
        <v>21</v>
      </c>
      <c r="E93" s="44" t="s">
        <v>289</v>
      </c>
      <c r="F93" s="44" t="s">
        <v>290</v>
      </c>
      <c r="O93" s="52" t="s">
        <v>291</v>
      </c>
      <c r="S93" s="55"/>
      <c r="T93" s="52"/>
    </row>
    <row r="94" spans="1:20" x14ac:dyDescent="0.25">
      <c r="A94">
        <v>92</v>
      </c>
      <c r="B94" t="s">
        <v>292</v>
      </c>
      <c r="C94" s="63" t="str" cm="1">
        <f t="array" ref="C94">_xlfn.IFS(vallur1[[#This Row],[OCTOBER]]="M","M",vallur1[[#This Row],[OCTOBER]]="A","A",vallur1[[#This Row],[OCTOBER]]="","",vallur1[[#This Row],[OCTOBER]]&gt;100,"P")</f>
        <v/>
      </c>
      <c r="D94" s="44" t="s">
        <v>25</v>
      </c>
      <c r="E94" s="44" t="s">
        <v>293</v>
      </c>
      <c r="F94" s="44" t="s">
        <v>294</v>
      </c>
      <c r="S94" s="55"/>
      <c r="T94" s="52"/>
    </row>
    <row r="95" spans="1:20" x14ac:dyDescent="0.25">
      <c r="A95">
        <v>93</v>
      </c>
      <c r="B95" t="s">
        <v>295</v>
      </c>
      <c r="C95" s="63" t="str" cm="1">
        <f t="array" ref="C95">_xlfn.IFS(vallur1[[#This Row],[OCTOBER]]="M","M",vallur1[[#This Row],[OCTOBER]]="A","A",vallur1[[#This Row],[OCTOBER]]="","",vallur1[[#This Row],[OCTOBER]]&gt;100,"P")</f>
        <v/>
      </c>
      <c r="D95" t="s">
        <v>25</v>
      </c>
      <c r="E95" s="44" t="s">
        <v>296</v>
      </c>
      <c r="F95" s="44" t="s">
        <v>297</v>
      </c>
      <c r="S95" s="55"/>
      <c r="T95" s="52"/>
    </row>
    <row r="96" spans="1:20" x14ac:dyDescent="0.25">
      <c r="A96" t="s">
        <v>298</v>
      </c>
      <c r="D96">
        <f>SUBTOTAL(103,vallur1[Package])</f>
        <v>67</v>
      </c>
      <c r="E96">
        <f>SUBTOTAL(103,vallur1[Box No])</f>
        <v>93</v>
      </c>
      <c r="F96">
        <f>SUBTOTAL(103,vallur1[CAF_ID])</f>
        <v>93</v>
      </c>
      <c r="G96" s="52">
        <f>SUBTOTAL(109,vallur1[JANUARY])</f>
        <v>0</v>
      </c>
      <c r="H96" s="52">
        <f>SUBTOTAL(109,vallur1[FEBEUARY])</f>
        <v>0</v>
      </c>
      <c r="I96" s="52">
        <f>SUBTOTAL(109,vallur1[MARCH])</f>
        <v>0</v>
      </c>
      <c r="J96" s="52">
        <f>SUBTOTAL(109,vallur1[APRIL])</f>
        <v>0</v>
      </c>
      <c r="K96" s="52">
        <f>SUBTOTAL(109,vallur1[MAY])</f>
        <v>0</v>
      </c>
      <c r="L96" s="52">
        <f>SUBTOTAL(109,vallur1[JUNE])</f>
        <v>0</v>
      </c>
      <c r="M96" s="52">
        <f>SUBTOTAL(109,vallur1[JULY])</f>
        <v>0</v>
      </c>
      <c r="N96" s="52">
        <f>SUBTOTAL(109,vallur1[AUGUST])</f>
        <v>7980</v>
      </c>
      <c r="O96" s="52">
        <f>SUBTOTAL(109,vallur1[SEPTEMBER])</f>
        <v>9850</v>
      </c>
      <c r="P96" s="52">
        <f>SUBTOTAL(109,vallur1[OCTOBER])</f>
        <v>0</v>
      </c>
      <c r="Q96" s="52">
        <f>SUBTOTAL(109,vallur1[NOVEMBER])</f>
        <v>0</v>
      </c>
      <c r="R96" s="52">
        <f>SUBTOTAL(109,vallur1[DECEMBER])</f>
        <v>0</v>
      </c>
      <c r="S96" s="52">
        <f>SUBTOTAL(109,vallur1[BALANCE])</f>
        <v>0</v>
      </c>
      <c r="T96" s="52"/>
    </row>
    <row r="97" spans="2:6" x14ac:dyDescent="0.25">
      <c r="E97" s="44"/>
      <c r="F97" s="44"/>
    </row>
    <row r="98" spans="2:6" x14ac:dyDescent="0.25">
      <c r="B98" s="39" t="s">
        <v>299</v>
      </c>
      <c r="C98" s="39">
        <f>COUNTIF(vallur1[PAID],"P")</f>
        <v>0</v>
      </c>
    </row>
    <row r="99" spans="2:6" x14ac:dyDescent="0.25">
      <c r="B99" s="33"/>
      <c r="C99" s="33"/>
    </row>
    <row r="100" spans="2:6" x14ac:dyDescent="0.25">
      <c r="B100" s="35" t="s">
        <v>300</v>
      </c>
      <c r="C100" s="43">
        <f>COUNTIF(C2:C95,"P")</f>
        <v>0</v>
      </c>
    </row>
    <row r="101" spans="2:6" x14ac:dyDescent="0.25">
      <c r="B101" s="36" t="s">
        <v>2388</v>
      </c>
      <c r="C101" s="5">
        <f>COUNTIF(C2:C95,"M")</f>
        <v>0</v>
      </c>
    </row>
    <row r="102" spans="2:6" x14ac:dyDescent="0.25">
      <c r="B102" s="36" t="s">
        <v>2389</v>
      </c>
      <c r="C102" s="5">
        <f>COUNTIF(C2:C95,"A")</f>
        <v>0</v>
      </c>
    </row>
    <row r="103" spans="2:6" x14ac:dyDescent="0.25">
      <c r="B103" s="39" t="s">
        <v>302</v>
      </c>
      <c r="C103" s="39">
        <f>SUM(C100:C102)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41"/>
  <sheetViews>
    <sheetView topLeftCell="A17" zoomScale="115" zoomScaleNormal="115" workbookViewId="0">
      <selection activeCell="Q25" sqref="Q25"/>
    </sheetView>
  </sheetViews>
  <sheetFormatPr defaultRowHeight="15" x14ac:dyDescent="0.25"/>
  <cols>
    <col min="1" max="1" width="6.140625" style="61" customWidth="1"/>
    <col min="2" max="2" width="21.85546875" style="61" customWidth="1"/>
    <col min="3" max="3" width="7.28515625" style="61" customWidth="1"/>
    <col min="4" max="4" width="30.140625" style="44" customWidth="1"/>
    <col min="5" max="5" width="18.85546875" style="61" bestFit="1" customWidth="1"/>
    <col min="6" max="6" width="12" style="52" customWidth="1"/>
    <col min="7" max="14" width="11.140625" style="52" hidden="1" customWidth="1"/>
    <col min="15" max="17" width="11.140625" style="52" customWidth="1"/>
    <col min="18" max="18" width="11.140625" style="61" customWidth="1"/>
    <col min="19" max="19" width="9.5703125" style="61" customWidth="1"/>
    <col min="20" max="20" width="17.7109375" style="6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44" t="s">
        <v>19</v>
      </c>
    </row>
    <row r="2" spans="1:20" x14ac:dyDescent="0.25">
      <c r="A2">
        <v>1</v>
      </c>
      <c r="B2" t="s">
        <v>303</v>
      </c>
      <c r="C2" s="63" t="str" cm="1">
        <f t="array" ref="C2">_xlfn.IFS(vallur2[[#This Row],[OCTOBER]]="M","M",vallur2[[#This Row],[OCTOBER]]="A","A",vallur2[[#This Row],[OCTOBER]]="","",vallur2[[#This Row],[OCTOBER]]&gt;100,"P")</f>
        <v/>
      </c>
      <c r="D2" t="s">
        <v>21</v>
      </c>
      <c r="E2" s="44" t="s">
        <v>304</v>
      </c>
      <c r="F2" s="44" t="s">
        <v>305</v>
      </c>
      <c r="N2" s="52">
        <v>600</v>
      </c>
      <c r="O2" s="52">
        <v>200</v>
      </c>
      <c r="R2" s="52"/>
      <c r="S2" s="52"/>
      <c r="T2" s="44"/>
    </row>
    <row r="3" spans="1:20" x14ac:dyDescent="0.25">
      <c r="A3">
        <v>2</v>
      </c>
      <c r="B3" t="s">
        <v>306</v>
      </c>
      <c r="C3" s="63" t="str" cm="1">
        <f t="array" ref="C3">_xlfn.IFS(vallur2[[#This Row],[OCTOBER]]="M","M",vallur2[[#This Row],[OCTOBER]]="A","A",vallur2[[#This Row],[OCTOBER]]="","",vallur2[[#This Row],[OCTOBER]]&gt;100,"P")</f>
        <v/>
      </c>
      <c r="D3" t="s">
        <v>25</v>
      </c>
      <c r="E3" s="44" t="s">
        <v>307</v>
      </c>
      <c r="F3" s="44" t="s">
        <v>308</v>
      </c>
      <c r="O3" s="52">
        <v>220</v>
      </c>
      <c r="R3" s="52"/>
      <c r="S3" s="52"/>
      <c r="T3" s="44"/>
    </row>
    <row r="4" spans="1:20" x14ac:dyDescent="0.25">
      <c r="A4">
        <v>3</v>
      </c>
      <c r="B4" t="s">
        <v>309</v>
      </c>
      <c r="C4" s="63" t="str" cm="1">
        <f t="array" ref="C4">_xlfn.IFS(vallur2[[#This Row],[OCTOBER]]="M","M",vallur2[[#This Row],[OCTOBER]]="A","A",vallur2[[#This Row],[OCTOBER]]="","",vallur2[[#This Row],[OCTOBER]]&gt;100,"P")</f>
        <v/>
      </c>
      <c r="D4" t="s">
        <v>35</v>
      </c>
      <c r="E4" s="44" t="s">
        <v>310</v>
      </c>
      <c r="F4" s="44" t="s">
        <v>311</v>
      </c>
      <c r="O4" s="52">
        <v>200</v>
      </c>
      <c r="R4" s="52"/>
      <c r="S4" s="52"/>
      <c r="T4" s="44"/>
    </row>
    <row r="5" spans="1:20" x14ac:dyDescent="0.25">
      <c r="A5">
        <v>4</v>
      </c>
      <c r="B5" t="s">
        <v>312</v>
      </c>
      <c r="C5" s="63" t="str" cm="1">
        <f t="array" ref="C5">_xlfn.IFS(vallur2[[#This Row],[OCTOBER]]="M","M",vallur2[[#This Row],[OCTOBER]]="A","A",vallur2[[#This Row],[OCTOBER]]="","",vallur2[[#This Row],[OCTOBER]]&gt;100,"P")</f>
        <v/>
      </c>
      <c r="D5" t="s">
        <v>78</v>
      </c>
      <c r="E5" s="44" t="s">
        <v>313</v>
      </c>
      <c r="F5" s="44" t="s">
        <v>314</v>
      </c>
      <c r="N5" s="52">
        <v>150</v>
      </c>
      <c r="O5" s="52">
        <v>150</v>
      </c>
      <c r="R5" s="52"/>
      <c r="S5" s="52"/>
      <c r="T5" s="44"/>
    </row>
    <row r="6" spans="1:20" x14ac:dyDescent="0.25">
      <c r="A6">
        <v>5</v>
      </c>
      <c r="B6" t="s">
        <v>315</v>
      </c>
      <c r="C6" s="63" t="str" cm="1">
        <f t="array" ref="C6">_xlfn.IFS(vallur2[[#This Row],[OCTOBER]]="M","M",vallur2[[#This Row],[OCTOBER]]="A","A",vallur2[[#This Row],[OCTOBER]]="","",vallur2[[#This Row],[OCTOBER]]&gt;100,"P")</f>
        <v/>
      </c>
      <c r="E6" s="44" t="s">
        <v>316</v>
      </c>
      <c r="F6" s="44" t="s">
        <v>317</v>
      </c>
      <c r="R6" s="52"/>
      <c r="S6" s="52"/>
      <c r="T6" s="44"/>
    </row>
    <row r="7" spans="1:20" x14ac:dyDescent="0.25">
      <c r="A7">
        <v>6</v>
      </c>
      <c r="B7" t="s">
        <v>318</v>
      </c>
      <c r="C7" s="63" t="str" cm="1">
        <f t="array" ref="C7">_xlfn.IFS(vallur2[[#This Row],[OCTOBER]]="M","M",vallur2[[#This Row],[OCTOBER]]="A","A",vallur2[[#This Row],[OCTOBER]]="","",vallur2[[#This Row],[OCTOBER]]&gt;100,"P")</f>
        <v/>
      </c>
      <c r="D7" t="s">
        <v>25</v>
      </c>
      <c r="E7" s="44" t="s">
        <v>319</v>
      </c>
      <c r="F7" s="44" t="s">
        <v>320</v>
      </c>
      <c r="N7" s="52">
        <v>200</v>
      </c>
      <c r="O7" s="52" t="s">
        <v>321</v>
      </c>
      <c r="R7" s="52"/>
      <c r="S7" s="52"/>
      <c r="T7" s="44"/>
    </row>
    <row r="8" spans="1:20" x14ac:dyDescent="0.25">
      <c r="A8">
        <v>7</v>
      </c>
      <c r="B8" t="s">
        <v>138</v>
      </c>
      <c r="C8" s="63" t="str" cm="1">
        <f t="array" ref="C8">_xlfn.IFS(vallur2[[#This Row],[OCTOBER]]="M","M",vallur2[[#This Row],[OCTOBER]]="A","A",vallur2[[#This Row],[OCTOBER]]="","",vallur2[[#This Row],[OCTOBER]]&gt;100,"P")</f>
        <v/>
      </c>
      <c r="E8" s="44" t="s">
        <v>322</v>
      </c>
      <c r="F8" s="44" t="s">
        <v>323</v>
      </c>
      <c r="R8" s="52"/>
      <c r="S8" s="52"/>
      <c r="T8" s="44"/>
    </row>
    <row r="9" spans="1:20" x14ac:dyDescent="0.25">
      <c r="A9">
        <v>8</v>
      </c>
      <c r="B9" t="s">
        <v>324</v>
      </c>
      <c r="C9" s="63" t="str" cm="1">
        <f t="array" ref="C9">_xlfn.IFS(vallur2[[#This Row],[OCTOBER]]="M","M",vallur2[[#This Row],[OCTOBER]]="A","A",vallur2[[#This Row],[OCTOBER]]="","",vallur2[[#This Row],[OCTOBER]]&gt;100,"P")</f>
        <v/>
      </c>
      <c r="D9" t="s">
        <v>25</v>
      </c>
      <c r="E9" s="44" t="s">
        <v>325</v>
      </c>
      <c r="F9" s="44" t="s">
        <v>326</v>
      </c>
      <c r="O9" s="52">
        <v>200</v>
      </c>
      <c r="R9" s="52"/>
      <c r="S9" s="52"/>
      <c r="T9" s="44"/>
    </row>
    <row r="10" spans="1:20" x14ac:dyDescent="0.25">
      <c r="A10">
        <v>9</v>
      </c>
      <c r="B10" t="s">
        <v>203</v>
      </c>
      <c r="C10" s="63" t="str" cm="1">
        <f t="array" ref="C10">_xlfn.IFS(vallur2[[#This Row],[OCTOBER]]="M","M",vallur2[[#This Row],[OCTOBER]]="A","A",vallur2[[#This Row],[OCTOBER]]="","",vallur2[[#This Row],[OCTOBER]]&gt;100,"P")</f>
        <v/>
      </c>
      <c r="D10" t="s">
        <v>25</v>
      </c>
      <c r="E10" s="44" t="s">
        <v>327</v>
      </c>
      <c r="F10" s="44" t="s">
        <v>328</v>
      </c>
      <c r="N10" s="52">
        <v>400</v>
      </c>
      <c r="R10" s="52"/>
      <c r="S10" s="52"/>
      <c r="T10" s="44"/>
    </row>
    <row r="11" spans="1:20" x14ac:dyDescent="0.25">
      <c r="A11">
        <v>10</v>
      </c>
      <c r="B11" t="s">
        <v>329</v>
      </c>
      <c r="C11" s="63" t="str" cm="1">
        <f t="array" ref="C11">_xlfn.IFS(vallur2[[#This Row],[OCTOBER]]="M","M",vallur2[[#This Row],[OCTOBER]]="A","A",vallur2[[#This Row],[OCTOBER]]="","",vallur2[[#This Row],[OCTOBER]]&gt;100,"P")</f>
        <v/>
      </c>
      <c r="D11" t="s">
        <v>25</v>
      </c>
      <c r="E11" s="44" t="s">
        <v>330</v>
      </c>
      <c r="F11" s="44" t="s">
        <v>331</v>
      </c>
      <c r="N11" s="52">
        <v>200</v>
      </c>
      <c r="O11" s="52">
        <v>200</v>
      </c>
      <c r="R11" s="52"/>
      <c r="S11" s="52"/>
      <c r="T11" s="44"/>
    </row>
    <row r="12" spans="1:20" x14ac:dyDescent="0.25">
      <c r="A12">
        <v>11</v>
      </c>
      <c r="B12" t="s">
        <v>332</v>
      </c>
      <c r="C12" s="63" t="str" cm="1">
        <f t="array" ref="C12">_xlfn.IFS(vallur2[[#This Row],[OCTOBER]]="M","M",vallur2[[#This Row],[OCTOBER]]="A","A",vallur2[[#This Row],[OCTOBER]]="","",vallur2[[#This Row],[OCTOBER]]&gt;100,"P")</f>
        <v/>
      </c>
      <c r="D12" t="s">
        <v>25</v>
      </c>
      <c r="E12" s="44" t="s">
        <v>333</v>
      </c>
      <c r="F12" s="44" t="s">
        <v>334</v>
      </c>
      <c r="N12" s="52" t="s">
        <v>291</v>
      </c>
      <c r="O12" s="52">
        <v>200</v>
      </c>
      <c r="R12" s="52"/>
      <c r="S12" s="52"/>
      <c r="T12" s="44"/>
    </row>
    <row r="13" spans="1:20" x14ac:dyDescent="0.25">
      <c r="A13">
        <v>12</v>
      </c>
      <c r="B13" t="s">
        <v>335</v>
      </c>
      <c r="C13" s="63" t="str" cm="1">
        <f t="array" ref="C13">_xlfn.IFS(vallur2[[#This Row],[OCTOBER]]="M","M",vallur2[[#This Row],[OCTOBER]]="A","A",vallur2[[#This Row],[OCTOBER]]="","",vallur2[[#This Row],[OCTOBER]]&gt;100,"P")</f>
        <v/>
      </c>
      <c r="E13" s="44" t="s">
        <v>336</v>
      </c>
      <c r="F13" s="44" t="s">
        <v>337</v>
      </c>
      <c r="R13" s="52"/>
      <c r="S13" s="52"/>
      <c r="T13" s="44"/>
    </row>
    <row r="14" spans="1:20" x14ac:dyDescent="0.25">
      <c r="A14">
        <v>13</v>
      </c>
      <c r="B14" t="s">
        <v>338</v>
      </c>
      <c r="C14" s="63" t="str" cm="1">
        <f t="array" ref="C14">_xlfn.IFS(vallur2[[#This Row],[OCTOBER]]="M","M",vallur2[[#This Row],[OCTOBER]]="A","A",vallur2[[#This Row],[OCTOBER]]="","",vallur2[[#This Row],[OCTOBER]]&gt;100,"P")</f>
        <v/>
      </c>
      <c r="D14" t="s">
        <v>78</v>
      </c>
      <c r="E14" s="44" t="s">
        <v>339</v>
      </c>
      <c r="F14" s="44" t="s">
        <v>340</v>
      </c>
      <c r="N14" s="52">
        <v>200</v>
      </c>
      <c r="O14" s="52">
        <v>200</v>
      </c>
      <c r="R14" s="52"/>
      <c r="S14" s="52"/>
      <c r="T14" s="44"/>
    </row>
    <row r="15" spans="1:20" x14ac:dyDescent="0.25">
      <c r="A15">
        <v>14</v>
      </c>
      <c r="B15" t="s">
        <v>341</v>
      </c>
      <c r="C15" s="63" t="str" cm="1">
        <f t="array" ref="C15">_xlfn.IFS(vallur2[[#This Row],[OCTOBER]]="M","M",vallur2[[#This Row],[OCTOBER]]="A","A",vallur2[[#This Row],[OCTOBER]]="","",vallur2[[#This Row],[OCTOBER]]&gt;100,"P")</f>
        <v/>
      </c>
      <c r="D15" t="s">
        <v>35</v>
      </c>
      <c r="E15" s="44" t="s">
        <v>342</v>
      </c>
      <c r="F15" s="44" t="s">
        <v>343</v>
      </c>
      <c r="N15" s="52" t="s">
        <v>344</v>
      </c>
      <c r="O15" s="52">
        <v>200</v>
      </c>
      <c r="R15" s="52"/>
      <c r="S15" s="52"/>
      <c r="T15" s="44"/>
    </row>
    <row r="16" spans="1:20" x14ac:dyDescent="0.25">
      <c r="A16">
        <v>15</v>
      </c>
      <c r="B16" t="s">
        <v>312</v>
      </c>
      <c r="C16" s="63" t="str" cm="1">
        <f t="array" ref="C16">_xlfn.IFS(vallur2[[#This Row],[OCTOBER]]="M","M",vallur2[[#This Row],[OCTOBER]]="A","A",vallur2[[#This Row],[OCTOBER]]="","",vallur2[[#This Row],[OCTOBER]]&gt;100,"P")</f>
        <v/>
      </c>
      <c r="D16" t="s">
        <v>78</v>
      </c>
      <c r="E16" s="44" t="s">
        <v>345</v>
      </c>
      <c r="F16" s="44" t="s">
        <v>346</v>
      </c>
      <c r="R16" s="52"/>
      <c r="S16" s="52"/>
      <c r="T16" s="44"/>
    </row>
    <row r="17" spans="1:20" x14ac:dyDescent="0.25">
      <c r="A17">
        <v>16</v>
      </c>
      <c r="B17" t="s">
        <v>347</v>
      </c>
      <c r="C17" s="63" t="str" cm="1">
        <f t="array" ref="C17">_xlfn.IFS(vallur2[[#This Row],[OCTOBER]]="M","M",vallur2[[#This Row],[OCTOBER]]="A","A",vallur2[[#This Row],[OCTOBER]]="","",vallur2[[#This Row],[OCTOBER]]&gt;100,"P")</f>
        <v/>
      </c>
      <c r="E17" s="44" t="s">
        <v>348</v>
      </c>
      <c r="F17" s="44" t="s">
        <v>349</v>
      </c>
      <c r="R17" s="52"/>
      <c r="S17" s="52"/>
      <c r="T17" s="44"/>
    </row>
    <row r="18" spans="1:20" x14ac:dyDescent="0.25">
      <c r="A18">
        <v>17</v>
      </c>
      <c r="B18" t="s">
        <v>350</v>
      </c>
      <c r="C18" s="63" t="str" cm="1">
        <f t="array" ref="C18">_xlfn.IFS(vallur2[[#This Row],[OCTOBER]]="M","M",vallur2[[#This Row],[OCTOBER]]="A","A",vallur2[[#This Row],[OCTOBER]]="","",vallur2[[#This Row],[OCTOBER]]&gt;100,"P")</f>
        <v/>
      </c>
      <c r="D18" t="s">
        <v>35</v>
      </c>
      <c r="E18" s="44" t="s">
        <v>351</v>
      </c>
      <c r="F18" s="44" t="s">
        <v>352</v>
      </c>
      <c r="N18" s="52">
        <v>200</v>
      </c>
      <c r="O18" s="52">
        <v>200</v>
      </c>
      <c r="R18" s="52"/>
      <c r="S18" s="52"/>
      <c r="T18" s="44"/>
    </row>
    <row r="19" spans="1:20" x14ac:dyDescent="0.25">
      <c r="A19">
        <v>18</v>
      </c>
      <c r="B19" t="s">
        <v>353</v>
      </c>
      <c r="C19" s="63" t="str" cm="1">
        <f t="array" ref="C19">_xlfn.IFS(vallur2[[#This Row],[OCTOBER]]="M","M",vallur2[[#This Row],[OCTOBER]]="A","A",vallur2[[#This Row],[OCTOBER]]="","",vallur2[[#This Row],[OCTOBER]]&gt;100,"P")</f>
        <v/>
      </c>
      <c r="D19" t="s">
        <v>78</v>
      </c>
      <c r="E19" s="44" t="s">
        <v>354</v>
      </c>
      <c r="F19" s="44" t="s">
        <v>355</v>
      </c>
      <c r="R19" s="52"/>
      <c r="S19" s="52"/>
      <c r="T19" s="44"/>
    </row>
    <row r="20" spans="1:20" x14ac:dyDescent="0.25">
      <c r="A20">
        <v>19</v>
      </c>
      <c r="B20" t="s">
        <v>34</v>
      </c>
      <c r="C20" s="63" t="str" cm="1">
        <f t="array" ref="C20">_xlfn.IFS(vallur2[[#This Row],[OCTOBER]]="M","M",vallur2[[#This Row],[OCTOBER]]="A","A",vallur2[[#This Row],[OCTOBER]]="","",vallur2[[#This Row],[OCTOBER]]&gt;100,"P")</f>
        <v/>
      </c>
      <c r="D20" t="s">
        <v>35</v>
      </c>
      <c r="E20" s="44" t="s">
        <v>356</v>
      </c>
      <c r="F20" s="44" t="s">
        <v>357</v>
      </c>
      <c r="O20" s="52">
        <v>200</v>
      </c>
      <c r="R20" s="52"/>
      <c r="S20" s="52"/>
      <c r="T20" s="44"/>
    </row>
    <row r="21" spans="1:20" x14ac:dyDescent="0.25">
      <c r="A21">
        <v>20</v>
      </c>
      <c r="B21" t="s">
        <v>358</v>
      </c>
      <c r="C21" s="63" t="str" cm="1">
        <f t="array" ref="C21">_xlfn.IFS(vallur2[[#This Row],[OCTOBER]]="M","M",vallur2[[#This Row],[OCTOBER]]="A","A",vallur2[[#This Row],[OCTOBER]]="","",vallur2[[#This Row],[OCTOBER]]&gt;100,"P")</f>
        <v/>
      </c>
      <c r="D21" t="s">
        <v>21</v>
      </c>
      <c r="E21" s="44" t="s">
        <v>359</v>
      </c>
      <c r="F21" s="44" t="s">
        <v>360</v>
      </c>
      <c r="O21" s="52">
        <v>200</v>
      </c>
      <c r="R21" s="52"/>
      <c r="S21" s="52"/>
      <c r="T21" s="44"/>
    </row>
    <row r="22" spans="1:20" x14ac:dyDescent="0.25">
      <c r="A22">
        <v>21</v>
      </c>
      <c r="B22" t="s">
        <v>44</v>
      </c>
      <c r="C22" s="63" t="str" cm="1">
        <f t="array" ref="C22">_xlfn.IFS(vallur2[[#This Row],[OCTOBER]]="M","M",vallur2[[#This Row],[OCTOBER]]="A","A",vallur2[[#This Row],[OCTOBER]]="","",vallur2[[#This Row],[OCTOBER]]&gt;100,"P")</f>
        <v/>
      </c>
      <c r="D22" t="s">
        <v>35</v>
      </c>
      <c r="E22" s="44" t="s">
        <v>151</v>
      </c>
      <c r="F22" s="44" t="s">
        <v>152</v>
      </c>
      <c r="N22" s="52" t="s">
        <v>321</v>
      </c>
      <c r="R22" s="52"/>
      <c r="S22" s="52"/>
      <c r="T22" s="44"/>
    </row>
    <row r="23" spans="1:20" x14ac:dyDescent="0.25">
      <c r="A23">
        <v>22</v>
      </c>
      <c r="B23" t="s">
        <v>361</v>
      </c>
      <c r="C23" s="63" t="str" cm="1">
        <f t="array" ref="C23">_xlfn.IFS(vallur2[[#This Row],[OCTOBER]]="M","M",vallur2[[#This Row],[OCTOBER]]="A","A",vallur2[[#This Row],[OCTOBER]]="","",vallur2[[#This Row],[OCTOBER]]&gt;100,"P")</f>
        <v/>
      </c>
      <c r="D23" t="s">
        <v>21</v>
      </c>
      <c r="E23" s="44" t="s">
        <v>362</v>
      </c>
      <c r="F23" s="44" t="s">
        <v>363</v>
      </c>
      <c r="O23" s="52">
        <v>200</v>
      </c>
      <c r="R23" s="52"/>
      <c r="S23" s="52"/>
      <c r="T23" s="44"/>
    </row>
    <row r="24" spans="1:20" x14ac:dyDescent="0.25">
      <c r="A24">
        <v>23</v>
      </c>
      <c r="B24" t="s">
        <v>364</v>
      </c>
      <c r="C24" s="63" t="str" cm="1">
        <f t="array" ref="C24">_xlfn.IFS(vallur2[[#This Row],[OCTOBER]]="M","M",vallur2[[#This Row],[OCTOBER]]="A","A",vallur2[[#This Row],[OCTOBER]]="","",vallur2[[#This Row],[OCTOBER]]&gt;100,"P")</f>
        <v/>
      </c>
      <c r="E24" s="44" t="s">
        <v>365</v>
      </c>
      <c r="F24" s="44" t="s">
        <v>366</v>
      </c>
      <c r="R24" s="52"/>
      <c r="S24" s="52"/>
      <c r="T24" s="44"/>
    </row>
    <row r="25" spans="1:20" x14ac:dyDescent="0.25">
      <c r="A25">
        <v>24</v>
      </c>
      <c r="B25" t="s">
        <v>367</v>
      </c>
      <c r="C25" s="63" t="str" cm="1">
        <f t="array" ref="C25">_xlfn.IFS(vallur2[[#This Row],[OCTOBER]]="M","M",vallur2[[#This Row],[OCTOBER]]="A","A",vallur2[[#This Row],[OCTOBER]]="","",vallur2[[#This Row],[OCTOBER]]&gt;100,"P")</f>
        <v/>
      </c>
      <c r="E25" s="44" t="s">
        <v>368</v>
      </c>
      <c r="F25" s="44" t="s">
        <v>369</v>
      </c>
      <c r="N25" s="52">
        <v>200</v>
      </c>
      <c r="R25" s="52"/>
      <c r="S25" s="52"/>
      <c r="T25" s="44"/>
    </row>
    <row r="26" spans="1:20" x14ac:dyDescent="0.25">
      <c r="A26">
        <v>25</v>
      </c>
      <c r="B26" t="s">
        <v>370</v>
      </c>
      <c r="C26" s="63" t="str" cm="1">
        <f t="array" ref="C26">_xlfn.IFS(vallur2[[#This Row],[OCTOBER]]="M","M",vallur2[[#This Row],[OCTOBER]]="A","A",vallur2[[#This Row],[OCTOBER]]="","",vallur2[[#This Row],[OCTOBER]]&gt;100,"P")</f>
        <v/>
      </c>
      <c r="D26" t="s">
        <v>78</v>
      </c>
      <c r="E26" s="44" t="s">
        <v>371</v>
      </c>
      <c r="F26" s="44" t="s">
        <v>372</v>
      </c>
      <c r="R26" s="52"/>
      <c r="S26" s="52"/>
      <c r="T26" s="44" t="s">
        <v>373</v>
      </c>
    </row>
    <row r="27" spans="1:20" x14ac:dyDescent="0.25">
      <c r="A27">
        <v>26</v>
      </c>
      <c r="B27" t="s">
        <v>374</v>
      </c>
      <c r="C27" s="63" t="str" cm="1">
        <f t="array" ref="C27">_xlfn.IFS(vallur2[[#This Row],[OCTOBER]]="M","M",vallur2[[#This Row],[OCTOBER]]="A","A",vallur2[[#This Row],[OCTOBER]]="","",vallur2[[#This Row],[OCTOBER]]&gt;100,"P")</f>
        <v/>
      </c>
      <c r="D27" t="s">
        <v>78</v>
      </c>
      <c r="E27" s="44" t="s">
        <v>375</v>
      </c>
      <c r="F27" s="44" t="s">
        <v>376</v>
      </c>
      <c r="N27" s="52">
        <v>150</v>
      </c>
      <c r="O27" s="52">
        <v>150</v>
      </c>
      <c r="R27" s="52"/>
      <c r="S27" s="52"/>
      <c r="T27" s="44"/>
    </row>
    <row r="28" spans="1:20" x14ac:dyDescent="0.25">
      <c r="A28">
        <v>27</v>
      </c>
      <c r="B28" t="s">
        <v>377</v>
      </c>
      <c r="C28" s="63" t="str" cm="1">
        <f t="array" ref="C28">_xlfn.IFS(vallur2[[#This Row],[OCTOBER]]="M","M",vallur2[[#This Row],[OCTOBER]]="A","A",vallur2[[#This Row],[OCTOBER]]="","",vallur2[[#This Row],[OCTOBER]]&gt;100,"P")</f>
        <v/>
      </c>
      <c r="E28" s="44" t="s">
        <v>378</v>
      </c>
      <c r="F28" s="44" t="s">
        <v>379</v>
      </c>
      <c r="O28" s="52">
        <v>200</v>
      </c>
      <c r="R28" s="52"/>
      <c r="S28" s="52"/>
      <c r="T28" s="44"/>
    </row>
    <row r="29" spans="1:20" x14ac:dyDescent="0.25">
      <c r="A29">
        <v>28</v>
      </c>
      <c r="B29" t="s">
        <v>380</v>
      </c>
      <c r="C29" s="63" t="str" cm="1">
        <f t="array" ref="C29">_xlfn.IFS(vallur2[[#This Row],[OCTOBER]]="M","M",vallur2[[#This Row],[OCTOBER]]="A","A",vallur2[[#This Row],[OCTOBER]]="","",vallur2[[#This Row],[OCTOBER]]&gt;100,"P")</f>
        <v/>
      </c>
      <c r="D29" t="s">
        <v>25</v>
      </c>
      <c r="E29" s="44" t="s">
        <v>381</v>
      </c>
      <c r="F29" s="44" t="s">
        <v>382</v>
      </c>
      <c r="N29" s="52">
        <v>200</v>
      </c>
      <c r="O29" s="52">
        <v>200</v>
      </c>
      <c r="R29" s="52"/>
      <c r="S29" s="52"/>
      <c r="T29" s="44"/>
    </row>
    <row r="30" spans="1:20" x14ac:dyDescent="0.25">
      <c r="A30">
        <v>29</v>
      </c>
      <c r="B30" t="s">
        <v>383</v>
      </c>
      <c r="C30" s="63" t="str" cm="1">
        <f t="array" ref="C30">_xlfn.IFS(vallur2[[#This Row],[OCTOBER]]="M","M",vallur2[[#This Row],[OCTOBER]]="A","A",vallur2[[#This Row],[OCTOBER]]="","",vallur2[[#This Row],[OCTOBER]]&gt;100,"P")</f>
        <v/>
      </c>
      <c r="D30" t="s">
        <v>35</v>
      </c>
      <c r="E30" s="44" t="s">
        <v>384</v>
      </c>
      <c r="F30" s="44" t="s">
        <v>385</v>
      </c>
      <c r="N30" s="52">
        <v>200</v>
      </c>
      <c r="O30" s="52">
        <v>200</v>
      </c>
      <c r="R30" s="52"/>
      <c r="S30" s="52"/>
      <c r="T30" s="44"/>
    </row>
    <row r="31" spans="1:20" x14ac:dyDescent="0.25">
      <c r="A31">
        <v>30</v>
      </c>
      <c r="B31" t="s">
        <v>386</v>
      </c>
      <c r="C31" s="63" t="str" cm="1">
        <f t="array" ref="C31">_xlfn.IFS(vallur2[[#This Row],[OCTOBER]]="M","M",vallur2[[#This Row],[OCTOBER]]="A","A",vallur2[[#This Row],[OCTOBER]]="","",vallur2[[#This Row],[OCTOBER]]&gt;100,"P")</f>
        <v/>
      </c>
      <c r="D31" t="s">
        <v>35</v>
      </c>
      <c r="E31" s="44" t="s">
        <v>387</v>
      </c>
      <c r="F31" s="44" t="s">
        <v>388</v>
      </c>
      <c r="N31" s="52">
        <v>200</v>
      </c>
      <c r="O31" s="52">
        <v>200</v>
      </c>
      <c r="R31" s="52"/>
      <c r="S31" s="52"/>
      <c r="T31" s="44"/>
    </row>
    <row r="32" spans="1:20" x14ac:dyDescent="0.25">
      <c r="A32">
        <v>31</v>
      </c>
      <c r="B32" t="s">
        <v>138</v>
      </c>
      <c r="C32" s="63" t="str" cm="1">
        <f t="array" ref="C32">_xlfn.IFS(vallur2[[#This Row],[OCTOBER]]="M","M",vallur2[[#This Row],[OCTOBER]]="A","A",vallur2[[#This Row],[OCTOBER]]="","",vallur2[[#This Row],[OCTOBER]]&gt;100,"P")</f>
        <v/>
      </c>
      <c r="D32" t="s">
        <v>35</v>
      </c>
      <c r="E32" s="44" t="s">
        <v>389</v>
      </c>
      <c r="F32" s="44" t="s">
        <v>390</v>
      </c>
      <c r="R32" s="52"/>
      <c r="S32" s="52"/>
      <c r="T32" s="44"/>
    </row>
    <row r="33" spans="1:20" x14ac:dyDescent="0.25">
      <c r="A33">
        <v>32</v>
      </c>
      <c r="B33" t="s">
        <v>391</v>
      </c>
      <c r="C33" s="63" t="str" cm="1">
        <f t="array" ref="C33">_xlfn.IFS(vallur2[[#This Row],[OCTOBER]]="M","M",vallur2[[#This Row],[OCTOBER]]="A","A",vallur2[[#This Row],[OCTOBER]]="","",vallur2[[#This Row],[OCTOBER]]&gt;100,"P")</f>
        <v/>
      </c>
      <c r="D33" t="s">
        <v>21</v>
      </c>
      <c r="E33" s="44" t="s">
        <v>392</v>
      </c>
      <c r="F33" s="44" t="s">
        <v>393</v>
      </c>
      <c r="R33" s="52"/>
      <c r="S33" s="52"/>
      <c r="T33" s="44"/>
    </row>
    <row r="34" spans="1:20" x14ac:dyDescent="0.25">
      <c r="A34" t="s">
        <v>298</v>
      </c>
      <c r="D34">
        <f>SUBTOTAL(103,vallur2[Package])</f>
        <v>25</v>
      </c>
      <c r="E34">
        <f>SUBTOTAL(103,vallur2[Box No])</f>
        <v>32</v>
      </c>
      <c r="F34">
        <f>SUBTOTAL(103,vallur2[CAF_ID])</f>
        <v>32</v>
      </c>
      <c r="G34" s="52">
        <f>SUBTOTAL(109,vallur2[JANUARY])</f>
        <v>0</v>
      </c>
      <c r="H34" s="52">
        <f>SUBTOTAL(109,vallur2[FEBEUARY])</f>
        <v>0</v>
      </c>
      <c r="I34" s="52">
        <f>SUBTOTAL(109,vallur2[MARCH])</f>
        <v>0</v>
      </c>
      <c r="J34" s="52">
        <f>SUBTOTAL(109,vallur2[APRIL])</f>
        <v>0</v>
      </c>
      <c r="K34" s="52">
        <f>SUBTOTAL(109,vallur2[MAY])</f>
        <v>0</v>
      </c>
      <c r="L34" s="52">
        <f>SUBTOTAL(109,vallur2[JUNE])</f>
        <v>0</v>
      </c>
      <c r="M34" s="52">
        <f>SUBTOTAL(109,vallur2[JULY])</f>
        <v>0</v>
      </c>
      <c r="N34" s="52">
        <f>SUBTOTAL(109,vallur2[AUGUST])</f>
        <v>2900</v>
      </c>
      <c r="O34" s="52">
        <f>SUBTOTAL(109,vallur2[SEPTEMBER])</f>
        <v>3520</v>
      </c>
      <c r="P34" s="52">
        <f>SUBTOTAL(109,vallur2[OCTOBER])</f>
        <v>0</v>
      </c>
      <c r="Q34" s="52">
        <f>SUBTOTAL(109,vallur2[NOVEMBER])</f>
        <v>0</v>
      </c>
      <c r="R34" s="52">
        <f>SUBTOTAL(109,vallur2[DECEMBER])</f>
        <v>0</v>
      </c>
      <c r="S34" s="52">
        <f>SUBTOTAL(109,vallur2[BALANCE])</f>
        <v>0</v>
      </c>
      <c r="T34" s="52"/>
    </row>
    <row r="36" spans="1:20" x14ac:dyDescent="0.25">
      <c r="B36" s="39" t="s">
        <v>299</v>
      </c>
      <c r="C36" s="45">
        <f>COUNTIF(C2:C33,"P")</f>
        <v>0</v>
      </c>
    </row>
    <row r="37" spans="1:20" x14ac:dyDescent="0.25">
      <c r="B37" s="33"/>
      <c r="C37" s="33"/>
    </row>
    <row r="38" spans="1:20" x14ac:dyDescent="0.25">
      <c r="B38" s="35" t="s">
        <v>300</v>
      </c>
      <c r="C38" s="1">
        <f>COUNTIF(C2:C33,"P")</f>
        <v>0</v>
      </c>
    </row>
    <row r="39" spans="1:20" x14ac:dyDescent="0.25">
      <c r="B39" s="36" t="s">
        <v>301</v>
      </c>
      <c r="C39" s="5">
        <f>COUNTIF(C2:C33,"NP")</f>
        <v>0</v>
      </c>
    </row>
    <row r="40" spans="1:20" x14ac:dyDescent="0.25">
      <c r="B40" s="33"/>
      <c r="C40" s="33"/>
    </row>
    <row r="41" spans="1:20" x14ac:dyDescent="0.25">
      <c r="B41" s="39" t="s">
        <v>302</v>
      </c>
      <c r="C41" s="39">
        <f>C38+C39</f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73"/>
  <sheetViews>
    <sheetView zoomScale="115" zoomScaleNormal="115" workbookViewId="0">
      <selection activeCell="E4" sqref="E4"/>
    </sheetView>
  </sheetViews>
  <sheetFormatPr defaultRowHeight="15" x14ac:dyDescent="0.25"/>
  <cols>
    <col min="1" max="1" width="5.85546875" style="61" customWidth="1"/>
    <col min="2" max="2" width="21.28515625" style="61" customWidth="1"/>
    <col min="3" max="3" width="6.7109375" style="61" customWidth="1"/>
    <col min="4" max="4" width="29.7109375" style="61" customWidth="1"/>
    <col min="5" max="5" width="23.140625" style="61" customWidth="1"/>
    <col min="7" max="14" width="12.42578125" style="17" hidden="1" customWidth="1"/>
    <col min="15" max="17" width="12.42578125" style="17" customWidth="1"/>
    <col min="18" max="18" width="12.42578125" style="61" customWidth="1"/>
    <col min="19" max="19" width="9.85546875" style="61" customWidth="1"/>
    <col min="20" max="20" width="29.42578125" style="61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44" t="s">
        <v>19</v>
      </c>
    </row>
    <row r="2" spans="1:20" x14ac:dyDescent="0.25">
      <c r="A2">
        <v>1</v>
      </c>
      <c r="B2" t="s">
        <v>394</v>
      </c>
      <c r="C2" s="63" t="str" cm="1">
        <f t="array" ref="C2">_xlfn.IFS(subramaniyasiva[[#This Row],[OCTOBER]]="M","M",subramaniyasiva[[#This Row],[OCTOBER]]="A","A",subramaniyasiva[[#This Row],[OCTOBER]]="","",subramaniyasiva[[#This Row],[OCTOBER]]&gt;100,"P")</f>
        <v/>
      </c>
      <c r="D2" t="s">
        <v>35</v>
      </c>
      <c r="E2" s="44" t="s">
        <v>395</v>
      </c>
      <c r="F2" s="44" t="s">
        <v>396</v>
      </c>
      <c r="O2" s="70">
        <v>200</v>
      </c>
      <c r="R2" s="17"/>
      <c r="S2" s="17"/>
      <c r="T2" s="44"/>
    </row>
    <row r="3" spans="1:20" x14ac:dyDescent="0.25">
      <c r="A3">
        <v>2</v>
      </c>
      <c r="B3" t="s">
        <v>397</v>
      </c>
      <c r="C3" s="63" t="str" cm="1">
        <f t="array" ref="C3">_xlfn.IFS(subramaniyasiva[[#This Row],[OCTOBER]]="M","M",subramaniyasiva[[#This Row],[OCTOBER]]="A","A",subramaniyasiva[[#This Row],[OCTOBER]]="","",subramaniyasiva[[#This Row],[OCTOBER]]&gt;100,"P")</f>
        <v/>
      </c>
      <c r="D3" t="s">
        <v>25</v>
      </c>
      <c r="E3" s="44" t="s">
        <v>398</v>
      </c>
      <c r="F3" s="44" t="s">
        <v>399</v>
      </c>
      <c r="O3" s="70"/>
      <c r="R3" s="17"/>
      <c r="S3" s="17"/>
      <c r="T3" s="44"/>
    </row>
    <row r="4" spans="1:20" x14ac:dyDescent="0.25">
      <c r="A4">
        <v>3</v>
      </c>
      <c r="B4" t="s">
        <v>400</v>
      </c>
      <c r="C4" s="63" t="str" cm="1">
        <f t="array" ref="C4">_xlfn.IFS(subramaniyasiva[[#This Row],[OCTOBER]]="M","M",subramaniyasiva[[#This Row],[OCTOBER]]="A","A",subramaniyasiva[[#This Row],[OCTOBER]]="","",subramaniyasiva[[#This Row],[OCTOBER]]&gt;100,"P")</f>
        <v/>
      </c>
      <c r="D4" t="s">
        <v>401</v>
      </c>
      <c r="E4" s="44" t="s">
        <v>402</v>
      </c>
      <c r="F4" s="44" t="s">
        <v>403</v>
      </c>
      <c r="O4" s="70">
        <v>250</v>
      </c>
      <c r="R4" s="17"/>
      <c r="S4" s="17"/>
      <c r="T4" s="44"/>
    </row>
    <row r="5" spans="1:20" x14ac:dyDescent="0.25">
      <c r="A5">
        <v>4</v>
      </c>
      <c r="B5" t="s">
        <v>404</v>
      </c>
      <c r="C5" s="63" t="str" cm="1">
        <f t="array" ref="C5">_xlfn.IFS(subramaniyasiva[[#This Row],[OCTOBER]]="M","M",subramaniyasiva[[#This Row],[OCTOBER]]="A","A",subramaniyasiva[[#This Row],[OCTOBER]]="","",subramaniyasiva[[#This Row],[OCTOBER]]&gt;100,"P")</f>
        <v/>
      </c>
      <c r="E5" s="44"/>
      <c r="F5" s="44"/>
      <c r="O5" s="70"/>
      <c r="R5" s="17"/>
      <c r="S5" s="17"/>
      <c r="T5" s="44"/>
    </row>
    <row r="6" spans="1:20" x14ac:dyDescent="0.25">
      <c r="A6">
        <v>5</v>
      </c>
      <c r="B6" t="s">
        <v>405</v>
      </c>
      <c r="C6" s="63" t="str" cm="1">
        <f t="array" ref="C6">_xlfn.IFS(subramaniyasiva[[#This Row],[OCTOBER]]="M","M",subramaniyasiva[[#This Row],[OCTOBER]]="A","A",subramaniyasiva[[#This Row],[OCTOBER]]="","",subramaniyasiva[[#This Row],[OCTOBER]]&gt;100,"P")</f>
        <v/>
      </c>
      <c r="D6" t="s">
        <v>78</v>
      </c>
      <c r="E6" s="44" t="s">
        <v>406</v>
      </c>
      <c r="F6" s="44" t="s">
        <v>407</v>
      </c>
      <c r="O6" s="70">
        <v>300</v>
      </c>
      <c r="R6" s="17"/>
      <c r="S6" s="17"/>
      <c r="T6" s="44"/>
    </row>
    <row r="7" spans="1:20" x14ac:dyDescent="0.25">
      <c r="A7">
        <v>6</v>
      </c>
      <c r="B7" t="s">
        <v>408</v>
      </c>
      <c r="C7" s="63" t="str" cm="1">
        <f t="array" ref="C7">_xlfn.IFS(subramaniyasiva[[#This Row],[OCTOBER]]="M","M",subramaniyasiva[[#This Row],[OCTOBER]]="A","A",subramaniyasiva[[#This Row],[OCTOBER]]="","",subramaniyasiva[[#This Row],[OCTOBER]]&gt;100,"P")</f>
        <v/>
      </c>
      <c r="D7" t="s">
        <v>409</v>
      </c>
      <c r="E7" s="44" t="s">
        <v>410</v>
      </c>
      <c r="F7" s="44" t="s">
        <v>411</v>
      </c>
      <c r="O7" s="70">
        <v>200</v>
      </c>
      <c r="R7" s="17"/>
      <c r="S7" s="17"/>
      <c r="T7" s="44"/>
    </row>
    <row r="8" spans="1:20" x14ac:dyDescent="0.25">
      <c r="A8">
        <v>7</v>
      </c>
      <c r="B8" t="s">
        <v>412</v>
      </c>
      <c r="C8" s="63" t="str" cm="1">
        <f t="array" ref="C8">_xlfn.IFS(subramaniyasiva[[#This Row],[OCTOBER]]="M","M",subramaniyasiva[[#This Row],[OCTOBER]]="A","A",subramaniyasiva[[#This Row],[OCTOBER]]="","",subramaniyasiva[[#This Row],[OCTOBER]]&gt;100,"P")</f>
        <v/>
      </c>
      <c r="D8" t="s">
        <v>21</v>
      </c>
      <c r="E8" s="44" t="s">
        <v>413</v>
      </c>
      <c r="F8" s="44" t="s">
        <v>414</v>
      </c>
      <c r="O8" s="70">
        <v>200</v>
      </c>
      <c r="Q8" s="61"/>
      <c r="S8" s="17"/>
      <c r="T8" s="17"/>
    </row>
    <row r="9" spans="1:20" x14ac:dyDescent="0.25">
      <c r="A9">
        <v>8</v>
      </c>
      <c r="B9" t="s">
        <v>415</v>
      </c>
      <c r="C9" s="63" t="str" cm="1">
        <f t="array" ref="C9">_xlfn.IFS(subramaniyasiva[[#This Row],[OCTOBER]]="M","M",subramaniyasiva[[#This Row],[OCTOBER]]="A","A",subramaniyasiva[[#This Row],[OCTOBER]]="","",subramaniyasiva[[#This Row],[OCTOBER]]&gt;100,"P")</f>
        <v/>
      </c>
      <c r="D9" t="s">
        <v>21</v>
      </c>
      <c r="E9" s="44" t="s">
        <v>416</v>
      </c>
      <c r="F9" s="44" t="s">
        <v>417</v>
      </c>
      <c r="O9" s="70">
        <v>200</v>
      </c>
      <c r="Q9" s="61"/>
      <c r="S9" s="17"/>
      <c r="T9" s="17"/>
    </row>
    <row r="10" spans="1:20" x14ac:dyDescent="0.25">
      <c r="A10">
        <v>9</v>
      </c>
      <c r="B10" t="s">
        <v>418</v>
      </c>
      <c r="C10" s="63" t="str" cm="1">
        <f t="array" ref="C10">_xlfn.IFS(subramaniyasiva[[#This Row],[OCTOBER]]="M","M",subramaniyasiva[[#This Row],[OCTOBER]]="A","A",subramaniyasiva[[#This Row],[OCTOBER]]="","",subramaniyasiva[[#This Row],[OCTOBER]]&gt;100,"P")</f>
        <v/>
      </c>
      <c r="D10" t="s">
        <v>35</v>
      </c>
      <c r="E10" s="44" t="s">
        <v>419</v>
      </c>
      <c r="F10" s="44" t="s">
        <v>420</v>
      </c>
      <c r="O10" s="70">
        <v>200</v>
      </c>
      <c r="Q10" s="61"/>
      <c r="S10" s="17"/>
      <c r="T10" s="17"/>
    </row>
    <row r="11" spans="1:20" x14ac:dyDescent="0.25">
      <c r="A11">
        <v>10</v>
      </c>
      <c r="B11" t="s">
        <v>421</v>
      </c>
      <c r="C11" s="63" t="str" cm="1">
        <f t="array" ref="C11">_xlfn.IFS(subramaniyasiva[[#This Row],[OCTOBER]]="M","M",subramaniyasiva[[#This Row],[OCTOBER]]="A","A",subramaniyasiva[[#This Row],[OCTOBER]]="","",subramaniyasiva[[#This Row],[OCTOBER]]&gt;100,"P")</f>
        <v/>
      </c>
      <c r="D11" t="s">
        <v>78</v>
      </c>
      <c r="E11" s="44" t="s">
        <v>95</v>
      </c>
      <c r="F11" s="44" t="s">
        <v>96</v>
      </c>
      <c r="O11" s="70">
        <v>200</v>
      </c>
      <c r="Q11" s="61"/>
      <c r="S11" s="17"/>
      <c r="T11" s="17"/>
    </row>
    <row r="12" spans="1:20" x14ac:dyDescent="0.25">
      <c r="A12">
        <v>11</v>
      </c>
      <c r="B12" t="s">
        <v>422</v>
      </c>
      <c r="C12" s="63" t="str" cm="1">
        <f t="array" ref="C12">_xlfn.IFS(subramaniyasiva[[#This Row],[OCTOBER]]="M","M",subramaniyasiva[[#This Row],[OCTOBER]]="A","A",subramaniyasiva[[#This Row],[OCTOBER]]="","",subramaniyasiva[[#This Row],[OCTOBER]]&gt;100,"P")</f>
        <v/>
      </c>
      <c r="D12" t="s">
        <v>242</v>
      </c>
      <c r="E12" s="44" t="s">
        <v>423</v>
      </c>
      <c r="F12" s="44" t="s">
        <v>424</v>
      </c>
      <c r="O12" s="70">
        <v>200</v>
      </c>
      <c r="Q12" s="61"/>
      <c r="S12" s="17"/>
      <c r="T12" s="17"/>
    </row>
    <row r="13" spans="1:20" x14ac:dyDescent="0.25">
      <c r="A13">
        <v>12</v>
      </c>
      <c r="B13" t="s">
        <v>425</v>
      </c>
      <c r="C13" s="63" t="str" cm="1">
        <f t="array" ref="C13">_xlfn.IFS(subramaniyasiva[[#This Row],[OCTOBER]]="M","M",subramaniyasiva[[#This Row],[OCTOBER]]="A","A",subramaniyasiva[[#This Row],[OCTOBER]]="","",subramaniyasiva[[#This Row],[OCTOBER]]&gt;100,"P")</f>
        <v/>
      </c>
      <c r="E13" s="44"/>
      <c r="F13" s="44"/>
      <c r="O13" s="70">
        <v>800</v>
      </c>
      <c r="Q13" s="61"/>
      <c r="S13" s="17"/>
      <c r="T13" s="17"/>
    </row>
    <row r="14" spans="1:20" x14ac:dyDescent="0.25">
      <c r="A14">
        <v>13</v>
      </c>
      <c r="B14" t="s">
        <v>418</v>
      </c>
      <c r="C14" s="63" t="str" cm="1">
        <f t="array" ref="C14">_xlfn.IFS(subramaniyasiva[[#This Row],[OCTOBER]]="M","M",subramaniyasiva[[#This Row],[OCTOBER]]="A","A",subramaniyasiva[[#This Row],[OCTOBER]]="","",subramaniyasiva[[#This Row],[OCTOBER]]&gt;100,"P")</f>
        <v/>
      </c>
      <c r="D14" t="s">
        <v>25</v>
      </c>
      <c r="E14" s="44" t="s">
        <v>426</v>
      </c>
      <c r="F14" s="44" t="s">
        <v>427</v>
      </c>
      <c r="O14" s="70">
        <v>200</v>
      </c>
      <c r="Q14" s="61"/>
      <c r="S14" s="17"/>
      <c r="T14" s="17"/>
    </row>
    <row r="15" spans="1:20" x14ac:dyDescent="0.25">
      <c r="A15">
        <v>14</v>
      </c>
      <c r="B15" t="s">
        <v>428</v>
      </c>
      <c r="C15" s="63" t="str" cm="1">
        <f t="array" ref="C15">_xlfn.IFS(subramaniyasiva[[#This Row],[OCTOBER]]="M","M",subramaniyasiva[[#This Row],[OCTOBER]]="A","A",subramaniyasiva[[#This Row],[OCTOBER]]="","",subramaniyasiva[[#This Row],[OCTOBER]]&gt;100,"P")</f>
        <v/>
      </c>
      <c r="D15" t="s">
        <v>78</v>
      </c>
      <c r="E15" s="44" t="s">
        <v>429</v>
      </c>
      <c r="F15" s="44" t="s">
        <v>430</v>
      </c>
      <c r="O15" s="70">
        <v>200</v>
      </c>
      <c r="Q15" s="61"/>
      <c r="S15" s="17"/>
      <c r="T15" s="17"/>
    </row>
    <row r="16" spans="1:20" x14ac:dyDescent="0.25">
      <c r="A16">
        <v>15</v>
      </c>
      <c r="B16" t="s">
        <v>60</v>
      </c>
      <c r="C16" s="63" t="str" cm="1">
        <f t="array" ref="C16">_xlfn.IFS(subramaniyasiva[[#This Row],[OCTOBER]]="M","M",subramaniyasiva[[#This Row],[OCTOBER]]="A","A",subramaniyasiva[[#This Row],[OCTOBER]]="","",subramaniyasiva[[#This Row],[OCTOBER]]&gt;100,"P")</f>
        <v/>
      </c>
      <c r="D16" t="s">
        <v>25</v>
      </c>
      <c r="E16" s="44" t="s">
        <v>431</v>
      </c>
      <c r="F16" s="44" t="s">
        <v>432</v>
      </c>
      <c r="O16" s="70">
        <v>230</v>
      </c>
      <c r="Q16" s="61"/>
      <c r="S16" s="17"/>
      <c r="T16" s="17"/>
    </row>
    <row r="17" spans="1:20" x14ac:dyDescent="0.25">
      <c r="A17">
        <v>16</v>
      </c>
      <c r="B17" t="s">
        <v>433</v>
      </c>
      <c r="C17" s="63" t="str" cm="1">
        <f t="array" ref="C17">_xlfn.IFS(subramaniyasiva[[#This Row],[OCTOBER]]="M","M",subramaniyasiva[[#This Row],[OCTOBER]]="A","A",subramaniyasiva[[#This Row],[OCTOBER]]="","",subramaniyasiva[[#This Row],[OCTOBER]]&gt;100,"P")</f>
        <v/>
      </c>
      <c r="D17" t="s">
        <v>21</v>
      </c>
      <c r="E17" s="44" t="s">
        <v>434</v>
      </c>
      <c r="F17" s="44" t="s">
        <v>435</v>
      </c>
      <c r="O17" s="70"/>
      <c r="Q17" s="61"/>
      <c r="S17" s="17"/>
      <c r="T17" s="17"/>
    </row>
    <row r="18" spans="1:20" x14ac:dyDescent="0.25">
      <c r="A18">
        <v>17</v>
      </c>
      <c r="B18" t="s">
        <v>436</v>
      </c>
      <c r="C18" s="63" t="str" cm="1">
        <f t="array" ref="C18">_xlfn.IFS(subramaniyasiva[[#This Row],[OCTOBER]]="M","M",subramaniyasiva[[#This Row],[OCTOBER]]="A","A",subramaniyasiva[[#This Row],[OCTOBER]]="","",subramaniyasiva[[#This Row],[OCTOBER]]&gt;100,"P")</f>
        <v/>
      </c>
      <c r="D18" t="s">
        <v>21</v>
      </c>
      <c r="E18" s="44" t="s">
        <v>437</v>
      </c>
      <c r="F18" s="44" t="s">
        <v>438</v>
      </c>
      <c r="O18" s="70">
        <v>200</v>
      </c>
      <c r="Q18" s="61"/>
      <c r="S18" s="17"/>
      <c r="T18" s="17"/>
    </row>
    <row r="19" spans="1:20" x14ac:dyDescent="0.25">
      <c r="A19">
        <v>18</v>
      </c>
      <c r="B19" t="s">
        <v>439</v>
      </c>
      <c r="C19" s="63" t="str" cm="1">
        <f t="array" ref="C19">_xlfn.IFS(subramaniyasiva[[#This Row],[OCTOBER]]="M","M",subramaniyasiva[[#This Row],[OCTOBER]]="A","A",subramaniyasiva[[#This Row],[OCTOBER]]="","",subramaniyasiva[[#This Row],[OCTOBER]]&gt;100,"P")</f>
        <v/>
      </c>
      <c r="D19" t="s">
        <v>21</v>
      </c>
      <c r="E19" s="44" t="s">
        <v>440</v>
      </c>
      <c r="F19" s="44" t="s">
        <v>441</v>
      </c>
      <c r="O19" s="70">
        <v>200</v>
      </c>
      <c r="Q19" s="61"/>
      <c r="S19" s="17"/>
      <c r="T19" s="17"/>
    </row>
    <row r="20" spans="1:20" x14ac:dyDescent="0.25">
      <c r="A20">
        <v>19</v>
      </c>
      <c r="B20" t="s">
        <v>442</v>
      </c>
      <c r="C20" s="63" t="str" cm="1">
        <f t="array" ref="C20">_xlfn.IFS(subramaniyasiva[[#This Row],[OCTOBER]]="M","M",subramaniyasiva[[#This Row],[OCTOBER]]="A","A",subramaniyasiva[[#This Row],[OCTOBER]]="","",subramaniyasiva[[#This Row],[OCTOBER]]&gt;100,"P")</f>
        <v/>
      </c>
      <c r="E20" s="44" t="s">
        <v>2401</v>
      </c>
      <c r="F20" s="44"/>
      <c r="O20" s="70"/>
      <c r="Q20" s="61"/>
      <c r="S20" s="17"/>
      <c r="T20" s="17"/>
    </row>
    <row r="21" spans="1:20" x14ac:dyDescent="0.25">
      <c r="A21">
        <v>20</v>
      </c>
      <c r="B21" t="s">
        <v>443</v>
      </c>
      <c r="C21" s="63" t="str" cm="1">
        <f t="array" ref="C21">_xlfn.IFS(subramaniyasiva[[#This Row],[OCTOBER]]="M","M",subramaniyasiva[[#This Row],[OCTOBER]]="A","A",subramaniyasiva[[#This Row],[OCTOBER]]="","",subramaniyasiva[[#This Row],[OCTOBER]]&gt;100,"P")</f>
        <v/>
      </c>
      <c r="D21" t="s">
        <v>35</v>
      </c>
      <c r="E21" s="44" t="s">
        <v>444</v>
      </c>
      <c r="F21" s="44" t="s">
        <v>445</v>
      </c>
      <c r="O21" s="70" t="s">
        <v>321</v>
      </c>
      <c r="Q21" s="61"/>
      <c r="S21" s="17"/>
      <c r="T21" s="17"/>
    </row>
    <row r="22" spans="1:20" x14ac:dyDescent="0.25">
      <c r="A22">
        <v>21</v>
      </c>
      <c r="B22" t="s">
        <v>446</v>
      </c>
      <c r="C22" s="63" t="str" cm="1">
        <f t="array" ref="C22">_xlfn.IFS(subramaniyasiva[[#This Row],[OCTOBER]]="M","M",subramaniyasiva[[#This Row],[OCTOBER]]="A","A",subramaniyasiva[[#This Row],[OCTOBER]]="","",subramaniyasiva[[#This Row],[OCTOBER]]&gt;100,"P")</f>
        <v/>
      </c>
      <c r="D22" t="s">
        <v>35</v>
      </c>
      <c r="E22" s="44" t="s">
        <v>447</v>
      </c>
      <c r="F22" s="44" t="s">
        <v>448</v>
      </c>
      <c r="O22" s="70" t="s">
        <v>321</v>
      </c>
      <c r="Q22" s="61"/>
      <c r="S22" s="17"/>
      <c r="T22" s="17"/>
    </row>
    <row r="23" spans="1:20" x14ac:dyDescent="0.25">
      <c r="A23">
        <v>22</v>
      </c>
      <c r="B23" t="s">
        <v>449</v>
      </c>
      <c r="C23" s="63" t="str" cm="1">
        <f t="array" ref="C23">_xlfn.IFS(subramaniyasiva[[#This Row],[OCTOBER]]="M","M",subramaniyasiva[[#This Row],[OCTOBER]]="A","A",subramaniyasiva[[#This Row],[OCTOBER]]="","",subramaniyasiva[[#This Row],[OCTOBER]]&gt;100,"P")</f>
        <v/>
      </c>
      <c r="D23" t="s">
        <v>78</v>
      </c>
      <c r="E23" s="44" t="s">
        <v>450</v>
      </c>
      <c r="F23" s="44" t="s">
        <v>451</v>
      </c>
      <c r="O23" s="70" t="s">
        <v>321</v>
      </c>
      <c r="Q23" s="61"/>
      <c r="S23" s="17"/>
      <c r="T23" s="17"/>
    </row>
    <row r="24" spans="1:20" x14ac:dyDescent="0.25">
      <c r="A24">
        <v>23</v>
      </c>
      <c r="B24" t="s">
        <v>452</v>
      </c>
      <c r="C24" s="63" t="str" cm="1">
        <f t="array" ref="C24">_xlfn.IFS(subramaniyasiva[[#This Row],[OCTOBER]]="M","M",subramaniyasiva[[#This Row],[OCTOBER]]="A","A",subramaniyasiva[[#This Row],[OCTOBER]]="","",subramaniyasiva[[#This Row],[OCTOBER]]&gt;100,"P")</f>
        <v/>
      </c>
      <c r="D24" t="s">
        <v>242</v>
      </c>
      <c r="E24" s="44" t="s">
        <v>453</v>
      </c>
      <c r="F24" s="44" t="s">
        <v>454</v>
      </c>
      <c r="O24" s="70">
        <v>200</v>
      </c>
      <c r="Q24" s="61"/>
      <c r="S24" s="17"/>
      <c r="T24" s="17"/>
    </row>
    <row r="25" spans="1:20" x14ac:dyDescent="0.25">
      <c r="A25">
        <v>24</v>
      </c>
      <c r="B25" t="s">
        <v>455</v>
      </c>
      <c r="C25" s="63" t="str" cm="1">
        <f t="array" ref="C25">_xlfn.IFS(subramaniyasiva[[#This Row],[OCTOBER]]="M","M",subramaniyasiva[[#This Row],[OCTOBER]]="A","A",subramaniyasiva[[#This Row],[OCTOBER]]="","",subramaniyasiva[[#This Row],[OCTOBER]]&gt;100,"P")</f>
        <v/>
      </c>
      <c r="D25" t="s">
        <v>78</v>
      </c>
      <c r="E25" s="44" t="s">
        <v>456</v>
      </c>
      <c r="F25" s="44" t="s">
        <v>457</v>
      </c>
      <c r="O25" s="70">
        <v>200</v>
      </c>
      <c r="Q25" s="61"/>
      <c r="S25" s="17"/>
      <c r="T25" s="17"/>
    </row>
    <row r="26" spans="1:20" x14ac:dyDescent="0.25">
      <c r="A26">
        <v>25</v>
      </c>
      <c r="B26" t="s">
        <v>458</v>
      </c>
      <c r="C26" s="63" t="str" cm="1">
        <f t="array" ref="C26">_xlfn.IFS(subramaniyasiva[[#This Row],[OCTOBER]]="M","M",subramaniyasiva[[#This Row],[OCTOBER]]="A","A",subramaniyasiva[[#This Row],[OCTOBER]]="","",subramaniyasiva[[#This Row],[OCTOBER]]&gt;100,"P")</f>
        <v/>
      </c>
      <c r="D26" t="s">
        <v>25</v>
      </c>
      <c r="E26" s="44" t="s">
        <v>459</v>
      </c>
      <c r="F26" s="44" t="s">
        <v>460</v>
      </c>
      <c r="O26" s="70" t="s">
        <v>321</v>
      </c>
      <c r="Q26" s="61"/>
      <c r="S26" s="17"/>
      <c r="T26" s="17"/>
    </row>
    <row r="27" spans="1:20" x14ac:dyDescent="0.25">
      <c r="A27">
        <v>26</v>
      </c>
      <c r="B27" t="s">
        <v>461</v>
      </c>
      <c r="C27" s="63" t="str" cm="1">
        <f t="array" ref="C27">_xlfn.IFS(subramaniyasiva[[#This Row],[OCTOBER]]="M","M",subramaniyasiva[[#This Row],[OCTOBER]]="A","A",subramaniyasiva[[#This Row],[OCTOBER]]="","",subramaniyasiva[[#This Row],[OCTOBER]]&gt;100,"P")</f>
        <v/>
      </c>
      <c r="D27" t="s">
        <v>21</v>
      </c>
      <c r="E27" s="44" t="s">
        <v>462</v>
      </c>
      <c r="F27" s="44" t="s">
        <v>463</v>
      </c>
      <c r="O27" s="70" t="s">
        <v>321</v>
      </c>
      <c r="Q27" s="61"/>
      <c r="S27" s="17"/>
      <c r="T27" s="17"/>
    </row>
    <row r="28" spans="1:20" x14ac:dyDescent="0.25">
      <c r="A28">
        <v>27</v>
      </c>
      <c r="B28" t="s">
        <v>464</v>
      </c>
      <c r="C28" s="63" t="str" cm="1">
        <f t="array" ref="C28">_xlfn.IFS(subramaniyasiva[[#This Row],[OCTOBER]]="M","M",subramaniyasiva[[#This Row],[OCTOBER]]="A","A",subramaniyasiva[[#This Row],[OCTOBER]]="","",subramaniyasiva[[#This Row],[OCTOBER]]&gt;100,"P")</f>
        <v/>
      </c>
      <c r="D28" t="s">
        <v>21</v>
      </c>
      <c r="E28" s="44" t="s">
        <v>465</v>
      </c>
      <c r="F28" s="44" t="s">
        <v>466</v>
      </c>
      <c r="O28" s="70">
        <v>200</v>
      </c>
      <c r="Q28" s="61"/>
      <c r="S28" s="17"/>
      <c r="T28" s="17"/>
    </row>
    <row r="29" spans="1:20" x14ac:dyDescent="0.25">
      <c r="A29">
        <v>28</v>
      </c>
      <c r="B29" t="s">
        <v>312</v>
      </c>
      <c r="C29" s="63" t="str" cm="1">
        <f t="array" ref="C29">_xlfn.IFS(subramaniyasiva[[#This Row],[OCTOBER]]="M","M",subramaniyasiva[[#This Row],[OCTOBER]]="A","A",subramaniyasiva[[#This Row],[OCTOBER]]="","",subramaniyasiva[[#This Row],[OCTOBER]]&gt;100,"P")</f>
        <v/>
      </c>
      <c r="D29" t="s">
        <v>25</v>
      </c>
      <c r="E29" s="44" t="s">
        <v>467</v>
      </c>
      <c r="F29" s="44" t="s">
        <v>468</v>
      </c>
      <c r="O29" s="70">
        <v>500</v>
      </c>
      <c r="Q29" s="61"/>
      <c r="S29" s="17"/>
      <c r="T29" s="17"/>
    </row>
    <row r="30" spans="1:20" x14ac:dyDescent="0.25">
      <c r="A30">
        <v>29</v>
      </c>
      <c r="B30" t="s">
        <v>469</v>
      </c>
      <c r="C30" s="63" t="str" cm="1">
        <f t="array" ref="C30">_xlfn.IFS(subramaniyasiva[[#This Row],[OCTOBER]]="M","M",subramaniyasiva[[#This Row],[OCTOBER]]="A","A",subramaniyasiva[[#This Row],[OCTOBER]]="","",subramaniyasiva[[#This Row],[OCTOBER]]&gt;100,"P")</f>
        <v/>
      </c>
      <c r="D30" t="s">
        <v>25</v>
      </c>
      <c r="E30" s="44" t="s">
        <v>470</v>
      </c>
      <c r="F30" s="44" t="s">
        <v>471</v>
      </c>
      <c r="O30" s="70">
        <v>200</v>
      </c>
      <c r="Q30" s="61"/>
      <c r="S30" s="17"/>
      <c r="T30" s="17"/>
    </row>
    <row r="31" spans="1:20" x14ac:dyDescent="0.25">
      <c r="A31">
        <v>30</v>
      </c>
      <c r="B31" t="s">
        <v>472</v>
      </c>
      <c r="C31" s="63" t="str" cm="1">
        <f t="array" ref="C31">_xlfn.IFS(subramaniyasiva[[#This Row],[OCTOBER]]="M","M",subramaniyasiva[[#This Row],[OCTOBER]]="A","A",subramaniyasiva[[#This Row],[OCTOBER]]="","",subramaniyasiva[[#This Row],[OCTOBER]]&gt;100,"P")</f>
        <v/>
      </c>
      <c r="D31" t="s">
        <v>35</v>
      </c>
      <c r="E31" s="44" t="s">
        <v>473</v>
      </c>
      <c r="F31" s="44" t="s">
        <v>474</v>
      </c>
      <c r="O31" s="70">
        <v>200</v>
      </c>
      <c r="Q31" s="61"/>
      <c r="S31" s="17"/>
      <c r="T31" s="17"/>
    </row>
    <row r="32" spans="1:20" x14ac:dyDescent="0.25">
      <c r="A32">
        <v>31</v>
      </c>
      <c r="B32" t="s">
        <v>475</v>
      </c>
      <c r="C32" s="63" t="str" cm="1">
        <f t="array" ref="C32">_xlfn.IFS(subramaniyasiva[[#This Row],[OCTOBER]]="M","M",subramaniyasiva[[#This Row],[OCTOBER]]="A","A",subramaniyasiva[[#This Row],[OCTOBER]]="","",subramaniyasiva[[#This Row],[OCTOBER]]&gt;100,"P")</f>
        <v/>
      </c>
      <c r="D32" t="s">
        <v>35</v>
      </c>
      <c r="E32" s="44" t="s">
        <v>476</v>
      </c>
      <c r="F32" s="44" t="s">
        <v>477</v>
      </c>
      <c r="O32" s="70">
        <v>200</v>
      </c>
      <c r="Q32" s="61"/>
      <c r="S32" s="17"/>
      <c r="T32" s="17"/>
    </row>
    <row r="33" spans="1:20" x14ac:dyDescent="0.25">
      <c r="A33">
        <v>32</v>
      </c>
      <c r="B33" t="s">
        <v>478</v>
      </c>
      <c r="C33" s="63" t="str" cm="1">
        <f t="array" ref="C33">_xlfn.IFS(subramaniyasiva[[#This Row],[OCTOBER]]="M","M",subramaniyasiva[[#This Row],[OCTOBER]]="A","A",subramaniyasiva[[#This Row],[OCTOBER]]="","",subramaniyasiva[[#This Row],[OCTOBER]]&gt;100,"P")</f>
        <v/>
      </c>
      <c r="E33" s="44" t="s">
        <v>479</v>
      </c>
      <c r="F33" s="44" t="s">
        <v>480</v>
      </c>
      <c r="O33" s="70"/>
      <c r="Q33" s="61"/>
      <c r="S33" s="17"/>
      <c r="T33" s="17"/>
    </row>
    <row r="34" spans="1:20" x14ac:dyDescent="0.25">
      <c r="A34">
        <v>33</v>
      </c>
      <c r="B34" t="s">
        <v>481</v>
      </c>
      <c r="C34" s="63" t="str" cm="1">
        <f t="array" ref="C34">_xlfn.IFS(subramaniyasiva[[#This Row],[OCTOBER]]="M","M",subramaniyasiva[[#This Row],[OCTOBER]]="A","A",subramaniyasiva[[#This Row],[OCTOBER]]="","",subramaniyasiva[[#This Row],[OCTOBER]]&gt;100,"P")</f>
        <v/>
      </c>
      <c r="D34" t="s">
        <v>482</v>
      </c>
      <c r="E34" s="44" t="s">
        <v>483</v>
      </c>
      <c r="F34" s="44" t="s">
        <v>484</v>
      </c>
      <c r="O34" s="70">
        <v>200</v>
      </c>
      <c r="Q34" s="61"/>
      <c r="S34" s="17"/>
      <c r="T34" s="17"/>
    </row>
    <row r="35" spans="1:20" x14ac:dyDescent="0.25">
      <c r="A35">
        <v>34</v>
      </c>
      <c r="B35" t="s">
        <v>485</v>
      </c>
      <c r="C35" s="63" t="str" cm="1">
        <f t="array" ref="C35">_xlfn.IFS(subramaniyasiva[[#This Row],[OCTOBER]]="M","M",subramaniyasiva[[#This Row],[OCTOBER]]="A","A",subramaniyasiva[[#This Row],[OCTOBER]]="","",subramaniyasiva[[#This Row],[OCTOBER]]&gt;100,"P")</f>
        <v/>
      </c>
      <c r="D35" t="s">
        <v>35</v>
      </c>
      <c r="E35" s="44" t="s">
        <v>486</v>
      </c>
      <c r="F35" s="44" t="s">
        <v>487</v>
      </c>
      <c r="O35" s="70" t="s">
        <v>321</v>
      </c>
      <c r="Q35" s="61"/>
      <c r="S35" s="17"/>
      <c r="T35" s="17"/>
    </row>
    <row r="36" spans="1:20" x14ac:dyDescent="0.25">
      <c r="A36">
        <v>35</v>
      </c>
      <c r="B36" t="s">
        <v>488</v>
      </c>
      <c r="C36" s="63" t="str" cm="1">
        <f t="array" ref="C36">_xlfn.IFS(subramaniyasiva[[#This Row],[OCTOBER]]="M","M",subramaniyasiva[[#This Row],[OCTOBER]]="A","A",subramaniyasiva[[#This Row],[OCTOBER]]="","",subramaniyasiva[[#This Row],[OCTOBER]]&gt;100,"P")</f>
        <v/>
      </c>
      <c r="D36" t="s">
        <v>35</v>
      </c>
      <c r="E36" s="44" t="s">
        <v>489</v>
      </c>
      <c r="F36" s="44" t="s">
        <v>490</v>
      </c>
      <c r="O36" s="70" t="s">
        <v>321</v>
      </c>
      <c r="Q36" s="61"/>
      <c r="S36" s="17"/>
      <c r="T36" s="17"/>
    </row>
    <row r="37" spans="1:20" x14ac:dyDescent="0.25">
      <c r="A37">
        <v>36</v>
      </c>
      <c r="B37" t="s">
        <v>491</v>
      </c>
      <c r="C37" s="63" t="str" cm="1">
        <f t="array" ref="C37">_xlfn.IFS(subramaniyasiva[[#This Row],[OCTOBER]]="M","M",subramaniyasiva[[#This Row],[OCTOBER]]="A","A",subramaniyasiva[[#This Row],[OCTOBER]]="","",subramaniyasiva[[#This Row],[OCTOBER]]&gt;100,"P")</f>
        <v/>
      </c>
      <c r="D37" t="s">
        <v>35</v>
      </c>
      <c r="E37" s="44" t="s">
        <v>492</v>
      </c>
      <c r="F37" s="44" t="s">
        <v>493</v>
      </c>
      <c r="O37" s="70">
        <v>200</v>
      </c>
      <c r="Q37" s="61"/>
      <c r="S37" s="17"/>
      <c r="T37" s="17"/>
    </row>
    <row r="38" spans="1:20" x14ac:dyDescent="0.25">
      <c r="A38">
        <v>37</v>
      </c>
      <c r="B38" t="s">
        <v>494</v>
      </c>
      <c r="C38" s="63" t="str" cm="1">
        <f t="array" ref="C38">_xlfn.IFS(subramaniyasiva[[#This Row],[OCTOBER]]="M","M",subramaniyasiva[[#This Row],[OCTOBER]]="A","A",subramaniyasiva[[#This Row],[OCTOBER]]="","",subramaniyasiva[[#This Row],[OCTOBER]]&gt;100,"P")</f>
        <v/>
      </c>
      <c r="D38" t="s">
        <v>21</v>
      </c>
      <c r="E38" s="44" t="s">
        <v>495</v>
      </c>
      <c r="F38" s="44" t="s">
        <v>496</v>
      </c>
      <c r="O38" s="70">
        <v>200</v>
      </c>
      <c r="Q38" s="61"/>
      <c r="S38" s="17"/>
      <c r="T38" s="17"/>
    </row>
    <row r="39" spans="1:20" x14ac:dyDescent="0.25">
      <c r="A39">
        <v>38</v>
      </c>
      <c r="B39" t="s">
        <v>227</v>
      </c>
      <c r="C39" s="63" t="str" cm="1">
        <f t="array" ref="C39">_xlfn.IFS(subramaniyasiva[[#This Row],[OCTOBER]]="M","M",subramaniyasiva[[#This Row],[OCTOBER]]="A","A",subramaniyasiva[[#This Row],[OCTOBER]]="","",subramaniyasiva[[#This Row],[OCTOBER]]&gt;100,"P")</f>
        <v/>
      </c>
      <c r="D39" t="s">
        <v>25</v>
      </c>
      <c r="E39" s="44" t="s">
        <v>497</v>
      </c>
      <c r="F39" s="44" t="s">
        <v>498</v>
      </c>
      <c r="O39" s="70"/>
      <c r="Q39" s="61"/>
      <c r="S39" s="17"/>
      <c r="T39" s="17"/>
    </row>
    <row r="40" spans="1:20" x14ac:dyDescent="0.25">
      <c r="A40">
        <v>39</v>
      </c>
      <c r="B40" t="s">
        <v>499</v>
      </c>
      <c r="C40" s="63" t="str" cm="1">
        <f t="array" ref="C40">_xlfn.IFS(subramaniyasiva[[#This Row],[OCTOBER]]="M","M",subramaniyasiva[[#This Row],[OCTOBER]]="A","A",subramaniyasiva[[#This Row],[OCTOBER]]="","",subramaniyasiva[[#This Row],[OCTOBER]]&gt;100,"P")</f>
        <v/>
      </c>
      <c r="D40" t="s">
        <v>78</v>
      </c>
      <c r="E40" s="44" t="s">
        <v>500</v>
      </c>
      <c r="F40" s="44" t="s">
        <v>501</v>
      </c>
      <c r="O40" s="70" t="s">
        <v>321</v>
      </c>
      <c r="Q40" s="61"/>
      <c r="S40" s="17"/>
      <c r="T40" s="17"/>
    </row>
    <row r="41" spans="1:20" x14ac:dyDescent="0.25">
      <c r="A41">
        <v>40</v>
      </c>
      <c r="B41" t="s">
        <v>502</v>
      </c>
      <c r="C41" s="63" t="str" cm="1">
        <f t="array" ref="C41">_xlfn.IFS(subramaniyasiva[[#This Row],[OCTOBER]]="M","M",subramaniyasiva[[#This Row],[OCTOBER]]="A","A",subramaniyasiva[[#This Row],[OCTOBER]]="","",subramaniyasiva[[#This Row],[OCTOBER]]&gt;100,"P")</f>
        <v/>
      </c>
      <c r="D41" t="s">
        <v>35</v>
      </c>
      <c r="E41" s="44" t="s">
        <v>503</v>
      </c>
      <c r="F41" s="44" t="s">
        <v>504</v>
      </c>
      <c r="O41" s="70">
        <v>200</v>
      </c>
      <c r="Q41" s="61"/>
      <c r="S41" s="17"/>
      <c r="T41" s="17"/>
    </row>
    <row r="42" spans="1:20" x14ac:dyDescent="0.25">
      <c r="A42">
        <v>41</v>
      </c>
      <c r="B42" t="s">
        <v>505</v>
      </c>
      <c r="C42" s="63" t="str" cm="1">
        <f t="array" ref="C42">_xlfn.IFS(subramaniyasiva[[#This Row],[OCTOBER]]="M","M",subramaniyasiva[[#This Row],[OCTOBER]]="A","A",subramaniyasiva[[#This Row],[OCTOBER]]="","",subramaniyasiva[[#This Row],[OCTOBER]]&gt;100,"P")</f>
        <v/>
      </c>
      <c r="D42" t="s">
        <v>78</v>
      </c>
      <c r="E42" s="44" t="s">
        <v>506</v>
      </c>
      <c r="F42" s="44" t="s">
        <v>507</v>
      </c>
      <c r="O42" s="70"/>
      <c r="Q42" s="61"/>
      <c r="S42" s="17"/>
      <c r="T42" s="17"/>
    </row>
    <row r="43" spans="1:20" x14ac:dyDescent="0.25">
      <c r="A43">
        <v>42</v>
      </c>
      <c r="B43" t="s">
        <v>508</v>
      </c>
      <c r="C43" s="63" t="str" cm="1">
        <f t="array" ref="C43">_xlfn.IFS(subramaniyasiva[[#This Row],[OCTOBER]]="M","M",subramaniyasiva[[#This Row],[OCTOBER]]="A","A",subramaniyasiva[[#This Row],[OCTOBER]]="","",subramaniyasiva[[#This Row],[OCTOBER]]&gt;100,"P")</f>
        <v/>
      </c>
      <c r="D43" t="s">
        <v>45</v>
      </c>
      <c r="E43" s="44" t="s">
        <v>509</v>
      </c>
      <c r="F43" s="44" t="s">
        <v>510</v>
      </c>
      <c r="O43" s="70" t="s">
        <v>321</v>
      </c>
      <c r="Q43" s="61"/>
      <c r="S43" s="17"/>
      <c r="T43" s="17"/>
    </row>
    <row r="44" spans="1:20" x14ac:dyDescent="0.25">
      <c r="A44">
        <v>43</v>
      </c>
      <c r="B44" t="s">
        <v>511</v>
      </c>
      <c r="C44" s="63" t="str" cm="1">
        <f t="array" ref="C44">_xlfn.IFS(subramaniyasiva[[#This Row],[OCTOBER]]="M","M",subramaniyasiva[[#This Row],[OCTOBER]]="A","A",subramaniyasiva[[#This Row],[OCTOBER]]="","",subramaniyasiva[[#This Row],[OCTOBER]]&gt;100,"P")</f>
        <v/>
      </c>
      <c r="D44" t="s">
        <v>35</v>
      </c>
      <c r="E44" s="44" t="s">
        <v>512</v>
      </c>
      <c r="F44" s="44" t="s">
        <v>513</v>
      </c>
      <c r="O44" s="70" t="s">
        <v>321</v>
      </c>
      <c r="Q44" s="61"/>
      <c r="S44" s="17"/>
      <c r="T44" s="17"/>
    </row>
    <row r="45" spans="1:20" x14ac:dyDescent="0.25">
      <c r="A45">
        <v>44</v>
      </c>
      <c r="B45" t="s">
        <v>514</v>
      </c>
      <c r="C45" s="63" t="str" cm="1">
        <f t="array" ref="C45">_xlfn.IFS(subramaniyasiva[[#This Row],[OCTOBER]]="M","M",subramaniyasiva[[#This Row],[OCTOBER]]="A","A",subramaniyasiva[[#This Row],[OCTOBER]]="","",subramaniyasiva[[#This Row],[OCTOBER]]&gt;100,"P")</f>
        <v/>
      </c>
      <c r="D45" t="s">
        <v>35</v>
      </c>
      <c r="E45" s="44" t="s">
        <v>515</v>
      </c>
      <c r="F45" s="44" t="s">
        <v>516</v>
      </c>
      <c r="O45" s="70"/>
      <c r="Q45" s="61"/>
      <c r="S45" s="17"/>
      <c r="T45" s="17"/>
    </row>
    <row r="46" spans="1:20" x14ac:dyDescent="0.25">
      <c r="A46">
        <v>45</v>
      </c>
      <c r="B46" t="s">
        <v>517</v>
      </c>
      <c r="C46" s="63" t="str" cm="1">
        <f t="array" ref="C46">_xlfn.IFS(subramaniyasiva[[#This Row],[OCTOBER]]="M","M",subramaniyasiva[[#This Row],[OCTOBER]]="A","A",subramaniyasiva[[#This Row],[OCTOBER]]="","",subramaniyasiva[[#This Row],[OCTOBER]]&gt;100,"P")</f>
        <v/>
      </c>
      <c r="D46" t="s">
        <v>25</v>
      </c>
      <c r="E46" s="44" t="s">
        <v>518</v>
      </c>
      <c r="F46" s="44" t="s">
        <v>519</v>
      </c>
      <c r="O46" s="70" t="s">
        <v>321</v>
      </c>
      <c r="Q46" s="61"/>
      <c r="S46" s="17"/>
      <c r="T46" s="17"/>
    </row>
    <row r="47" spans="1:20" x14ac:dyDescent="0.25">
      <c r="A47">
        <v>46</v>
      </c>
      <c r="B47" t="s">
        <v>520</v>
      </c>
      <c r="C47" s="63" t="str" cm="1">
        <f t="array" ref="C47">_xlfn.IFS(subramaniyasiva[[#This Row],[OCTOBER]]="M","M",subramaniyasiva[[#This Row],[OCTOBER]]="A","A",subramaniyasiva[[#This Row],[OCTOBER]]="","",subramaniyasiva[[#This Row],[OCTOBER]]&gt;100,"P")</f>
        <v/>
      </c>
      <c r="D47" t="s">
        <v>21</v>
      </c>
      <c r="E47" s="44" t="s">
        <v>521</v>
      </c>
      <c r="F47" s="44" t="s">
        <v>522</v>
      </c>
      <c r="O47" s="70" t="s">
        <v>321</v>
      </c>
      <c r="Q47" s="61"/>
      <c r="S47" s="17"/>
      <c r="T47" s="17"/>
    </row>
    <row r="48" spans="1:20" x14ac:dyDescent="0.25">
      <c r="A48">
        <v>47</v>
      </c>
      <c r="B48" t="s">
        <v>523</v>
      </c>
      <c r="C48" s="63" t="str" cm="1">
        <f t="array" ref="C48">_xlfn.IFS(subramaniyasiva[[#This Row],[OCTOBER]]="M","M",subramaniyasiva[[#This Row],[OCTOBER]]="A","A",subramaniyasiva[[#This Row],[OCTOBER]]="","",subramaniyasiva[[#This Row],[OCTOBER]]&gt;100,"P")</f>
        <v/>
      </c>
      <c r="D48" t="s">
        <v>78</v>
      </c>
      <c r="E48" s="44" t="s">
        <v>524</v>
      </c>
      <c r="F48" s="44" t="s">
        <v>525</v>
      </c>
      <c r="O48" s="70">
        <v>200</v>
      </c>
      <c r="Q48" s="61"/>
      <c r="S48" s="17"/>
      <c r="T48" s="17"/>
    </row>
    <row r="49" spans="1:20" x14ac:dyDescent="0.25">
      <c r="A49">
        <v>48</v>
      </c>
      <c r="B49" t="s">
        <v>508</v>
      </c>
      <c r="C49" s="63" t="str" cm="1">
        <f t="array" ref="C49">_xlfn.IFS(subramaniyasiva[[#This Row],[OCTOBER]]="M","M",subramaniyasiva[[#This Row],[OCTOBER]]="A","A",subramaniyasiva[[#This Row],[OCTOBER]]="","",subramaniyasiva[[#This Row],[OCTOBER]]&gt;100,"P")</f>
        <v/>
      </c>
      <c r="D49" t="s">
        <v>35</v>
      </c>
      <c r="E49" s="44" t="s">
        <v>526</v>
      </c>
      <c r="F49" s="44" t="s">
        <v>527</v>
      </c>
      <c r="O49" s="70">
        <v>200</v>
      </c>
      <c r="Q49" s="61"/>
      <c r="S49" s="17"/>
      <c r="T49" s="17"/>
    </row>
    <row r="50" spans="1:20" x14ac:dyDescent="0.25">
      <c r="A50">
        <v>49</v>
      </c>
      <c r="B50" t="s">
        <v>528</v>
      </c>
      <c r="C50" s="63" t="str" cm="1">
        <f t="array" ref="C50">_xlfn.IFS(subramaniyasiva[[#This Row],[OCTOBER]]="M","M",subramaniyasiva[[#This Row],[OCTOBER]]="A","A",subramaniyasiva[[#This Row],[OCTOBER]]="","",subramaniyasiva[[#This Row],[OCTOBER]]&gt;100,"P")</f>
        <v/>
      </c>
      <c r="E50" s="44"/>
      <c r="F50" s="44"/>
      <c r="O50" s="70"/>
      <c r="Q50" s="61"/>
      <c r="S50" s="17"/>
      <c r="T50" s="17"/>
    </row>
    <row r="51" spans="1:20" x14ac:dyDescent="0.25">
      <c r="A51">
        <v>50</v>
      </c>
      <c r="B51" t="s">
        <v>233</v>
      </c>
      <c r="C51" s="63" t="str" cm="1">
        <f t="array" ref="C51">_xlfn.IFS(subramaniyasiva[[#This Row],[OCTOBER]]="M","M",subramaniyasiva[[#This Row],[OCTOBER]]="A","A",subramaniyasiva[[#This Row],[OCTOBER]]="","",subramaniyasiva[[#This Row],[OCTOBER]]&gt;100,"P")</f>
        <v/>
      </c>
      <c r="D51" t="s">
        <v>35</v>
      </c>
      <c r="E51" s="44" t="s">
        <v>529</v>
      </c>
      <c r="F51" s="44" t="s">
        <v>530</v>
      </c>
      <c r="O51" s="70">
        <v>200</v>
      </c>
      <c r="Q51" s="61"/>
      <c r="S51" s="17"/>
      <c r="T51" s="17"/>
    </row>
    <row r="52" spans="1:20" x14ac:dyDescent="0.25">
      <c r="A52">
        <v>51</v>
      </c>
      <c r="B52" t="s">
        <v>531</v>
      </c>
      <c r="C52" s="63" t="str" cm="1">
        <f t="array" ref="C52">_xlfn.IFS(subramaniyasiva[[#This Row],[OCTOBER]]="M","M",subramaniyasiva[[#This Row],[OCTOBER]]="A","A",subramaniyasiva[[#This Row],[OCTOBER]]="","",subramaniyasiva[[#This Row],[OCTOBER]]&gt;100,"P")</f>
        <v/>
      </c>
      <c r="D52" t="s">
        <v>78</v>
      </c>
      <c r="E52" s="44" t="s">
        <v>532</v>
      </c>
      <c r="F52" s="44" t="s">
        <v>533</v>
      </c>
      <c r="O52" s="70">
        <v>200</v>
      </c>
      <c r="Q52" s="61"/>
      <c r="S52" s="17"/>
      <c r="T52" s="17"/>
    </row>
    <row r="53" spans="1:20" x14ac:dyDescent="0.25">
      <c r="A53">
        <v>52</v>
      </c>
      <c r="B53" t="s">
        <v>54</v>
      </c>
      <c r="C53" s="63" t="str" cm="1">
        <f t="array" ref="C53">_xlfn.IFS(subramaniyasiva[[#This Row],[OCTOBER]]="M","M",subramaniyasiva[[#This Row],[OCTOBER]]="A","A",subramaniyasiva[[#This Row],[OCTOBER]]="","",subramaniyasiva[[#This Row],[OCTOBER]]&gt;100,"P")</f>
        <v/>
      </c>
      <c r="D53" t="s">
        <v>534</v>
      </c>
      <c r="E53" s="44" t="s">
        <v>535</v>
      </c>
      <c r="F53" s="44" t="s">
        <v>536</v>
      </c>
      <c r="O53" s="70" t="s">
        <v>2395</v>
      </c>
      <c r="Q53" s="61"/>
      <c r="S53" s="17"/>
      <c r="T53" s="17"/>
    </row>
    <row r="54" spans="1:20" x14ac:dyDescent="0.25">
      <c r="A54">
        <v>53</v>
      </c>
      <c r="B54" t="s">
        <v>537</v>
      </c>
      <c r="C54" s="63" t="str" cm="1">
        <f t="array" ref="C54">_xlfn.IFS(subramaniyasiva[[#This Row],[OCTOBER]]="M","M",subramaniyasiva[[#This Row],[OCTOBER]]="A","A",subramaniyasiva[[#This Row],[OCTOBER]]="","",subramaniyasiva[[#This Row],[OCTOBER]]&gt;100,"P")</f>
        <v/>
      </c>
      <c r="D54" t="s">
        <v>25</v>
      </c>
      <c r="E54" s="44" t="s">
        <v>538</v>
      </c>
      <c r="F54" s="44" t="s">
        <v>539</v>
      </c>
      <c r="O54" s="70">
        <v>200</v>
      </c>
      <c r="Q54" s="61"/>
      <c r="S54" s="17"/>
      <c r="T54" s="17"/>
    </row>
    <row r="55" spans="1:20" x14ac:dyDescent="0.25">
      <c r="A55">
        <v>54</v>
      </c>
      <c r="B55" t="s">
        <v>540</v>
      </c>
      <c r="C55" s="63" t="str" cm="1">
        <f t="array" ref="C55">_xlfn.IFS(subramaniyasiva[[#This Row],[OCTOBER]]="M","M",subramaniyasiva[[#This Row],[OCTOBER]]="A","A",subramaniyasiva[[#This Row],[OCTOBER]]="","",subramaniyasiva[[#This Row],[OCTOBER]]&gt;100,"P")</f>
        <v/>
      </c>
      <c r="D55" t="s">
        <v>25</v>
      </c>
      <c r="E55" s="44" t="s">
        <v>541</v>
      </c>
      <c r="F55" s="44" t="s">
        <v>542</v>
      </c>
      <c r="O55" s="70"/>
      <c r="Q55" s="61"/>
      <c r="S55" s="17"/>
      <c r="T55" s="17"/>
    </row>
    <row r="56" spans="1:20" x14ac:dyDescent="0.25">
      <c r="A56">
        <v>55</v>
      </c>
      <c r="B56" t="s">
        <v>543</v>
      </c>
      <c r="C56" s="63" t="str" cm="1">
        <f t="array" ref="C56">_xlfn.IFS(subramaniyasiva[[#This Row],[OCTOBER]]="M","M",subramaniyasiva[[#This Row],[OCTOBER]]="A","A",subramaniyasiva[[#This Row],[OCTOBER]]="","",subramaniyasiva[[#This Row],[OCTOBER]]&gt;100,"P")</f>
        <v/>
      </c>
      <c r="D56" t="s">
        <v>25</v>
      </c>
      <c r="E56" s="44" t="s">
        <v>544</v>
      </c>
      <c r="F56" s="44" t="s">
        <v>545</v>
      </c>
      <c r="O56" s="70" t="s">
        <v>321</v>
      </c>
      <c r="Q56" s="61"/>
      <c r="S56" s="17"/>
      <c r="T56" s="17"/>
    </row>
    <row r="57" spans="1:20" x14ac:dyDescent="0.25">
      <c r="A57">
        <v>56</v>
      </c>
      <c r="B57" t="s">
        <v>546</v>
      </c>
      <c r="C57" s="63" t="str" cm="1">
        <f t="array" ref="C57">_xlfn.IFS(subramaniyasiva[[#This Row],[OCTOBER]]="M","M",subramaniyasiva[[#This Row],[OCTOBER]]="A","A",subramaniyasiva[[#This Row],[OCTOBER]]="","",subramaniyasiva[[#This Row],[OCTOBER]]&gt;100,"P")</f>
        <v/>
      </c>
      <c r="D57" t="s">
        <v>25</v>
      </c>
      <c r="E57" s="44" t="s">
        <v>547</v>
      </c>
      <c r="F57" s="44" t="s">
        <v>548</v>
      </c>
      <c r="O57" s="70"/>
      <c r="Q57" s="61"/>
      <c r="S57" s="17"/>
      <c r="T57" s="17"/>
    </row>
    <row r="58" spans="1:20" x14ac:dyDescent="0.25">
      <c r="A58">
        <v>57</v>
      </c>
      <c r="B58" t="s">
        <v>549</v>
      </c>
      <c r="C58" s="63" t="str" cm="1">
        <f t="array" ref="C58">_xlfn.IFS(subramaniyasiva[[#This Row],[OCTOBER]]="M","M",subramaniyasiva[[#This Row],[OCTOBER]]="A","A",subramaniyasiva[[#This Row],[OCTOBER]]="","",subramaniyasiva[[#This Row],[OCTOBER]]&gt;100,"P")</f>
        <v/>
      </c>
      <c r="D58" t="s">
        <v>78</v>
      </c>
      <c r="E58" s="44" t="s">
        <v>550</v>
      </c>
      <c r="F58" s="44" t="s">
        <v>551</v>
      </c>
      <c r="O58" s="70" t="s">
        <v>321</v>
      </c>
      <c r="Q58" s="61"/>
      <c r="S58" s="17"/>
      <c r="T58" s="17"/>
    </row>
    <row r="59" spans="1:20" x14ac:dyDescent="0.25">
      <c r="A59">
        <v>58</v>
      </c>
      <c r="B59" t="s">
        <v>552</v>
      </c>
      <c r="C59" s="63" t="str" cm="1">
        <f t="array" ref="C59">_xlfn.IFS(subramaniyasiva[[#This Row],[OCTOBER]]="M","M",subramaniyasiva[[#This Row],[OCTOBER]]="A","A",subramaniyasiva[[#This Row],[OCTOBER]]="","",subramaniyasiva[[#This Row],[OCTOBER]]&gt;100,"P")</f>
        <v/>
      </c>
      <c r="D59" s="61" t="s">
        <v>78</v>
      </c>
      <c r="E59" s="44" t="s">
        <v>553</v>
      </c>
      <c r="F59" s="44" t="s">
        <v>554</v>
      </c>
      <c r="O59" s="70"/>
      <c r="Q59" s="61"/>
      <c r="S59" s="17"/>
      <c r="T59" s="17"/>
    </row>
    <row r="60" spans="1:20" x14ac:dyDescent="0.25">
      <c r="A60">
        <v>59</v>
      </c>
      <c r="B60" t="s">
        <v>555</v>
      </c>
      <c r="C60" s="63" t="str" cm="1">
        <f t="array" ref="C60">_xlfn.IFS(subramaniyasiva[[#This Row],[OCTOBER]]="M","M",subramaniyasiva[[#This Row],[OCTOBER]]="A","A",subramaniyasiva[[#This Row],[OCTOBER]]="","",subramaniyasiva[[#This Row],[OCTOBER]]&gt;100,"P")</f>
        <v/>
      </c>
      <c r="D60" t="s">
        <v>35</v>
      </c>
      <c r="E60" s="44" t="s">
        <v>556</v>
      </c>
      <c r="F60" s="44" t="s">
        <v>557</v>
      </c>
      <c r="O60" s="70">
        <v>200</v>
      </c>
      <c r="Q60" s="61"/>
      <c r="S60" s="17"/>
      <c r="T60" s="17"/>
    </row>
    <row r="61" spans="1:20" x14ac:dyDescent="0.25">
      <c r="A61">
        <v>60</v>
      </c>
      <c r="B61" t="s">
        <v>558</v>
      </c>
      <c r="C61" s="63" t="str" cm="1">
        <f t="array" ref="C61">_xlfn.IFS(subramaniyasiva[[#This Row],[OCTOBER]]="M","M",subramaniyasiva[[#This Row],[OCTOBER]]="A","A",subramaniyasiva[[#This Row],[OCTOBER]]="","",subramaniyasiva[[#This Row],[OCTOBER]]&gt;100,"P")</f>
        <v/>
      </c>
      <c r="D61" t="s">
        <v>45</v>
      </c>
      <c r="E61" s="44" t="s">
        <v>559</v>
      </c>
      <c r="F61" s="44" t="s">
        <v>560</v>
      </c>
      <c r="O61" s="70" t="s">
        <v>321</v>
      </c>
      <c r="Q61" s="61"/>
      <c r="S61" s="17"/>
      <c r="T61" s="17"/>
    </row>
    <row r="62" spans="1:20" x14ac:dyDescent="0.25">
      <c r="A62">
        <v>61</v>
      </c>
      <c r="B62" t="s">
        <v>561</v>
      </c>
      <c r="C62" s="63" t="str" cm="1">
        <f t="array" ref="C62">_xlfn.IFS(subramaniyasiva[[#This Row],[OCTOBER]]="M","M",subramaniyasiva[[#This Row],[OCTOBER]]="A","A",subramaniyasiva[[#This Row],[OCTOBER]]="","",subramaniyasiva[[#This Row],[OCTOBER]]&gt;100,"P")</f>
        <v/>
      </c>
      <c r="D62" t="s">
        <v>35</v>
      </c>
      <c r="E62" s="44" t="s">
        <v>562</v>
      </c>
      <c r="F62" s="44" t="s">
        <v>563</v>
      </c>
      <c r="O62" s="70"/>
      <c r="R62" s="17"/>
      <c r="S62" s="17"/>
      <c r="T62" s="44"/>
    </row>
    <row r="63" spans="1:20" x14ac:dyDescent="0.25">
      <c r="A63">
        <v>62</v>
      </c>
      <c r="B63" t="s">
        <v>564</v>
      </c>
      <c r="C63" s="63" t="str" cm="1">
        <f t="array" ref="C63">_xlfn.IFS(subramaniyasiva[[#This Row],[OCTOBER]]="M","M",subramaniyasiva[[#This Row],[OCTOBER]]="A","A",subramaniyasiva[[#This Row],[OCTOBER]]="","",subramaniyasiva[[#This Row],[OCTOBER]]&gt;100,"P")</f>
        <v/>
      </c>
      <c r="D63" t="s">
        <v>25</v>
      </c>
      <c r="E63" s="44" t="s">
        <v>565</v>
      </c>
      <c r="F63" s="44" t="s">
        <v>566</v>
      </c>
      <c r="O63" s="70" t="s">
        <v>291</v>
      </c>
      <c r="R63" s="17"/>
      <c r="S63" s="17"/>
      <c r="T63" s="44"/>
    </row>
    <row r="64" spans="1:20" x14ac:dyDescent="0.25">
      <c r="A64">
        <v>63</v>
      </c>
      <c r="B64" t="s">
        <v>567</v>
      </c>
      <c r="C64" s="63" t="str" cm="1">
        <f t="array" ref="C64">_xlfn.IFS(subramaniyasiva[[#This Row],[OCTOBER]]="M","M",subramaniyasiva[[#This Row],[OCTOBER]]="A","A",subramaniyasiva[[#This Row],[OCTOBER]]="","",subramaniyasiva[[#This Row],[OCTOBER]]&gt;100,"P")</f>
        <v/>
      </c>
      <c r="D64" t="s">
        <v>35</v>
      </c>
      <c r="E64" s="44" t="s">
        <v>568</v>
      </c>
      <c r="F64" s="44" t="s">
        <v>569</v>
      </c>
      <c r="O64" s="70"/>
      <c r="R64" s="17"/>
      <c r="S64" s="17"/>
      <c r="T64" s="44"/>
    </row>
    <row r="65" spans="1:20" x14ac:dyDescent="0.25">
      <c r="A65">
        <v>64</v>
      </c>
      <c r="B65" t="s">
        <v>570</v>
      </c>
      <c r="C65" s="63" t="str" cm="1">
        <f t="array" ref="C65">_xlfn.IFS(subramaniyasiva[[#This Row],[OCTOBER]]="M","M",subramaniyasiva[[#This Row],[OCTOBER]]="A","A",subramaniyasiva[[#This Row],[OCTOBER]]="","",subramaniyasiva[[#This Row],[OCTOBER]]&gt;100,"P")</f>
        <v/>
      </c>
      <c r="D65" t="s">
        <v>21</v>
      </c>
      <c r="E65" s="44" t="s">
        <v>177</v>
      </c>
      <c r="F65" s="44" t="s">
        <v>178</v>
      </c>
      <c r="O65" s="70">
        <v>220</v>
      </c>
      <c r="R65" s="17"/>
      <c r="S65" s="17"/>
      <c r="T65" s="44"/>
    </row>
    <row r="66" spans="1:20" x14ac:dyDescent="0.25">
      <c r="A66" t="s">
        <v>298</v>
      </c>
      <c r="D66">
        <f>SUBTOTAL(103,subramaniyasiva[Package])</f>
        <v>59</v>
      </c>
      <c r="E66">
        <f>SUBTOTAL(103,subramaniyasiva[Box No])</f>
        <v>61</v>
      </c>
      <c r="F66">
        <f>SUBTOTAL(103,subramaniyasiva[CAF_ID])</f>
        <v>60</v>
      </c>
      <c r="G66" s="17">
        <f>SUBTOTAL(109,subramaniyasiva[JANUARY])</f>
        <v>0</v>
      </c>
      <c r="H66" s="17">
        <f>SUBTOTAL(109,subramaniyasiva[FEBEUARY])</f>
        <v>0</v>
      </c>
      <c r="I66" s="17">
        <f>SUBTOTAL(109,subramaniyasiva[MARCH])</f>
        <v>0</v>
      </c>
      <c r="J66" s="17">
        <f>SUBTOTAL(109,subramaniyasiva[APRIL])</f>
        <v>0</v>
      </c>
      <c r="K66" s="17">
        <f>SUBTOTAL(109,subramaniyasiva[MAY])</f>
        <v>0</v>
      </c>
      <c r="L66" s="17">
        <f>SUBTOTAL(109,subramaniyasiva[JUNE])</f>
        <v>0</v>
      </c>
      <c r="M66" s="17">
        <f>SUBTOTAL(109,subramaniyasiva[JULY])</f>
        <v>0</v>
      </c>
      <c r="N66" s="17">
        <f>SUBTOTAL(109,subramaniyasiva[AUGUST])</f>
        <v>0</v>
      </c>
      <c r="O66" s="17">
        <f>SUBTOTAL(109,subramaniyasiva[SEPTEMBER])</f>
        <v>7700</v>
      </c>
      <c r="P66" s="17">
        <f>SUBTOTAL(109,subramaniyasiva[OCTOBER])</f>
        <v>0</v>
      </c>
      <c r="Q66" s="17">
        <f>SUBTOTAL(109,subramaniyasiva[NOVEMBER])</f>
        <v>0</v>
      </c>
      <c r="R66" s="17">
        <f>SUBTOTAL(109,subramaniyasiva[DECEMBER])</f>
        <v>0</v>
      </c>
      <c r="S66" s="17">
        <f>SUBTOTAL(109,subramaniyasiva[BALANCE])</f>
        <v>0</v>
      </c>
      <c r="T66" s="17"/>
    </row>
    <row r="68" spans="1:20" x14ac:dyDescent="0.25">
      <c r="B68" s="39" t="s">
        <v>299</v>
      </c>
      <c r="C68" s="39">
        <f>COUNTIF(subramaniyasiva[PAID],"P")</f>
        <v>0</v>
      </c>
    </row>
    <row r="70" spans="1:20" x14ac:dyDescent="0.25">
      <c r="B70" s="13" t="s">
        <v>300</v>
      </c>
      <c r="C70" s="43">
        <f>COUNTIF(C2:C65,"P")</f>
        <v>0</v>
      </c>
    </row>
    <row r="71" spans="1:20" x14ac:dyDescent="0.25">
      <c r="B71" s="14" t="s">
        <v>301</v>
      </c>
      <c r="C71" s="42">
        <f>COUNTIF(C2:C65,"NP")</f>
        <v>0</v>
      </c>
    </row>
    <row r="73" spans="1:20" x14ac:dyDescent="0.25">
      <c r="B73" s="39" t="s">
        <v>302</v>
      </c>
      <c r="C73" s="39">
        <f>C70+C71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T73"/>
  <sheetViews>
    <sheetView topLeftCell="A49" zoomScale="115" zoomScaleNormal="115" workbookViewId="0">
      <selection activeCell="E51" sqref="E51"/>
    </sheetView>
  </sheetViews>
  <sheetFormatPr defaultRowHeight="15" x14ac:dyDescent="0.25"/>
  <cols>
    <col min="1" max="1" width="5.7109375" style="61" customWidth="1"/>
    <col min="2" max="2" width="21.85546875" style="61" customWidth="1"/>
    <col min="3" max="3" width="6.5703125" style="61" customWidth="1"/>
    <col min="4" max="4" width="31.28515625" style="61" customWidth="1"/>
    <col min="5" max="5" width="23" style="61" customWidth="1"/>
    <col min="7" max="14" width="11.5703125" style="17" hidden="1" customWidth="1"/>
    <col min="15" max="18" width="11.5703125" style="17" customWidth="1"/>
    <col min="19" max="19" width="11.140625" customWidth="1"/>
    <col min="20" max="20" width="36.7109375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44" t="s">
        <v>19</v>
      </c>
    </row>
    <row r="2" spans="1:20" x14ac:dyDescent="0.25">
      <c r="A2">
        <v>1</v>
      </c>
      <c r="B2" t="s">
        <v>295</v>
      </c>
      <c r="C2" s="63" t="str" cm="1">
        <f t="array" ref="C2">_xlfn.IFS(bharadhidhasan[[#This Row],[OCTOBER]]="M","M",bharadhidhasan[[#This Row],[OCTOBER]]="A","A",bharadhidhasan[[#This Row],[OCTOBER]]="","",bharadhidhasan[[#This Row],[OCTOBER]]&gt;100,"P")</f>
        <v/>
      </c>
      <c r="D2" t="s">
        <v>25</v>
      </c>
      <c r="E2" s="44" t="s">
        <v>571</v>
      </c>
      <c r="F2" s="44" t="s">
        <v>572</v>
      </c>
      <c r="O2" s="17">
        <v>400</v>
      </c>
      <c r="Q2"/>
      <c r="R2"/>
      <c r="S2" s="17"/>
      <c r="T2" s="17"/>
    </row>
    <row r="3" spans="1:20" x14ac:dyDescent="0.25">
      <c r="A3">
        <v>2</v>
      </c>
      <c r="B3" t="s">
        <v>573</v>
      </c>
      <c r="C3" s="63" t="str" cm="1">
        <f t="array" ref="C3">_xlfn.IFS(bharadhidhasan[[#This Row],[OCTOBER]]="M","M",bharadhidhasan[[#This Row],[OCTOBER]]="A","A",bharadhidhasan[[#This Row],[OCTOBER]]="","",bharadhidhasan[[#This Row],[OCTOBER]]&gt;100,"P")</f>
        <v/>
      </c>
      <c r="D3" t="s">
        <v>25</v>
      </c>
      <c r="E3" s="44" t="s">
        <v>574</v>
      </c>
      <c r="F3" s="44" t="s">
        <v>575</v>
      </c>
      <c r="O3" s="17">
        <v>200</v>
      </c>
      <c r="Q3"/>
      <c r="R3"/>
      <c r="S3" s="17"/>
      <c r="T3" s="17"/>
    </row>
    <row r="4" spans="1:20" x14ac:dyDescent="0.25">
      <c r="A4">
        <v>3</v>
      </c>
      <c r="B4" t="s">
        <v>255</v>
      </c>
      <c r="C4" s="63" t="str" cm="1">
        <f t="array" ref="C4">_xlfn.IFS(bharadhidhasan[[#This Row],[OCTOBER]]="M","M",bharadhidhasan[[#This Row],[OCTOBER]]="A","A",bharadhidhasan[[#This Row],[OCTOBER]]="","",bharadhidhasan[[#This Row],[OCTOBER]]&gt;100,"P")</f>
        <v/>
      </c>
      <c r="D4" t="s">
        <v>35</v>
      </c>
      <c r="E4" s="44" t="s">
        <v>576</v>
      </c>
      <c r="F4" s="44" t="s">
        <v>577</v>
      </c>
      <c r="O4" s="17" t="s">
        <v>321</v>
      </c>
      <c r="Q4"/>
      <c r="R4"/>
      <c r="S4" s="17"/>
      <c r="T4" s="17"/>
    </row>
    <row r="5" spans="1:20" x14ac:dyDescent="0.25">
      <c r="A5">
        <v>4</v>
      </c>
      <c r="B5" t="s">
        <v>478</v>
      </c>
      <c r="C5" s="63" t="str" cm="1">
        <f t="array" ref="C5">_xlfn.IFS(bharadhidhasan[[#This Row],[OCTOBER]]="M","M",bharadhidhasan[[#This Row],[OCTOBER]]="A","A",bharadhidhasan[[#This Row],[OCTOBER]]="","",bharadhidhasan[[#This Row],[OCTOBER]]&gt;100,"P")</f>
        <v/>
      </c>
      <c r="D5" t="s">
        <v>78</v>
      </c>
      <c r="E5" s="44" t="s">
        <v>578</v>
      </c>
      <c r="F5" s="44" t="s">
        <v>579</v>
      </c>
      <c r="Q5"/>
      <c r="R5"/>
      <c r="S5" s="17"/>
      <c r="T5" s="17"/>
    </row>
    <row r="6" spans="1:20" x14ac:dyDescent="0.25">
      <c r="A6">
        <v>5</v>
      </c>
      <c r="B6" t="s">
        <v>580</v>
      </c>
      <c r="C6" s="63" t="str" cm="1">
        <f t="array" ref="C6">_xlfn.IFS(bharadhidhasan[[#This Row],[OCTOBER]]="M","M",bharadhidhasan[[#This Row],[OCTOBER]]="A","A",bharadhidhasan[[#This Row],[OCTOBER]]="","",bharadhidhasan[[#This Row],[OCTOBER]]&gt;100,"P")</f>
        <v/>
      </c>
      <c r="D6" t="s">
        <v>25</v>
      </c>
      <c r="E6" s="44" t="s">
        <v>581</v>
      </c>
      <c r="F6" s="44" t="s">
        <v>582</v>
      </c>
      <c r="O6" s="17">
        <v>200</v>
      </c>
      <c r="Q6"/>
      <c r="R6"/>
      <c r="S6" s="17"/>
      <c r="T6" s="17"/>
    </row>
    <row r="7" spans="1:20" x14ac:dyDescent="0.25">
      <c r="A7">
        <v>6</v>
      </c>
      <c r="B7" t="s">
        <v>206</v>
      </c>
      <c r="C7" s="63" t="str" cm="1">
        <f t="array" ref="C7">_xlfn.IFS(bharadhidhasan[[#This Row],[OCTOBER]]="M","M",bharadhidhasan[[#This Row],[OCTOBER]]="A","A",bharadhidhasan[[#This Row],[OCTOBER]]="","",bharadhidhasan[[#This Row],[OCTOBER]]&gt;100,"P")</f>
        <v>P</v>
      </c>
      <c r="D7" t="s">
        <v>45</v>
      </c>
      <c r="E7" s="44" t="s">
        <v>583</v>
      </c>
      <c r="F7" s="44" t="s">
        <v>584</v>
      </c>
      <c r="O7" s="17" t="s">
        <v>585</v>
      </c>
      <c r="P7" s="17" t="s">
        <v>585</v>
      </c>
      <c r="Q7" s="17" t="s">
        <v>585</v>
      </c>
      <c r="R7" s="17" t="s">
        <v>585</v>
      </c>
      <c r="S7" s="17"/>
      <c r="T7" s="17"/>
    </row>
    <row r="8" spans="1:20" x14ac:dyDescent="0.25">
      <c r="A8">
        <v>7</v>
      </c>
      <c r="B8" t="s">
        <v>586</v>
      </c>
      <c r="C8" s="63" t="str" cm="1">
        <f t="array" ref="C8">_xlfn.IFS(bharadhidhasan[[#This Row],[OCTOBER]]="M","M",bharadhidhasan[[#This Row],[OCTOBER]]="A","A",bharadhidhasan[[#This Row],[OCTOBER]]="","",bharadhidhasan[[#This Row],[OCTOBER]]&gt;100,"P")</f>
        <v/>
      </c>
      <c r="D8" t="s">
        <v>78</v>
      </c>
      <c r="E8" s="44" t="s">
        <v>587</v>
      </c>
      <c r="F8" s="44" t="s">
        <v>588</v>
      </c>
      <c r="O8" s="17">
        <v>200</v>
      </c>
      <c r="Q8"/>
      <c r="R8"/>
      <c r="S8" s="17"/>
      <c r="T8" s="17"/>
    </row>
    <row r="9" spans="1:20" x14ac:dyDescent="0.25">
      <c r="A9">
        <v>8</v>
      </c>
      <c r="B9" t="s">
        <v>589</v>
      </c>
      <c r="C9" s="63" t="str" cm="1">
        <f t="array" ref="C9">_xlfn.IFS(bharadhidhasan[[#This Row],[OCTOBER]]="M","M",bharadhidhasan[[#This Row],[OCTOBER]]="A","A",bharadhidhasan[[#This Row],[OCTOBER]]="","",bharadhidhasan[[#This Row],[OCTOBER]]&gt;100,"P")</f>
        <v/>
      </c>
      <c r="D9" t="s">
        <v>21</v>
      </c>
      <c r="E9" s="44" t="s">
        <v>590</v>
      </c>
      <c r="F9" s="44" t="s">
        <v>591</v>
      </c>
      <c r="O9" s="17" t="s">
        <v>321</v>
      </c>
      <c r="Q9"/>
      <c r="R9"/>
      <c r="S9" s="17"/>
      <c r="T9" s="17"/>
    </row>
    <row r="10" spans="1:20" x14ac:dyDescent="0.25">
      <c r="A10">
        <v>9</v>
      </c>
      <c r="B10" t="s">
        <v>592</v>
      </c>
      <c r="C10" s="63" t="str" cm="1">
        <f t="array" ref="C10">_xlfn.IFS(bharadhidhasan[[#This Row],[OCTOBER]]="M","M",bharadhidhasan[[#This Row],[OCTOBER]]="A","A",bharadhidhasan[[#This Row],[OCTOBER]]="","",bharadhidhasan[[#This Row],[OCTOBER]]&gt;100,"P")</f>
        <v/>
      </c>
      <c r="D10" t="s">
        <v>25</v>
      </c>
      <c r="E10" s="44" t="s">
        <v>593</v>
      </c>
      <c r="F10" s="44" t="s">
        <v>594</v>
      </c>
      <c r="Q10"/>
      <c r="R10"/>
      <c r="S10" s="17"/>
      <c r="T10" s="17"/>
    </row>
    <row r="11" spans="1:20" x14ac:dyDescent="0.25">
      <c r="A11">
        <v>10</v>
      </c>
      <c r="B11" t="s">
        <v>595</v>
      </c>
      <c r="C11" s="63" t="str" cm="1">
        <f t="array" ref="C11">_xlfn.IFS(bharadhidhasan[[#This Row],[OCTOBER]]="M","M",bharadhidhasan[[#This Row],[OCTOBER]]="A","A",bharadhidhasan[[#This Row],[OCTOBER]]="","",bharadhidhasan[[#This Row],[OCTOBER]]&gt;100,"P")</f>
        <v/>
      </c>
      <c r="D11" t="s">
        <v>25</v>
      </c>
      <c r="E11" s="44" t="s">
        <v>596</v>
      </c>
      <c r="F11" s="44" t="s">
        <v>597</v>
      </c>
      <c r="O11" s="17" t="s">
        <v>321</v>
      </c>
      <c r="Q11"/>
      <c r="R11"/>
      <c r="S11" s="17"/>
      <c r="T11" s="17"/>
    </row>
    <row r="12" spans="1:20" x14ac:dyDescent="0.25">
      <c r="A12">
        <v>11</v>
      </c>
      <c r="B12" t="s">
        <v>312</v>
      </c>
      <c r="C12" s="63" t="str" cm="1">
        <f t="array" ref="C12">_xlfn.IFS(bharadhidhasan[[#This Row],[OCTOBER]]="M","M",bharadhidhasan[[#This Row],[OCTOBER]]="A","A",bharadhidhasan[[#This Row],[OCTOBER]]="","",bharadhidhasan[[#This Row],[OCTOBER]]&gt;100,"P")</f>
        <v/>
      </c>
      <c r="E12" s="44" t="s">
        <v>598</v>
      </c>
      <c r="F12" s="44" t="s">
        <v>599</v>
      </c>
      <c r="O12" s="17">
        <v>200</v>
      </c>
      <c r="Q12"/>
      <c r="R12"/>
      <c r="S12" s="17"/>
      <c r="T12" s="17"/>
    </row>
    <row r="13" spans="1:20" x14ac:dyDescent="0.25">
      <c r="A13">
        <v>12</v>
      </c>
      <c r="B13" t="s">
        <v>600</v>
      </c>
      <c r="C13" s="63" t="str" cm="1">
        <f t="array" ref="C13">_xlfn.IFS(bharadhidhasan[[#This Row],[OCTOBER]]="M","M",bharadhidhasan[[#This Row],[OCTOBER]]="A","A",bharadhidhasan[[#This Row],[OCTOBER]]="","",bharadhidhasan[[#This Row],[OCTOBER]]&gt;100,"P")</f>
        <v/>
      </c>
      <c r="E13" s="44" t="s">
        <v>2396</v>
      </c>
      <c r="F13" s="44"/>
      <c r="Q13"/>
      <c r="R13"/>
      <c r="S13" s="17"/>
      <c r="T13" s="17"/>
    </row>
    <row r="14" spans="1:20" x14ac:dyDescent="0.25">
      <c r="A14">
        <v>13</v>
      </c>
      <c r="B14" t="s">
        <v>602</v>
      </c>
      <c r="C14" s="63" t="str" cm="1">
        <f t="array" ref="C14">_xlfn.IFS(bharadhidhasan[[#This Row],[OCTOBER]]="M","M",bharadhidhasan[[#This Row],[OCTOBER]]="A","A",bharadhidhasan[[#This Row],[OCTOBER]]="","",bharadhidhasan[[#This Row],[OCTOBER]]&gt;100,"P")</f>
        <v/>
      </c>
      <c r="D14" t="s">
        <v>25</v>
      </c>
      <c r="E14" s="44" t="s">
        <v>603</v>
      </c>
      <c r="F14" s="44" t="s">
        <v>604</v>
      </c>
      <c r="O14" s="17">
        <v>200</v>
      </c>
      <c r="Q14"/>
      <c r="R14"/>
      <c r="S14" s="17"/>
      <c r="T14" s="17"/>
    </row>
    <row r="15" spans="1:20" x14ac:dyDescent="0.25">
      <c r="A15">
        <v>14</v>
      </c>
      <c r="B15" t="s">
        <v>605</v>
      </c>
      <c r="C15" s="63" t="str" cm="1">
        <f t="array" ref="C15">_xlfn.IFS(bharadhidhasan[[#This Row],[OCTOBER]]="M","M",bharadhidhasan[[#This Row],[OCTOBER]]="A","A",bharadhidhasan[[#This Row],[OCTOBER]]="","",bharadhidhasan[[#This Row],[OCTOBER]]&gt;100,"P")</f>
        <v/>
      </c>
      <c r="D15" t="s">
        <v>25</v>
      </c>
      <c r="E15" s="44" t="s">
        <v>606</v>
      </c>
      <c r="F15" s="44" t="s">
        <v>607</v>
      </c>
      <c r="Q15"/>
      <c r="R15"/>
      <c r="S15" s="17"/>
      <c r="T15" s="17"/>
    </row>
    <row r="16" spans="1:20" x14ac:dyDescent="0.25">
      <c r="A16">
        <v>15</v>
      </c>
      <c r="B16" t="s">
        <v>608</v>
      </c>
      <c r="C16" s="63" t="str" cm="1">
        <f t="array" ref="C16">_xlfn.IFS(bharadhidhasan[[#This Row],[OCTOBER]]="M","M",bharadhidhasan[[#This Row],[OCTOBER]]="A","A",bharadhidhasan[[#This Row],[OCTOBER]]="","",bharadhidhasan[[#This Row],[OCTOBER]]&gt;100,"P")</f>
        <v/>
      </c>
      <c r="D16" t="s">
        <v>242</v>
      </c>
      <c r="E16" s="44" t="s">
        <v>609</v>
      </c>
      <c r="F16" s="44" t="s">
        <v>610</v>
      </c>
      <c r="O16" s="17">
        <v>200</v>
      </c>
      <c r="Q16"/>
      <c r="R16"/>
      <c r="S16" s="17"/>
      <c r="T16" s="17"/>
    </row>
    <row r="17" spans="1:20" x14ac:dyDescent="0.25">
      <c r="A17">
        <v>16</v>
      </c>
      <c r="B17" t="s">
        <v>611</v>
      </c>
      <c r="C17" s="63" t="str" cm="1">
        <f t="array" ref="C17">_xlfn.IFS(bharadhidhasan[[#This Row],[OCTOBER]]="M","M",bharadhidhasan[[#This Row],[OCTOBER]]="A","A",bharadhidhasan[[#This Row],[OCTOBER]]="","",bharadhidhasan[[#This Row],[OCTOBER]]&gt;100,"P")</f>
        <v/>
      </c>
      <c r="D17" t="s">
        <v>35</v>
      </c>
      <c r="E17" s="44" t="s">
        <v>612</v>
      </c>
      <c r="F17" s="44" t="s">
        <v>613</v>
      </c>
      <c r="Q17"/>
      <c r="R17"/>
      <c r="S17" s="17"/>
      <c r="T17" s="17"/>
    </row>
    <row r="18" spans="1:20" x14ac:dyDescent="0.25">
      <c r="A18">
        <v>17</v>
      </c>
      <c r="B18" t="s">
        <v>614</v>
      </c>
      <c r="C18" s="63" t="str" cm="1">
        <f t="array" ref="C18">_xlfn.IFS(bharadhidhasan[[#This Row],[OCTOBER]]="M","M",bharadhidhasan[[#This Row],[OCTOBER]]="A","A",bharadhidhasan[[#This Row],[OCTOBER]]="","",bharadhidhasan[[#This Row],[OCTOBER]]&gt;100,"P")</f>
        <v/>
      </c>
      <c r="D18" t="s">
        <v>25</v>
      </c>
      <c r="E18" s="44" t="s">
        <v>615</v>
      </c>
      <c r="F18" s="44" t="s">
        <v>616</v>
      </c>
      <c r="O18" s="17">
        <v>230</v>
      </c>
      <c r="Q18"/>
      <c r="R18"/>
      <c r="S18" s="17"/>
      <c r="T18" s="17"/>
    </row>
    <row r="19" spans="1:20" x14ac:dyDescent="0.25">
      <c r="A19">
        <v>18</v>
      </c>
      <c r="B19" t="s">
        <v>312</v>
      </c>
      <c r="C19" s="63" t="str" cm="1">
        <f t="array" ref="C19">_xlfn.IFS(bharadhidhasan[[#This Row],[OCTOBER]]="M","M",bharadhidhasan[[#This Row],[OCTOBER]]="A","A",bharadhidhasan[[#This Row],[OCTOBER]]="","",bharadhidhasan[[#This Row],[OCTOBER]]&gt;100,"P")</f>
        <v/>
      </c>
      <c r="D19" t="s">
        <v>35</v>
      </c>
      <c r="E19" s="44" t="s">
        <v>617</v>
      </c>
      <c r="F19" s="44" t="s">
        <v>618</v>
      </c>
      <c r="O19" s="17">
        <v>200</v>
      </c>
      <c r="Q19"/>
      <c r="R19"/>
      <c r="S19" s="17"/>
      <c r="T19" s="17"/>
    </row>
    <row r="20" spans="1:20" x14ac:dyDescent="0.25">
      <c r="A20">
        <v>19</v>
      </c>
      <c r="B20" t="s">
        <v>619</v>
      </c>
      <c r="C20" s="63" t="str" cm="1">
        <f t="array" ref="C20">_xlfn.IFS(bharadhidhasan[[#This Row],[OCTOBER]]="M","M",bharadhidhasan[[#This Row],[OCTOBER]]="A","A",bharadhidhasan[[#This Row],[OCTOBER]]="","",bharadhidhasan[[#This Row],[OCTOBER]]&gt;100,"P")</f>
        <v/>
      </c>
      <c r="D20" t="s">
        <v>21</v>
      </c>
      <c r="E20" s="44" t="s">
        <v>620</v>
      </c>
      <c r="F20" s="44" t="s">
        <v>621</v>
      </c>
      <c r="O20" s="17">
        <v>200</v>
      </c>
      <c r="Q20"/>
      <c r="R20"/>
      <c r="S20" s="17"/>
      <c r="T20" s="17"/>
    </row>
    <row r="21" spans="1:20" x14ac:dyDescent="0.25">
      <c r="A21">
        <v>20</v>
      </c>
      <c r="B21" t="s">
        <v>586</v>
      </c>
      <c r="C21" s="63" t="str" cm="1">
        <f t="array" ref="C21">_xlfn.IFS(bharadhidhasan[[#This Row],[OCTOBER]]="M","M",bharadhidhasan[[#This Row],[OCTOBER]]="A","A",bharadhidhasan[[#This Row],[OCTOBER]]="","",bharadhidhasan[[#This Row],[OCTOBER]]&gt;100,"P")</f>
        <v/>
      </c>
      <c r="D21" t="s">
        <v>25</v>
      </c>
      <c r="E21" s="44" t="s">
        <v>622</v>
      </c>
      <c r="F21" s="44" t="s">
        <v>623</v>
      </c>
      <c r="O21" s="17">
        <v>220</v>
      </c>
      <c r="Q21"/>
      <c r="R21"/>
      <c r="S21" s="17"/>
      <c r="T21" s="17"/>
    </row>
    <row r="22" spans="1:20" x14ac:dyDescent="0.25">
      <c r="A22">
        <v>21</v>
      </c>
      <c r="B22" t="s">
        <v>624</v>
      </c>
      <c r="C22" s="63" t="str" cm="1">
        <f t="array" ref="C22">_xlfn.IFS(bharadhidhasan[[#This Row],[OCTOBER]]="M","M",bharadhidhasan[[#This Row],[OCTOBER]]="A","A",bharadhidhasan[[#This Row],[OCTOBER]]="","",bharadhidhasan[[#This Row],[OCTOBER]]&gt;100,"P")</f>
        <v/>
      </c>
      <c r="D22" t="s">
        <v>25</v>
      </c>
      <c r="E22" s="44" t="s">
        <v>625</v>
      </c>
      <c r="F22" s="44" t="s">
        <v>626</v>
      </c>
      <c r="O22" s="17">
        <v>230</v>
      </c>
      <c r="Q22"/>
      <c r="R22"/>
      <c r="S22" s="17"/>
      <c r="T22" s="17"/>
    </row>
    <row r="23" spans="1:20" x14ac:dyDescent="0.25">
      <c r="A23">
        <v>22</v>
      </c>
      <c r="B23" t="s">
        <v>627</v>
      </c>
      <c r="C23" s="63" t="str" cm="1">
        <f t="array" ref="C23">_xlfn.IFS(bharadhidhasan[[#This Row],[OCTOBER]]="M","M",bharadhidhasan[[#This Row],[OCTOBER]]="A","A",bharadhidhasan[[#This Row],[OCTOBER]]="","",bharadhidhasan[[#This Row],[OCTOBER]]&gt;100,"P")</f>
        <v/>
      </c>
      <c r="D23" t="s">
        <v>78</v>
      </c>
      <c r="E23" s="44" t="s">
        <v>628</v>
      </c>
      <c r="F23" s="44" t="s">
        <v>629</v>
      </c>
      <c r="Q23"/>
      <c r="R23"/>
      <c r="S23" s="17"/>
      <c r="T23" s="17"/>
    </row>
    <row r="24" spans="1:20" x14ac:dyDescent="0.25">
      <c r="A24">
        <v>23</v>
      </c>
      <c r="B24" t="s">
        <v>630</v>
      </c>
      <c r="C24" s="63" t="str" cm="1">
        <f t="array" ref="C24">_xlfn.IFS(bharadhidhasan[[#This Row],[OCTOBER]]="M","M",bharadhidhasan[[#This Row],[OCTOBER]]="A","A",bharadhidhasan[[#This Row],[OCTOBER]]="","",bharadhidhasan[[#This Row],[OCTOBER]]&gt;100,"P")</f>
        <v/>
      </c>
      <c r="D24" t="s">
        <v>35</v>
      </c>
      <c r="E24" s="44" t="s">
        <v>631</v>
      </c>
      <c r="F24" s="44" t="s">
        <v>632</v>
      </c>
      <c r="O24" s="17">
        <v>200</v>
      </c>
      <c r="Q24"/>
      <c r="R24"/>
      <c r="S24" s="17"/>
      <c r="T24" s="17"/>
    </row>
    <row r="25" spans="1:20" x14ac:dyDescent="0.25">
      <c r="A25">
        <v>24</v>
      </c>
      <c r="B25" t="s">
        <v>543</v>
      </c>
      <c r="C25" s="63" t="str" cm="1">
        <f t="array" ref="C25">_xlfn.IFS(bharadhidhasan[[#This Row],[OCTOBER]]="M","M",bharadhidhasan[[#This Row],[OCTOBER]]="A","A",bharadhidhasan[[#This Row],[OCTOBER]]="","",bharadhidhasan[[#This Row],[OCTOBER]]&gt;100,"P")</f>
        <v/>
      </c>
      <c r="D25" t="s">
        <v>35</v>
      </c>
      <c r="E25" s="44" t="s">
        <v>633</v>
      </c>
      <c r="F25" s="44" t="s">
        <v>634</v>
      </c>
      <c r="O25" s="17">
        <v>400</v>
      </c>
      <c r="Q25"/>
      <c r="R25"/>
      <c r="S25" s="17"/>
      <c r="T25" s="17"/>
    </row>
    <row r="26" spans="1:20" x14ac:dyDescent="0.25">
      <c r="A26">
        <v>25</v>
      </c>
      <c r="B26" t="s">
        <v>120</v>
      </c>
      <c r="C26" s="63" t="str" cm="1">
        <f t="array" ref="C26">_xlfn.IFS(bharadhidhasan[[#This Row],[OCTOBER]]="M","M",bharadhidhasan[[#This Row],[OCTOBER]]="A","A",bharadhidhasan[[#This Row],[OCTOBER]]="","",bharadhidhasan[[#This Row],[OCTOBER]]&gt;100,"P")</f>
        <v/>
      </c>
      <c r="D26" t="s">
        <v>35</v>
      </c>
      <c r="E26" s="44" t="s">
        <v>635</v>
      </c>
      <c r="F26" s="44" t="s">
        <v>636</v>
      </c>
      <c r="Q26"/>
      <c r="R26"/>
      <c r="S26" s="17"/>
      <c r="T26" s="17"/>
    </row>
    <row r="27" spans="1:20" x14ac:dyDescent="0.25">
      <c r="A27">
        <v>26</v>
      </c>
      <c r="B27" t="s">
        <v>637</v>
      </c>
      <c r="C27" s="63" t="str" cm="1">
        <f t="array" ref="C27">_xlfn.IFS(bharadhidhasan[[#This Row],[OCTOBER]]="M","M",bharadhidhasan[[#This Row],[OCTOBER]]="A","A",bharadhidhasan[[#This Row],[OCTOBER]]="","",bharadhidhasan[[#This Row],[OCTOBER]]&gt;100,"P")</f>
        <v/>
      </c>
      <c r="D27" t="s">
        <v>78</v>
      </c>
      <c r="E27" s="44" t="s">
        <v>638</v>
      </c>
      <c r="F27" s="44" t="s">
        <v>639</v>
      </c>
      <c r="O27" s="17">
        <v>200</v>
      </c>
      <c r="Q27"/>
      <c r="R27"/>
      <c r="S27" s="17"/>
      <c r="T27" s="17"/>
    </row>
    <row r="28" spans="1:20" x14ac:dyDescent="0.25">
      <c r="A28">
        <v>27</v>
      </c>
      <c r="B28" t="s">
        <v>640</v>
      </c>
      <c r="C28" s="63" t="str" cm="1">
        <f t="array" ref="C28">_xlfn.IFS(bharadhidhasan[[#This Row],[OCTOBER]]="M","M",bharadhidhasan[[#This Row],[OCTOBER]]="A","A",bharadhidhasan[[#This Row],[OCTOBER]]="","",bharadhidhasan[[#This Row],[OCTOBER]]&gt;100,"P")</f>
        <v/>
      </c>
      <c r="D28" t="s">
        <v>35</v>
      </c>
      <c r="E28" s="44" t="s">
        <v>641</v>
      </c>
      <c r="F28" s="44" t="s">
        <v>642</v>
      </c>
      <c r="O28" s="17">
        <v>230</v>
      </c>
      <c r="Q28"/>
      <c r="R28"/>
      <c r="S28" s="17"/>
      <c r="T28" s="17"/>
    </row>
    <row r="29" spans="1:20" x14ac:dyDescent="0.25">
      <c r="A29">
        <v>28</v>
      </c>
      <c r="B29" t="s">
        <v>643</v>
      </c>
      <c r="C29" s="63" t="str" cm="1">
        <f t="array" ref="C29">_xlfn.IFS(bharadhidhasan[[#This Row],[OCTOBER]]="M","M",bharadhidhasan[[#This Row],[OCTOBER]]="A","A",bharadhidhasan[[#This Row],[OCTOBER]]="","",bharadhidhasan[[#This Row],[OCTOBER]]&gt;100,"P")</f>
        <v/>
      </c>
      <c r="D29" t="s">
        <v>35</v>
      </c>
      <c r="E29" s="44" t="s">
        <v>644</v>
      </c>
      <c r="F29" s="44" t="s">
        <v>645</v>
      </c>
      <c r="O29" s="17" t="s">
        <v>321</v>
      </c>
      <c r="Q29"/>
      <c r="R29"/>
      <c r="S29" s="17"/>
      <c r="T29" s="17"/>
    </row>
    <row r="30" spans="1:20" x14ac:dyDescent="0.25">
      <c r="A30">
        <v>29</v>
      </c>
      <c r="B30" t="s">
        <v>646</v>
      </c>
      <c r="C30" s="63" t="str" cm="1">
        <f t="array" ref="C30">_xlfn.IFS(bharadhidhasan[[#This Row],[OCTOBER]]="M","M",bharadhidhasan[[#This Row],[OCTOBER]]="A","A",bharadhidhasan[[#This Row],[OCTOBER]]="","",bharadhidhasan[[#This Row],[OCTOBER]]&gt;100,"P")</f>
        <v/>
      </c>
      <c r="D30" t="s">
        <v>25</v>
      </c>
      <c r="E30" s="44" t="s">
        <v>647</v>
      </c>
      <c r="F30" s="44" t="s">
        <v>648</v>
      </c>
      <c r="O30" s="17">
        <v>200</v>
      </c>
      <c r="Q30"/>
      <c r="R30"/>
      <c r="S30" s="17"/>
      <c r="T30" s="17"/>
    </row>
    <row r="31" spans="1:20" x14ac:dyDescent="0.25">
      <c r="A31">
        <v>30</v>
      </c>
      <c r="B31" t="s">
        <v>649</v>
      </c>
      <c r="C31" s="63" t="str" cm="1">
        <f t="array" ref="C31">_xlfn.IFS(bharadhidhasan[[#This Row],[OCTOBER]]="M","M",bharadhidhasan[[#This Row],[OCTOBER]]="A","A",bharadhidhasan[[#This Row],[OCTOBER]]="","",bharadhidhasan[[#This Row],[OCTOBER]]&gt;100,"P")</f>
        <v/>
      </c>
      <c r="D31" t="s">
        <v>78</v>
      </c>
      <c r="E31" s="44" t="s">
        <v>650</v>
      </c>
      <c r="F31" s="44" t="s">
        <v>651</v>
      </c>
      <c r="O31" s="17">
        <v>200</v>
      </c>
      <c r="Q31"/>
      <c r="R31"/>
      <c r="S31" s="17"/>
      <c r="T31" s="17"/>
    </row>
    <row r="32" spans="1:20" x14ac:dyDescent="0.25">
      <c r="A32">
        <v>31</v>
      </c>
      <c r="B32" t="s">
        <v>117</v>
      </c>
      <c r="C32" s="63" t="str" cm="1">
        <f t="array" ref="C32">_xlfn.IFS(bharadhidhasan[[#This Row],[OCTOBER]]="M","M",bharadhidhasan[[#This Row],[OCTOBER]]="A","A",bharadhidhasan[[#This Row],[OCTOBER]]="","",bharadhidhasan[[#This Row],[OCTOBER]]&gt;100,"P")</f>
        <v/>
      </c>
      <c r="D32" t="s">
        <v>25</v>
      </c>
      <c r="E32" s="44" t="s">
        <v>652</v>
      </c>
      <c r="F32" s="44" t="s">
        <v>653</v>
      </c>
      <c r="O32" s="17">
        <v>200</v>
      </c>
      <c r="Q32"/>
      <c r="R32"/>
      <c r="S32" s="17"/>
      <c r="T32" s="17"/>
    </row>
    <row r="33" spans="1:20" x14ac:dyDescent="0.25">
      <c r="A33">
        <v>32</v>
      </c>
      <c r="B33" t="s">
        <v>654</v>
      </c>
      <c r="C33" s="63" t="str" cm="1">
        <f t="array" ref="C33">_xlfn.IFS(bharadhidhasan[[#This Row],[OCTOBER]]="M","M",bharadhidhasan[[#This Row],[OCTOBER]]="A","A",bharadhidhasan[[#This Row],[OCTOBER]]="","",bharadhidhasan[[#This Row],[OCTOBER]]&gt;100,"P")</f>
        <v/>
      </c>
      <c r="D33" t="s">
        <v>35</v>
      </c>
      <c r="E33" s="44" t="s">
        <v>655</v>
      </c>
      <c r="F33" s="44" t="s">
        <v>656</v>
      </c>
      <c r="O33" s="17">
        <v>200</v>
      </c>
      <c r="Q33"/>
      <c r="R33"/>
      <c r="S33" s="17"/>
      <c r="T33" s="17"/>
    </row>
    <row r="34" spans="1:20" x14ac:dyDescent="0.25">
      <c r="A34">
        <v>33</v>
      </c>
      <c r="B34" t="s">
        <v>657</v>
      </c>
      <c r="C34" s="63" t="str" cm="1">
        <f t="array" ref="C34">_xlfn.IFS(bharadhidhasan[[#This Row],[OCTOBER]]="M","M",bharadhidhasan[[#This Row],[OCTOBER]]="A","A",bharadhidhasan[[#This Row],[OCTOBER]]="","",bharadhidhasan[[#This Row],[OCTOBER]]&gt;100,"P")</f>
        <v/>
      </c>
      <c r="D34" t="s">
        <v>21</v>
      </c>
      <c r="E34" s="44" t="s">
        <v>658</v>
      </c>
      <c r="F34" s="44" t="s">
        <v>659</v>
      </c>
      <c r="O34" s="17" t="s">
        <v>321</v>
      </c>
      <c r="Q34"/>
      <c r="R34"/>
      <c r="S34" s="17"/>
      <c r="T34" s="17"/>
    </row>
    <row r="35" spans="1:20" x14ac:dyDescent="0.25">
      <c r="A35">
        <v>34</v>
      </c>
      <c r="B35" t="s">
        <v>660</v>
      </c>
      <c r="C35" s="63" t="str" cm="1">
        <f t="array" ref="C35">_xlfn.IFS(bharadhidhasan[[#This Row],[OCTOBER]]="M","M",bharadhidhasan[[#This Row],[OCTOBER]]="A","A",bharadhidhasan[[#This Row],[OCTOBER]]="","",bharadhidhasan[[#This Row],[OCTOBER]]&gt;100,"P")</f>
        <v/>
      </c>
      <c r="D35" t="s">
        <v>25</v>
      </c>
      <c r="E35" s="44" t="s">
        <v>661</v>
      </c>
      <c r="F35" s="44" t="s">
        <v>662</v>
      </c>
      <c r="Q35"/>
      <c r="R35"/>
      <c r="S35" s="17"/>
      <c r="T35" s="17"/>
    </row>
    <row r="36" spans="1:20" x14ac:dyDescent="0.25">
      <c r="A36">
        <v>35</v>
      </c>
      <c r="B36" t="s">
        <v>663</v>
      </c>
      <c r="C36" s="63" t="str" cm="1">
        <f t="array" ref="C36">_xlfn.IFS(bharadhidhasan[[#This Row],[OCTOBER]]="M","M",bharadhidhasan[[#This Row],[OCTOBER]]="A","A",bharadhidhasan[[#This Row],[OCTOBER]]="","",bharadhidhasan[[#This Row],[OCTOBER]]&gt;100,"P")</f>
        <v/>
      </c>
      <c r="E36" s="44" t="s">
        <v>664</v>
      </c>
      <c r="F36" s="44" t="s">
        <v>665</v>
      </c>
      <c r="Q36"/>
      <c r="R36"/>
      <c r="S36" s="17"/>
      <c r="T36" s="17"/>
    </row>
    <row r="37" spans="1:20" x14ac:dyDescent="0.25">
      <c r="A37">
        <v>36</v>
      </c>
      <c r="B37" t="s">
        <v>153</v>
      </c>
      <c r="C37" s="63" t="str" cm="1">
        <f t="array" ref="C37">_xlfn.IFS(bharadhidhasan[[#This Row],[OCTOBER]]="M","M",bharadhidhasan[[#This Row],[OCTOBER]]="A","A",bharadhidhasan[[#This Row],[OCTOBER]]="","",bharadhidhasan[[#This Row],[OCTOBER]]&gt;100,"P")</f>
        <v/>
      </c>
      <c r="D37" t="s">
        <v>78</v>
      </c>
      <c r="E37" s="44" t="s">
        <v>666</v>
      </c>
      <c r="F37" s="44" t="s">
        <v>667</v>
      </c>
      <c r="O37" s="17" t="s">
        <v>321</v>
      </c>
      <c r="Q37"/>
      <c r="R37"/>
      <c r="S37" s="17"/>
      <c r="T37" s="17"/>
    </row>
    <row r="38" spans="1:20" x14ac:dyDescent="0.25">
      <c r="A38">
        <v>37</v>
      </c>
      <c r="B38" t="s">
        <v>668</v>
      </c>
      <c r="C38" s="63" t="str" cm="1">
        <f t="array" ref="C38">_xlfn.IFS(bharadhidhasan[[#This Row],[OCTOBER]]="M","M",bharadhidhasan[[#This Row],[OCTOBER]]="A","A",bharadhidhasan[[#This Row],[OCTOBER]]="","",bharadhidhasan[[#This Row],[OCTOBER]]&gt;100,"P")</f>
        <v/>
      </c>
      <c r="D38" t="s">
        <v>25</v>
      </c>
      <c r="E38" s="44" t="s">
        <v>669</v>
      </c>
      <c r="F38" s="44" t="s">
        <v>670</v>
      </c>
      <c r="Q38"/>
      <c r="R38"/>
      <c r="S38" s="17"/>
      <c r="T38" s="17"/>
    </row>
    <row r="39" spans="1:20" x14ac:dyDescent="0.25">
      <c r="A39">
        <v>38</v>
      </c>
      <c r="B39" t="s">
        <v>671</v>
      </c>
      <c r="C39" s="63" t="str" cm="1">
        <f t="array" ref="C39">_xlfn.IFS(bharadhidhasan[[#This Row],[OCTOBER]]="M","M",bharadhidhasan[[#This Row],[OCTOBER]]="A","A",bharadhidhasan[[#This Row],[OCTOBER]]="","",bharadhidhasan[[#This Row],[OCTOBER]]&gt;100,"P")</f>
        <v/>
      </c>
      <c r="D39" t="s">
        <v>25</v>
      </c>
      <c r="E39" s="44" t="s">
        <v>672</v>
      </c>
      <c r="F39" s="44" t="s">
        <v>673</v>
      </c>
      <c r="Q39"/>
      <c r="R39"/>
      <c r="S39" s="17"/>
      <c r="T39" s="17"/>
    </row>
    <row r="40" spans="1:20" x14ac:dyDescent="0.25">
      <c r="A40">
        <v>39</v>
      </c>
      <c r="B40" t="s">
        <v>374</v>
      </c>
      <c r="C40" s="63" t="str" cm="1">
        <f t="array" ref="C40">_xlfn.IFS(bharadhidhasan[[#This Row],[OCTOBER]]="M","M",bharadhidhasan[[#This Row],[OCTOBER]]="A","A",bharadhidhasan[[#This Row],[OCTOBER]]="","",bharadhidhasan[[#This Row],[OCTOBER]]&gt;100,"P")</f>
        <v/>
      </c>
      <c r="E40" s="44"/>
      <c r="F40" s="44"/>
      <c r="Q40"/>
      <c r="R40"/>
      <c r="S40" s="17"/>
      <c r="T40" s="17"/>
    </row>
    <row r="41" spans="1:20" x14ac:dyDescent="0.25">
      <c r="A41">
        <v>40</v>
      </c>
      <c r="B41" t="s">
        <v>259</v>
      </c>
      <c r="C41" s="63" t="str" cm="1">
        <f t="array" ref="C41">_xlfn.IFS(bharadhidhasan[[#This Row],[OCTOBER]]="M","M",bharadhidhasan[[#This Row],[OCTOBER]]="A","A",bharadhidhasan[[#This Row],[OCTOBER]]="","",bharadhidhasan[[#This Row],[OCTOBER]]&gt;100,"P")</f>
        <v/>
      </c>
      <c r="D41" t="s">
        <v>35</v>
      </c>
      <c r="E41" s="44" t="s">
        <v>674</v>
      </c>
      <c r="F41" s="44" t="s">
        <v>675</v>
      </c>
      <c r="O41" s="17">
        <v>200</v>
      </c>
      <c r="Q41"/>
      <c r="R41"/>
      <c r="S41" s="17"/>
      <c r="T41" s="17"/>
    </row>
    <row r="42" spans="1:20" ht="15.75" customHeight="1" x14ac:dyDescent="0.25">
      <c r="A42">
        <v>41</v>
      </c>
      <c r="B42" t="s">
        <v>676</v>
      </c>
      <c r="C42" s="63" t="str" cm="1">
        <f t="array" ref="C42">_xlfn.IFS(bharadhidhasan[[#This Row],[OCTOBER]]="M","M",bharadhidhasan[[#This Row],[OCTOBER]]="A","A",bharadhidhasan[[#This Row],[OCTOBER]]="","",bharadhidhasan[[#This Row],[OCTOBER]]&gt;100,"P")</f>
        <v/>
      </c>
      <c r="D42" t="s">
        <v>35</v>
      </c>
      <c r="E42" s="44" t="s">
        <v>677</v>
      </c>
      <c r="F42" s="44" t="s">
        <v>678</v>
      </c>
      <c r="Q42"/>
      <c r="R42"/>
      <c r="S42" s="17"/>
      <c r="T42" s="17"/>
    </row>
    <row r="43" spans="1:20" ht="18" customHeight="1" x14ac:dyDescent="0.25">
      <c r="A43">
        <v>42</v>
      </c>
      <c r="B43" t="s">
        <v>679</v>
      </c>
      <c r="C43" s="63" t="str" cm="1">
        <f t="array" ref="C43">_xlfn.IFS(bharadhidhasan[[#This Row],[OCTOBER]]="M","M",bharadhidhasan[[#This Row],[OCTOBER]]="A","A",bharadhidhasan[[#This Row],[OCTOBER]]="","",bharadhidhasan[[#This Row],[OCTOBER]]&gt;100,"P")</f>
        <v/>
      </c>
      <c r="D43" t="s">
        <v>242</v>
      </c>
      <c r="E43" s="44" t="s">
        <v>680</v>
      </c>
      <c r="F43" s="44" t="s">
        <v>681</v>
      </c>
      <c r="O43" s="17" t="s">
        <v>321</v>
      </c>
      <c r="Q43"/>
      <c r="R43"/>
      <c r="S43" s="17"/>
      <c r="T43" s="17"/>
    </row>
    <row r="44" spans="1:20" x14ac:dyDescent="0.25">
      <c r="A44">
        <v>43</v>
      </c>
      <c r="B44" t="s">
        <v>682</v>
      </c>
      <c r="C44" s="63" t="str" cm="1">
        <f t="array" ref="C44">_xlfn.IFS(bharadhidhasan[[#This Row],[OCTOBER]]="M","M",bharadhidhasan[[#This Row],[OCTOBER]]="A","A",bharadhidhasan[[#This Row],[OCTOBER]]="","",bharadhidhasan[[#This Row],[OCTOBER]]&gt;100,"P")</f>
        <v/>
      </c>
      <c r="D44" t="s">
        <v>78</v>
      </c>
      <c r="E44" s="44" t="s">
        <v>683</v>
      </c>
      <c r="F44" s="44" t="s">
        <v>684</v>
      </c>
      <c r="O44" s="17">
        <v>200</v>
      </c>
      <c r="Q44"/>
      <c r="R44"/>
      <c r="S44" s="17"/>
      <c r="T44" s="17"/>
    </row>
    <row r="45" spans="1:20" x14ac:dyDescent="0.25">
      <c r="A45">
        <v>44</v>
      </c>
      <c r="B45" t="s">
        <v>685</v>
      </c>
      <c r="C45" s="63" t="str" cm="1">
        <f t="array" ref="C45">_xlfn.IFS(bharadhidhasan[[#This Row],[OCTOBER]]="M","M",bharadhidhasan[[#This Row],[OCTOBER]]="A","A",bharadhidhasan[[#This Row],[OCTOBER]]="","",bharadhidhasan[[#This Row],[OCTOBER]]&gt;100,"P")</f>
        <v/>
      </c>
      <c r="D45" t="s">
        <v>242</v>
      </c>
      <c r="E45" s="44" t="s">
        <v>686</v>
      </c>
      <c r="F45" s="44" t="s">
        <v>687</v>
      </c>
      <c r="Q45"/>
      <c r="R45"/>
      <c r="S45" s="17"/>
      <c r="T45" s="17"/>
    </row>
    <row r="46" spans="1:20" x14ac:dyDescent="0.25">
      <c r="A46">
        <v>45</v>
      </c>
      <c r="B46" t="s">
        <v>688</v>
      </c>
      <c r="C46" s="63" t="str" cm="1">
        <f t="array" ref="C46">_xlfn.IFS(bharadhidhasan[[#This Row],[OCTOBER]]="M","M",bharadhidhasan[[#This Row],[OCTOBER]]="A","A",bharadhidhasan[[#This Row],[OCTOBER]]="","",bharadhidhasan[[#This Row],[OCTOBER]]&gt;100,"P")</f>
        <v/>
      </c>
      <c r="D46" t="s">
        <v>25</v>
      </c>
      <c r="E46" s="44" t="s">
        <v>689</v>
      </c>
      <c r="F46" s="44" t="s">
        <v>690</v>
      </c>
      <c r="O46" s="17">
        <v>200</v>
      </c>
      <c r="Q46"/>
      <c r="R46"/>
      <c r="S46" s="17"/>
      <c r="T46" s="17"/>
    </row>
    <row r="47" spans="1:20" x14ac:dyDescent="0.25">
      <c r="A47">
        <v>46</v>
      </c>
      <c r="B47" t="s">
        <v>691</v>
      </c>
      <c r="C47" s="63" t="str" cm="1">
        <f t="array" ref="C47">_xlfn.IFS(bharadhidhasan[[#This Row],[OCTOBER]]="M","M",bharadhidhasan[[#This Row],[OCTOBER]]="A","A",bharadhidhasan[[#This Row],[OCTOBER]]="","",bharadhidhasan[[#This Row],[OCTOBER]]&gt;100,"P")</f>
        <v/>
      </c>
      <c r="D47" t="s">
        <v>78</v>
      </c>
      <c r="E47" s="44" t="s">
        <v>692</v>
      </c>
      <c r="F47" s="44" t="s">
        <v>693</v>
      </c>
      <c r="O47" s="17" t="s">
        <v>321</v>
      </c>
      <c r="Q47"/>
      <c r="R47"/>
      <c r="S47" s="17"/>
      <c r="T47" s="17"/>
    </row>
    <row r="48" spans="1:20" x14ac:dyDescent="0.25">
      <c r="A48">
        <v>47</v>
      </c>
      <c r="B48" t="s">
        <v>523</v>
      </c>
      <c r="C48" s="63" t="str" cm="1">
        <f t="array" ref="C48">_xlfn.IFS(bharadhidhasan[[#This Row],[OCTOBER]]="M","M",bharadhidhasan[[#This Row],[OCTOBER]]="A","A",bharadhidhasan[[#This Row],[OCTOBER]]="","",bharadhidhasan[[#This Row],[OCTOBER]]&gt;100,"P")</f>
        <v/>
      </c>
      <c r="D48" t="s">
        <v>78</v>
      </c>
      <c r="E48" s="44" t="s">
        <v>694</v>
      </c>
      <c r="F48" s="44" t="s">
        <v>695</v>
      </c>
      <c r="O48" s="17">
        <v>200</v>
      </c>
      <c r="Q48"/>
      <c r="R48"/>
      <c r="S48" s="17"/>
      <c r="T48" s="17"/>
    </row>
    <row r="49" spans="1:20" x14ac:dyDescent="0.25">
      <c r="A49">
        <v>48</v>
      </c>
      <c r="B49" t="s">
        <v>696</v>
      </c>
      <c r="C49" s="63" t="str" cm="1">
        <f t="array" ref="C49">_xlfn.IFS(bharadhidhasan[[#This Row],[OCTOBER]]="M","M",bharadhidhasan[[#This Row],[OCTOBER]]="A","A",bharadhidhasan[[#This Row],[OCTOBER]]="","",bharadhidhasan[[#This Row],[OCTOBER]]&gt;100,"P")</f>
        <v/>
      </c>
      <c r="E49" s="44" t="s">
        <v>697</v>
      </c>
      <c r="F49" s="44" t="s">
        <v>698</v>
      </c>
      <c r="Q49"/>
      <c r="R49"/>
      <c r="S49" s="17"/>
      <c r="T49" s="17"/>
    </row>
    <row r="50" spans="1:20" x14ac:dyDescent="0.25">
      <c r="A50">
        <v>49</v>
      </c>
      <c r="B50" t="s">
        <v>699</v>
      </c>
      <c r="C50" s="63" t="str" cm="1">
        <f t="array" ref="C50">_xlfn.IFS(bharadhidhasan[[#This Row],[OCTOBER]]="M","M",bharadhidhasan[[#This Row],[OCTOBER]]="A","A",bharadhidhasan[[#This Row],[OCTOBER]]="","",bharadhidhasan[[#This Row],[OCTOBER]]&gt;100,"P")</f>
        <v/>
      </c>
      <c r="D50" t="s">
        <v>78</v>
      </c>
      <c r="E50" s="44" t="s">
        <v>700</v>
      </c>
      <c r="F50" s="44" t="s">
        <v>701</v>
      </c>
      <c r="Q50"/>
      <c r="R50"/>
      <c r="S50" s="17"/>
      <c r="T50" s="17"/>
    </row>
    <row r="51" spans="1:20" x14ac:dyDescent="0.25">
      <c r="A51">
        <v>50</v>
      </c>
      <c r="B51" t="s">
        <v>702</v>
      </c>
      <c r="C51" s="63" t="str" cm="1">
        <f t="array" ref="C51">_xlfn.IFS(bharadhidhasan[[#This Row],[OCTOBER]]="M","M",bharadhidhasan[[#This Row],[OCTOBER]]="A","A",bharadhidhasan[[#This Row],[OCTOBER]]="","",bharadhidhasan[[#This Row],[OCTOBER]]&gt;100,"P")</f>
        <v/>
      </c>
      <c r="D51" t="s">
        <v>78</v>
      </c>
      <c r="E51" s="44" t="s">
        <v>703</v>
      </c>
      <c r="F51" s="44" t="s">
        <v>704</v>
      </c>
      <c r="O51" s="17" t="s">
        <v>321</v>
      </c>
      <c r="Q51"/>
      <c r="R51"/>
      <c r="S51" s="17"/>
      <c r="T51" s="17"/>
    </row>
    <row r="52" spans="1:20" x14ac:dyDescent="0.25">
      <c r="A52">
        <v>51</v>
      </c>
      <c r="B52" t="s">
        <v>705</v>
      </c>
      <c r="C52" s="63" t="str" cm="1">
        <f t="array" ref="C52">_xlfn.IFS(bharadhidhasan[[#This Row],[OCTOBER]]="M","M",bharadhidhasan[[#This Row],[OCTOBER]]="A","A",bharadhidhasan[[#This Row],[OCTOBER]]="","",bharadhidhasan[[#This Row],[OCTOBER]]&gt;100,"P")</f>
        <v/>
      </c>
      <c r="D52" t="s">
        <v>35</v>
      </c>
      <c r="E52" s="44" t="s">
        <v>706</v>
      </c>
      <c r="F52" s="44" t="s">
        <v>707</v>
      </c>
      <c r="Q52"/>
      <c r="R52"/>
      <c r="S52" s="17"/>
      <c r="T52" s="17"/>
    </row>
    <row r="53" spans="1:20" x14ac:dyDescent="0.25">
      <c r="A53">
        <v>52</v>
      </c>
      <c r="B53" t="s">
        <v>708</v>
      </c>
      <c r="C53" s="63" t="str" cm="1">
        <f t="array" ref="C53">_xlfn.IFS(bharadhidhasan[[#This Row],[OCTOBER]]="M","M",bharadhidhasan[[#This Row],[OCTOBER]]="A","A",bharadhidhasan[[#This Row],[OCTOBER]]="","",bharadhidhasan[[#This Row],[OCTOBER]]&gt;100,"P")</f>
        <v/>
      </c>
      <c r="D53" t="s">
        <v>78</v>
      </c>
      <c r="E53" s="44" t="s">
        <v>709</v>
      </c>
      <c r="F53" s="44" t="s">
        <v>710</v>
      </c>
      <c r="Q53"/>
      <c r="R53"/>
      <c r="S53" s="17"/>
      <c r="T53" s="17"/>
    </row>
    <row r="54" spans="1:20" x14ac:dyDescent="0.25">
      <c r="A54">
        <v>53</v>
      </c>
      <c r="B54" t="s">
        <v>711</v>
      </c>
      <c r="C54" s="63" t="str" cm="1">
        <f t="array" ref="C54">_xlfn.IFS(bharadhidhasan[[#This Row],[OCTOBER]]="M","M",bharadhidhasan[[#This Row],[OCTOBER]]="A","A",bharadhidhasan[[#This Row],[OCTOBER]]="","",bharadhidhasan[[#This Row],[OCTOBER]]&gt;100,"P")</f>
        <v/>
      </c>
      <c r="D54" t="s">
        <v>25</v>
      </c>
      <c r="E54" s="44" t="s">
        <v>712</v>
      </c>
      <c r="F54" s="44" t="s">
        <v>713</v>
      </c>
      <c r="O54" s="17" t="s">
        <v>585</v>
      </c>
      <c r="Q54"/>
      <c r="R54"/>
      <c r="S54" s="17"/>
      <c r="T54" s="17"/>
    </row>
    <row r="55" spans="1:20" x14ac:dyDescent="0.25">
      <c r="A55">
        <v>54</v>
      </c>
      <c r="B55" t="s">
        <v>714</v>
      </c>
      <c r="C55" s="63" t="str" cm="1">
        <f t="array" ref="C55">_xlfn.IFS(bharadhidhasan[[#This Row],[OCTOBER]]="M","M",bharadhidhasan[[#This Row],[OCTOBER]]="A","A",bharadhidhasan[[#This Row],[OCTOBER]]="","",bharadhidhasan[[#This Row],[OCTOBER]]&gt;100,"P")</f>
        <v/>
      </c>
      <c r="D55" t="s">
        <v>25</v>
      </c>
      <c r="E55" s="44" t="s">
        <v>715</v>
      </c>
      <c r="F55" s="44" t="s">
        <v>716</v>
      </c>
      <c r="O55" s="17" t="s">
        <v>585</v>
      </c>
      <c r="Q55"/>
      <c r="R55"/>
      <c r="S55" s="17"/>
      <c r="T55" s="17"/>
    </row>
    <row r="56" spans="1:20" x14ac:dyDescent="0.25">
      <c r="A56">
        <v>55</v>
      </c>
      <c r="B56" t="s">
        <v>717</v>
      </c>
      <c r="C56" s="63" t="str" cm="1">
        <f t="array" ref="C56">_xlfn.IFS(bharadhidhasan[[#This Row],[OCTOBER]]="M","M",bharadhidhasan[[#This Row],[OCTOBER]]="A","A",bharadhidhasan[[#This Row],[OCTOBER]]="","",bharadhidhasan[[#This Row],[OCTOBER]]&gt;100,"P")</f>
        <v/>
      </c>
      <c r="D56" t="s">
        <v>21</v>
      </c>
      <c r="E56" s="44" t="s">
        <v>718</v>
      </c>
      <c r="F56" s="44" t="s">
        <v>719</v>
      </c>
      <c r="Q56"/>
      <c r="R56"/>
      <c r="S56" s="17"/>
      <c r="T56" s="17"/>
    </row>
    <row r="57" spans="1:20" x14ac:dyDescent="0.25">
      <c r="A57">
        <v>56</v>
      </c>
      <c r="B57" t="s">
        <v>720</v>
      </c>
      <c r="C57" s="63" t="str" cm="1">
        <f t="array" ref="C57">_xlfn.IFS(bharadhidhasan[[#This Row],[OCTOBER]]="M","M",bharadhidhasan[[#This Row],[OCTOBER]]="A","A",bharadhidhasan[[#This Row],[OCTOBER]]="","",bharadhidhasan[[#This Row],[OCTOBER]]&gt;100,"P")</f>
        <v/>
      </c>
      <c r="E57" s="44" t="s">
        <v>721</v>
      </c>
      <c r="F57" s="44" t="s">
        <v>722</v>
      </c>
      <c r="Q57"/>
      <c r="R57"/>
      <c r="S57" s="17"/>
      <c r="T57" s="17"/>
    </row>
    <row r="58" spans="1:20" x14ac:dyDescent="0.25">
      <c r="A58">
        <v>57</v>
      </c>
      <c r="B58" t="s">
        <v>125</v>
      </c>
      <c r="C58" s="63" t="str" cm="1">
        <f t="array" ref="C58">_xlfn.IFS(bharadhidhasan[[#This Row],[OCTOBER]]="M","M",bharadhidhasan[[#This Row],[OCTOBER]]="A","A",bharadhidhasan[[#This Row],[OCTOBER]]="","",bharadhidhasan[[#This Row],[OCTOBER]]&gt;100,"P")</f>
        <v/>
      </c>
      <c r="D58" t="s">
        <v>21</v>
      </c>
      <c r="E58" s="44" t="s">
        <v>723</v>
      </c>
      <c r="F58" s="44" t="s">
        <v>724</v>
      </c>
      <c r="O58" s="17">
        <v>500</v>
      </c>
      <c r="Q58"/>
      <c r="R58"/>
      <c r="S58" s="17"/>
      <c r="T58" s="17"/>
    </row>
    <row r="59" spans="1:20" x14ac:dyDescent="0.25">
      <c r="A59">
        <v>58</v>
      </c>
      <c r="B59" t="s">
        <v>725</v>
      </c>
      <c r="C59" s="63" t="str" cm="1">
        <f t="array" ref="C59">_xlfn.IFS(bharadhidhasan[[#This Row],[OCTOBER]]="M","M",bharadhidhasan[[#This Row],[OCTOBER]]="A","A",bharadhidhasan[[#This Row],[OCTOBER]]="","",bharadhidhasan[[#This Row],[OCTOBER]]&gt;100,"P")</f>
        <v/>
      </c>
      <c r="D59" t="s">
        <v>25</v>
      </c>
      <c r="E59" s="44" t="s">
        <v>726</v>
      </c>
      <c r="F59" s="44" t="s">
        <v>727</v>
      </c>
      <c r="O59" s="17" t="s">
        <v>321</v>
      </c>
      <c r="Q59"/>
      <c r="R59"/>
      <c r="S59" s="17"/>
      <c r="T59" s="17"/>
    </row>
    <row r="60" spans="1:20" x14ac:dyDescent="0.25">
      <c r="A60">
        <v>59</v>
      </c>
      <c r="B60" t="s">
        <v>728</v>
      </c>
      <c r="C60" s="63" t="str" cm="1">
        <f t="array" ref="C60">_xlfn.IFS(bharadhidhasan[[#This Row],[OCTOBER]]="M","M",bharadhidhasan[[#This Row],[OCTOBER]]="A","A",bharadhidhasan[[#This Row],[OCTOBER]]="","",bharadhidhasan[[#This Row],[OCTOBER]]&gt;100,"P")</f>
        <v/>
      </c>
      <c r="D60" t="s">
        <v>25</v>
      </c>
      <c r="E60" s="44" t="s">
        <v>729</v>
      </c>
      <c r="F60" s="44" t="s">
        <v>730</v>
      </c>
      <c r="O60" s="17">
        <v>200</v>
      </c>
      <c r="Q60"/>
      <c r="R60"/>
      <c r="S60" s="17"/>
      <c r="T60" s="17"/>
    </row>
    <row r="61" spans="1:20" x14ac:dyDescent="0.25">
      <c r="A61">
        <v>60</v>
      </c>
      <c r="B61" t="s">
        <v>731</v>
      </c>
      <c r="C61" s="63" t="str" cm="1">
        <f t="array" ref="C61">_xlfn.IFS(bharadhidhasan[[#This Row],[OCTOBER]]="M","M",bharadhidhasan[[#This Row],[OCTOBER]]="A","A",bharadhidhasan[[#This Row],[OCTOBER]]="","",bharadhidhasan[[#This Row],[OCTOBER]]&gt;100,"P")</f>
        <v/>
      </c>
      <c r="D61" t="s">
        <v>732</v>
      </c>
      <c r="E61" s="44" t="s">
        <v>733</v>
      </c>
      <c r="F61" s="44" t="s">
        <v>734</v>
      </c>
      <c r="O61" s="17" t="s">
        <v>321</v>
      </c>
      <c r="Q61"/>
      <c r="R61"/>
      <c r="S61" s="17"/>
      <c r="T61" s="17"/>
    </row>
    <row r="62" spans="1:20" x14ac:dyDescent="0.25">
      <c r="A62">
        <v>61</v>
      </c>
      <c r="B62" t="s">
        <v>735</v>
      </c>
      <c r="C62" s="63" t="str" cm="1">
        <f t="array" ref="C62">_xlfn.IFS(bharadhidhasan[[#This Row],[OCTOBER]]="M","M",bharadhidhasan[[#This Row],[OCTOBER]]="A","A",bharadhidhasan[[#This Row],[OCTOBER]]="","",bharadhidhasan[[#This Row],[OCTOBER]]&gt;100,"P")</f>
        <v/>
      </c>
      <c r="D62" t="s">
        <v>78</v>
      </c>
      <c r="E62" s="44" t="s">
        <v>736</v>
      </c>
      <c r="F62" s="44" t="s">
        <v>737</v>
      </c>
      <c r="O62" s="17" t="s">
        <v>321</v>
      </c>
      <c r="Q62"/>
      <c r="R62"/>
      <c r="S62" s="17"/>
      <c r="T62" s="17"/>
    </row>
    <row r="63" spans="1:20" x14ac:dyDescent="0.25">
      <c r="A63">
        <v>62</v>
      </c>
      <c r="B63" t="s">
        <v>738</v>
      </c>
      <c r="C63" s="63" t="str" cm="1">
        <f t="array" ref="C63">_xlfn.IFS(bharadhidhasan[[#This Row],[OCTOBER]]="M","M",bharadhidhasan[[#This Row],[OCTOBER]]="A","A",bharadhidhasan[[#This Row],[OCTOBER]]="","",bharadhidhasan[[#This Row],[OCTOBER]]&gt;100,"P")</f>
        <v/>
      </c>
      <c r="D63" t="s">
        <v>739</v>
      </c>
      <c r="E63" s="44" t="s">
        <v>740</v>
      </c>
      <c r="F63" s="44" t="s">
        <v>741</v>
      </c>
      <c r="O63" s="17" t="s">
        <v>321</v>
      </c>
      <c r="Q63"/>
      <c r="R63"/>
      <c r="S63" s="17"/>
      <c r="T63" s="17"/>
    </row>
    <row r="64" spans="1:20" x14ac:dyDescent="0.25">
      <c r="A64">
        <v>63</v>
      </c>
      <c r="B64" t="s">
        <v>742</v>
      </c>
      <c r="C64" s="63" t="str" cm="1">
        <f t="array" ref="C64">_xlfn.IFS(bharadhidhasan[[#This Row],[OCTOBER]]="M","M",bharadhidhasan[[#This Row],[OCTOBER]]="A","A",bharadhidhasan[[#This Row],[OCTOBER]]="","",bharadhidhasan[[#This Row],[OCTOBER]]&gt;100,"P")</f>
        <v/>
      </c>
      <c r="D64" t="s">
        <v>25</v>
      </c>
      <c r="E64" s="44" t="s">
        <v>743</v>
      </c>
      <c r="F64" s="44" t="s">
        <v>734</v>
      </c>
      <c r="O64" s="17" t="s">
        <v>321</v>
      </c>
      <c r="Q64"/>
      <c r="R64"/>
      <c r="S64" s="17"/>
      <c r="T64" s="17"/>
    </row>
    <row r="65" spans="1:20" x14ac:dyDescent="0.25">
      <c r="A65">
        <v>64</v>
      </c>
      <c r="B65" t="s">
        <v>744</v>
      </c>
      <c r="C65" s="63" t="str" cm="1">
        <f t="array" ref="C65">_xlfn.IFS(bharadhidhasan[[#This Row],[OCTOBER]]="M","M",bharadhidhasan[[#This Row],[OCTOBER]]="A","A",bharadhidhasan[[#This Row],[OCTOBER]]="","",bharadhidhasan[[#This Row],[OCTOBER]]&gt;100,"P")</f>
        <v/>
      </c>
      <c r="D65" t="s">
        <v>25</v>
      </c>
      <c r="E65" s="44" t="s">
        <v>745</v>
      </c>
      <c r="F65" s="44" t="s">
        <v>746</v>
      </c>
      <c r="O65" s="17" t="s">
        <v>747</v>
      </c>
      <c r="Q65"/>
      <c r="R65"/>
      <c r="S65" s="17"/>
      <c r="T65" s="17"/>
    </row>
    <row r="66" spans="1:20" x14ac:dyDescent="0.25">
      <c r="A66" t="s">
        <v>298</v>
      </c>
      <c r="D66">
        <f>SUBTOTAL(103,bharadhidhasan[Package])</f>
        <v>58</v>
      </c>
      <c r="E66">
        <f>SUBTOTAL(103,bharadhidhasan[Box No])</f>
        <v>63</v>
      </c>
      <c r="F66">
        <f>SUBTOTAL(103,bharadhidhasan[CAF_ID])</f>
        <v>62</v>
      </c>
      <c r="G66" s="17">
        <f>SUBTOTAL(109,bharadhidhasan[JANUARY])</f>
        <v>0</v>
      </c>
      <c r="H66" s="17">
        <f>SUBTOTAL(109,bharadhidhasan[FEBEUARY])</f>
        <v>0</v>
      </c>
      <c r="I66" s="17">
        <f>SUBTOTAL(109,bharadhidhasan[MARCH])</f>
        <v>0</v>
      </c>
      <c r="J66" s="17">
        <f>SUBTOTAL(109,bharadhidhasan[APRIL])</f>
        <v>0</v>
      </c>
      <c r="K66" s="17">
        <f>SUBTOTAL(109,bharadhidhasan[MAY])</f>
        <v>0</v>
      </c>
      <c r="L66" s="17">
        <f>SUBTOTAL(109,bharadhidhasan[JUNE])</f>
        <v>0</v>
      </c>
      <c r="M66" s="17">
        <f>SUBTOTAL(109,bharadhidhasan[JULY])</f>
        <v>0</v>
      </c>
      <c r="N66" s="17">
        <f>SUBTOTAL(109,bharadhidhasan[AUGUST])</f>
        <v>0</v>
      </c>
      <c r="O66" s="17">
        <f>SUBTOTAL(109,bharadhidhasan[SEPTEMBER])</f>
        <v>6010</v>
      </c>
      <c r="P66" s="17">
        <f>SUBTOTAL(109,bharadhidhasan[OCTOBER])</f>
        <v>0</v>
      </c>
      <c r="Q66" s="17">
        <f>SUBTOTAL(109,bharadhidhasan[NOVEMBER])</f>
        <v>0</v>
      </c>
      <c r="R66" s="17">
        <f>SUBTOTAL(109,bharadhidhasan[DECEMBER])</f>
        <v>0</v>
      </c>
      <c r="S66" s="17">
        <f>SUBTOTAL(109,bharadhidhasan[BALANCE])</f>
        <v>0</v>
      </c>
      <c r="T66" s="17"/>
    </row>
    <row r="68" spans="1:20" x14ac:dyDescent="0.25">
      <c r="B68" s="39" t="s">
        <v>299</v>
      </c>
      <c r="C68" s="39">
        <f>COUNTIF(bharadhidhasan[PAID],"P")</f>
        <v>1</v>
      </c>
    </row>
    <row r="69" spans="1:20" x14ac:dyDescent="0.25">
      <c r="B69" s="33"/>
      <c r="C69" s="33"/>
    </row>
    <row r="70" spans="1:20" x14ac:dyDescent="0.25">
      <c r="B70" s="35" t="s">
        <v>300</v>
      </c>
      <c r="C70" s="43">
        <f>COUNTIF(C2:C65,"P")</f>
        <v>1</v>
      </c>
    </row>
    <row r="71" spans="1:20" x14ac:dyDescent="0.25">
      <c r="B71" s="36" t="s">
        <v>301</v>
      </c>
      <c r="C71" s="42">
        <f>COUNTIF(C2:C65,"NP")</f>
        <v>0</v>
      </c>
    </row>
    <row r="72" spans="1:20" x14ac:dyDescent="0.25">
      <c r="B72" s="33"/>
      <c r="C72" s="33"/>
    </row>
    <row r="73" spans="1:20" x14ac:dyDescent="0.25">
      <c r="B73" s="39" t="s">
        <v>302</v>
      </c>
      <c r="C73" s="39">
        <f>C70+C71</f>
        <v>1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23"/>
  <sheetViews>
    <sheetView zoomScale="115" zoomScaleNormal="115" workbookViewId="0">
      <selection activeCell="T15" sqref="T15"/>
    </sheetView>
  </sheetViews>
  <sheetFormatPr defaultRowHeight="15" x14ac:dyDescent="0.25"/>
  <cols>
    <col min="1" max="1" width="5.85546875" style="61" customWidth="1"/>
    <col min="2" max="2" width="21.7109375" style="61" customWidth="1"/>
    <col min="3" max="3" width="7.42578125" style="61" customWidth="1"/>
    <col min="4" max="4" width="30.85546875" style="61" customWidth="1"/>
    <col min="5" max="5" width="23.42578125" style="61" customWidth="1"/>
    <col min="6" max="6" width="11.7109375" style="61" customWidth="1"/>
    <col min="7" max="7" width="11.28515625" style="44" hidden="1" customWidth="1"/>
    <col min="8" max="14" width="11.28515625" style="52" hidden="1" customWidth="1"/>
    <col min="15" max="18" width="11.28515625" style="52" customWidth="1"/>
    <col min="19" max="19" width="11.28515625" style="61" customWidth="1"/>
    <col min="20" max="20" width="37" style="61" customWidth="1"/>
    <col min="21" max="25" width="9.140625" style="61" customWidth="1"/>
    <col min="26" max="16384" width="9.140625" style="6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44" t="s">
        <v>19</v>
      </c>
    </row>
    <row r="2" spans="1:20" x14ac:dyDescent="0.25">
      <c r="A2">
        <v>1</v>
      </c>
      <c r="B2" t="s">
        <v>748</v>
      </c>
      <c r="C2" s="63" t="str" cm="1">
        <f t="array" ref="C2">_xlfn.IFS(Poothu_Kovil[[#This Row],[OCTOBER]]="M","M",Poothu_Kovil[[#This Row],[OCTOBER]]="A","A",Poothu_Kovil[[#This Row],[OCTOBER]]="","",Poothu_Kovil[[#This Row],[OCTOBER]]&gt;100,"P")</f>
        <v/>
      </c>
      <c r="D2" t="s">
        <v>21</v>
      </c>
      <c r="E2" s="44" t="s">
        <v>749</v>
      </c>
      <c r="F2" t="s">
        <v>750</v>
      </c>
      <c r="G2" s="52"/>
      <c r="O2" s="52">
        <v>200</v>
      </c>
      <c r="Q2" s="61"/>
      <c r="R2" s="61"/>
      <c r="S2" s="52"/>
      <c r="T2" s="44"/>
    </row>
    <row r="3" spans="1:20" x14ac:dyDescent="0.25">
      <c r="A3">
        <v>2</v>
      </c>
      <c r="B3" t="s">
        <v>751</v>
      </c>
      <c r="C3" s="63" t="str" cm="1">
        <f t="array" ref="C3">_xlfn.IFS(Poothu_Kovil[[#This Row],[OCTOBER]]="M","M",Poothu_Kovil[[#This Row],[OCTOBER]]="A","A",Poothu_Kovil[[#This Row],[OCTOBER]]="","",Poothu_Kovil[[#This Row],[OCTOBER]]&gt;100,"P")</f>
        <v/>
      </c>
      <c r="D3" t="s">
        <v>78</v>
      </c>
      <c r="E3" s="44" t="s">
        <v>752</v>
      </c>
      <c r="F3" s="44" t="s">
        <v>753</v>
      </c>
      <c r="G3" s="52"/>
      <c r="O3" s="52" t="s">
        <v>321</v>
      </c>
      <c r="Q3" s="61"/>
      <c r="R3" s="61"/>
      <c r="S3" s="52"/>
      <c r="T3" s="44"/>
    </row>
    <row r="4" spans="1:20" x14ac:dyDescent="0.25">
      <c r="A4">
        <v>3</v>
      </c>
      <c r="B4" t="s">
        <v>754</v>
      </c>
      <c r="C4" s="63" t="str" cm="1">
        <f t="array" ref="C4">_xlfn.IFS(Poothu_Kovil[[#This Row],[OCTOBER]]="M","M",Poothu_Kovil[[#This Row],[OCTOBER]]="A","A",Poothu_Kovil[[#This Row],[OCTOBER]]="","",Poothu_Kovil[[#This Row],[OCTOBER]]&gt;100,"P")</f>
        <v/>
      </c>
      <c r="D4" t="s">
        <v>21</v>
      </c>
      <c r="E4" s="44" t="s">
        <v>755</v>
      </c>
      <c r="F4" s="44" t="s">
        <v>756</v>
      </c>
      <c r="G4" s="52"/>
      <c r="Q4" s="61"/>
      <c r="R4" s="61"/>
      <c r="S4" s="52"/>
      <c r="T4" s="44"/>
    </row>
    <row r="5" spans="1:20" x14ac:dyDescent="0.25">
      <c r="A5">
        <v>4</v>
      </c>
      <c r="B5" t="s">
        <v>748</v>
      </c>
      <c r="C5" s="63" t="str" cm="1">
        <f t="array" ref="C5">_xlfn.IFS(Poothu_Kovil[[#This Row],[OCTOBER]]="M","M",Poothu_Kovil[[#This Row],[OCTOBER]]="A","A",Poothu_Kovil[[#This Row],[OCTOBER]]="","",Poothu_Kovil[[#This Row],[OCTOBER]]&gt;100,"P")</f>
        <v/>
      </c>
      <c r="D5" t="s">
        <v>78</v>
      </c>
      <c r="E5" s="44" t="s">
        <v>757</v>
      </c>
      <c r="F5" t="s">
        <v>758</v>
      </c>
      <c r="G5" s="52"/>
      <c r="O5" s="52">
        <v>200</v>
      </c>
      <c r="Q5" s="61"/>
      <c r="R5" s="61"/>
      <c r="S5" s="52">
        <v>500</v>
      </c>
      <c r="T5" s="44"/>
    </row>
    <row r="6" spans="1:20" x14ac:dyDescent="0.25">
      <c r="A6">
        <v>5</v>
      </c>
      <c r="B6" t="s">
        <v>735</v>
      </c>
      <c r="C6" s="63" t="str" cm="1">
        <f t="array" ref="C6">_xlfn.IFS(Poothu_Kovil[[#This Row],[OCTOBER]]="M","M",Poothu_Kovil[[#This Row],[OCTOBER]]="A","A",Poothu_Kovil[[#This Row],[OCTOBER]]="","",Poothu_Kovil[[#This Row],[OCTOBER]]&gt;100,"P")</f>
        <v/>
      </c>
      <c r="D6" t="s">
        <v>35</v>
      </c>
      <c r="E6" s="44" t="s">
        <v>759</v>
      </c>
      <c r="F6" t="s">
        <v>760</v>
      </c>
      <c r="G6" s="52"/>
      <c r="O6" s="52">
        <v>200</v>
      </c>
      <c r="Q6" s="61"/>
      <c r="R6" s="61"/>
      <c r="S6" s="52"/>
      <c r="T6" s="44"/>
    </row>
    <row r="7" spans="1:20" x14ac:dyDescent="0.25">
      <c r="A7">
        <v>6</v>
      </c>
      <c r="B7" t="s">
        <v>761</v>
      </c>
      <c r="C7" s="63" t="str" cm="1">
        <f t="array" ref="C7">_xlfn.IFS(Poothu_Kovil[[#This Row],[OCTOBER]]="M","M",Poothu_Kovil[[#This Row],[OCTOBER]]="A","A",Poothu_Kovil[[#This Row],[OCTOBER]]="","",Poothu_Kovil[[#This Row],[OCTOBER]]&gt;100,"P")</f>
        <v/>
      </c>
      <c r="D7" t="s">
        <v>78</v>
      </c>
      <c r="E7" s="44" t="s">
        <v>762</v>
      </c>
      <c r="F7" t="s">
        <v>763</v>
      </c>
      <c r="G7" s="52"/>
      <c r="O7" s="52">
        <v>200</v>
      </c>
      <c r="Q7" s="61"/>
      <c r="R7" s="61"/>
      <c r="S7" s="52"/>
      <c r="T7" s="44"/>
    </row>
    <row r="8" spans="1:20" x14ac:dyDescent="0.25">
      <c r="A8">
        <v>7</v>
      </c>
      <c r="B8" t="s">
        <v>764</v>
      </c>
      <c r="C8" s="63" t="str" cm="1">
        <f t="array" ref="C8">_xlfn.IFS(Poothu_Kovil[[#This Row],[OCTOBER]]="M","M",Poothu_Kovil[[#This Row],[OCTOBER]]="A","A",Poothu_Kovil[[#This Row],[OCTOBER]]="","",Poothu_Kovil[[#This Row],[OCTOBER]]&gt;100,"P")</f>
        <v/>
      </c>
      <c r="D8" t="s">
        <v>765</v>
      </c>
      <c r="E8" s="44" t="s">
        <v>766</v>
      </c>
      <c r="F8" t="s">
        <v>767</v>
      </c>
      <c r="G8" s="52"/>
      <c r="O8" s="52">
        <v>200</v>
      </c>
      <c r="Q8" s="61"/>
      <c r="R8" s="61"/>
      <c r="S8" s="52"/>
      <c r="T8" s="44"/>
    </row>
    <row r="9" spans="1:20" x14ac:dyDescent="0.25">
      <c r="A9">
        <v>8</v>
      </c>
      <c r="B9" t="s">
        <v>768</v>
      </c>
      <c r="C9" s="63" t="str" cm="1">
        <f t="array" ref="C9">_xlfn.IFS(Poothu_Kovil[[#This Row],[OCTOBER]]="M","M",Poothu_Kovil[[#This Row],[OCTOBER]]="A","A",Poothu_Kovil[[#This Row],[OCTOBER]]="","",Poothu_Kovil[[#This Row],[OCTOBER]]&gt;100,"P")</f>
        <v/>
      </c>
      <c r="D9" t="s">
        <v>25</v>
      </c>
      <c r="E9" s="44" t="s">
        <v>769</v>
      </c>
      <c r="F9" t="s">
        <v>770</v>
      </c>
      <c r="G9" s="52"/>
      <c r="O9" s="52">
        <v>200</v>
      </c>
      <c r="Q9" s="61"/>
      <c r="R9" s="61"/>
      <c r="S9" s="52"/>
      <c r="T9" s="44"/>
    </row>
    <row r="10" spans="1:20" x14ac:dyDescent="0.25">
      <c r="A10">
        <v>9</v>
      </c>
      <c r="B10" t="s">
        <v>771</v>
      </c>
      <c r="C10" s="63" t="str" cm="1">
        <f t="array" ref="C10">_xlfn.IFS(Poothu_Kovil[[#This Row],[OCTOBER]]="M","M",Poothu_Kovil[[#This Row],[OCTOBER]]="A","A",Poothu_Kovil[[#This Row],[OCTOBER]]="","",Poothu_Kovil[[#This Row],[OCTOBER]]&gt;100,"P")</f>
        <v/>
      </c>
      <c r="D10" t="s">
        <v>35</v>
      </c>
      <c r="E10" s="44" t="s">
        <v>772</v>
      </c>
      <c r="F10" t="s">
        <v>773</v>
      </c>
      <c r="G10" s="52"/>
      <c r="O10" s="52">
        <v>200</v>
      </c>
      <c r="Q10" s="61"/>
      <c r="R10" s="61"/>
      <c r="S10" s="52"/>
      <c r="T10" s="44"/>
    </row>
    <row r="11" spans="1:20" x14ac:dyDescent="0.25">
      <c r="A11">
        <v>10</v>
      </c>
      <c r="B11" t="s">
        <v>374</v>
      </c>
      <c r="C11" s="63" t="str" cm="1">
        <f t="array" ref="C11">_xlfn.IFS(Poothu_Kovil[[#This Row],[OCTOBER]]="M","M",Poothu_Kovil[[#This Row],[OCTOBER]]="A","A",Poothu_Kovil[[#This Row],[OCTOBER]]="","",Poothu_Kovil[[#This Row],[OCTOBER]]&gt;100,"P")</f>
        <v/>
      </c>
      <c r="D11" t="s">
        <v>35</v>
      </c>
      <c r="E11" s="44" t="s">
        <v>774</v>
      </c>
      <c r="F11" t="s">
        <v>775</v>
      </c>
      <c r="G11" s="52"/>
      <c r="O11" s="52">
        <v>200</v>
      </c>
      <c r="Q11" s="61"/>
      <c r="R11" s="61"/>
      <c r="S11" s="52"/>
      <c r="T11" s="44"/>
    </row>
    <row r="12" spans="1:20" x14ac:dyDescent="0.25">
      <c r="A12">
        <v>11</v>
      </c>
      <c r="B12" t="s">
        <v>776</v>
      </c>
      <c r="C12" s="63" t="str" cm="1">
        <f t="array" ref="C12">_xlfn.IFS(Poothu_Kovil[[#This Row],[OCTOBER]]="M","M",Poothu_Kovil[[#This Row],[OCTOBER]]="A","A",Poothu_Kovil[[#This Row],[OCTOBER]]="","",Poothu_Kovil[[#This Row],[OCTOBER]]&gt;100,"P")</f>
        <v/>
      </c>
      <c r="D12" t="s">
        <v>21</v>
      </c>
      <c r="E12" s="44" t="s">
        <v>777</v>
      </c>
      <c r="F12" t="s">
        <v>778</v>
      </c>
      <c r="G12" s="52"/>
      <c r="Q12" s="61"/>
      <c r="R12" s="61"/>
      <c r="S12" s="52"/>
      <c r="T12" s="44"/>
    </row>
    <row r="13" spans="1:20" x14ac:dyDescent="0.25">
      <c r="A13">
        <v>12</v>
      </c>
      <c r="B13" t="s">
        <v>779</v>
      </c>
      <c r="C13" s="63" t="str" cm="1">
        <f t="array" ref="C13">_xlfn.IFS(Poothu_Kovil[[#This Row],[OCTOBER]]="M","M",Poothu_Kovil[[#This Row],[OCTOBER]]="A","A",Poothu_Kovil[[#This Row],[OCTOBER]]="","",Poothu_Kovil[[#This Row],[OCTOBER]]&gt;100,"P")</f>
        <v/>
      </c>
      <c r="D13" t="s">
        <v>21</v>
      </c>
      <c r="E13" s="44" t="s">
        <v>780</v>
      </c>
      <c r="F13" t="s">
        <v>781</v>
      </c>
      <c r="G13" s="52"/>
      <c r="N13" s="52" t="s">
        <v>224</v>
      </c>
      <c r="O13" s="52" t="s">
        <v>2397</v>
      </c>
      <c r="Q13" s="61"/>
      <c r="R13" s="61"/>
      <c r="S13" s="52">
        <v>160</v>
      </c>
      <c r="T13" s="44" t="s">
        <v>2398</v>
      </c>
    </row>
    <row r="14" spans="1:20" x14ac:dyDescent="0.25">
      <c r="A14">
        <v>13</v>
      </c>
      <c r="B14" t="s">
        <v>782</v>
      </c>
      <c r="C14" s="63" t="str" cm="1">
        <f t="array" ref="C14">_xlfn.IFS(Poothu_Kovil[[#This Row],[OCTOBER]]="M","M",Poothu_Kovil[[#This Row],[OCTOBER]]="A","A",Poothu_Kovil[[#This Row],[OCTOBER]]="","",Poothu_Kovil[[#This Row],[OCTOBER]]&gt;100,"P")</f>
        <v/>
      </c>
      <c r="D14" t="s">
        <v>21</v>
      </c>
      <c r="E14" s="44" t="s">
        <v>783</v>
      </c>
      <c r="F14" t="s">
        <v>784</v>
      </c>
      <c r="G14" s="52"/>
      <c r="O14" s="52">
        <v>220</v>
      </c>
      <c r="Q14" s="61"/>
      <c r="R14" s="61"/>
      <c r="S14" s="52"/>
      <c r="T14" s="44"/>
    </row>
    <row r="15" spans="1:20" x14ac:dyDescent="0.25">
      <c r="A15">
        <v>14</v>
      </c>
      <c r="B15" t="s">
        <v>312</v>
      </c>
      <c r="C15" s="63" t="str" cm="1">
        <f t="array" ref="C15">_xlfn.IFS(Poothu_Kovil[[#This Row],[OCTOBER]]="M","M",Poothu_Kovil[[#This Row],[OCTOBER]]="A","A",Poothu_Kovil[[#This Row],[OCTOBER]]="","",Poothu_Kovil[[#This Row],[OCTOBER]]&gt;100,"P")</f>
        <v/>
      </c>
      <c r="D15" t="s">
        <v>21</v>
      </c>
      <c r="E15" s="44" t="s">
        <v>785</v>
      </c>
      <c r="F15" t="s">
        <v>786</v>
      </c>
      <c r="G15" s="52"/>
      <c r="O15" s="52">
        <v>200</v>
      </c>
      <c r="Q15" s="61"/>
      <c r="R15" s="61"/>
      <c r="S15" s="52"/>
      <c r="T15" s="44"/>
    </row>
    <row r="16" spans="1:20" x14ac:dyDescent="0.25">
      <c r="A16" t="s">
        <v>298</v>
      </c>
      <c r="D16">
        <f>SUBTOTAL(103,Poothu_Kovil[Package])</f>
        <v>14</v>
      </c>
      <c r="E16">
        <f>SUBTOTAL(103,Poothu_Kovil[Box No])</f>
        <v>14</v>
      </c>
      <c r="F16">
        <f>SUBTOTAL(103,Poothu_Kovil[CAF_ID])</f>
        <v>14</v>
      </c>
      <c r="G16" s="52">
        <f>SUBTOTAL(109,Poothu_Kovil[JANUARY])</f>
        <v>0</v>
      </c>
      <c r="H16" s="52">
        <f>SUBTOTAL(109,Poothu_Kovil[FEBEUARY])</f>
        <v>0</v>
      </c>
      <c r="I16" s="52">
        <f>SUBTOTAL(109,Poothu_Kovil[MARCH])</f>
        <v>0</v>
      </c>
      <c r="J16" s="52">
        <f>SUBTOTAL(109,Poothu_Kovil[APRIL])</f>
        <v>0</v>
      </c>
      <c r="K16" s="52">
        <f>SUBTOTAL(109,Poothu_Kovil[MAY])</f>
        <v>0</v>
      </c>
      <c r="L16" s="52">
        <f>SUBTOTAL(109,Poothu_Kovil[JUNE])</f>
        <v>0</v>
      </c>
      <c r="M16" s="52">
        <f>SUBTOTAL(109,Poothu_Kovil[JULY])</f>
        <v>0</v>
      </c>
      <c r="N16" s="52">
        <f>SUBTOTAL(109,Poothu_Kovil[AUGUST])</f>
        <v>0</v>
      </c>
      <c r="O16" s="52">
        <f>SUBTOTAL(109,Poothu_Kovil[SEPTEMBER])</f>
        <v>2020</v>
      </c>
      <c r="P16" s="52">
        <f>SUBTOTAL(109,Poothu_Kovil[OCTOBER])</f>
        <v>0</v>
      </c>
      <c r="Q16" s="52">
        <f>SUBTOTAL(109,Poothu_Kovil[NOVEMBER])</f>
        <v>0</v>
      </c>
      <c r="R16" s="52">
        <f>SUBTOTAL(109,Poothu_Kovil[DECEMBER])</f>
        <v>0</v>
      </c>
      <c r="S16" s="52">
        <f>SUBTOTAL(109,Poothu_Kovil[BALANCE])</f>
        <v>660</v>
      </c>
      <c r="T16" s="44"/>
    </row>
    <row r="18" spans="2:4" x14ac:dyDescent="0.25">
      <c r="B18" s="39" t="s">
        <v>299</v>
      </c>
      <c r="C18" s="39">
        <f>COUNTIF(C2:C15,"P")</f>
        <v>0</v>
      </c>
    </row>
    <row r="19" spans="2:4" x14ac:dyDescent="0.25">
      <c r="B19" s="33"/>
      <c r="C19" s="33"/>
      <c r="D19"/>
    </row>
    <row r="20" spans="2:4" x14ac:dyDescent="0.25">
      <c r="B20" s="35" t="s">
        <v>300</v>
      </c>
      <c r="C20" s="43">
        <f>COUNTIF(C2:C15,"P")</f>
        <v>0</v>
      </c>
    </row>
    <row r="21" spans="2:4" x14ac:dyDescent="0.25">
      <c r="B21" s="36" t="s">
        <v>301</v>
      </c>
      <c r="C21" s="42">
        <f>COUNTIF(C2:C15,"NP")</f>
        <v>0</v>
      </c>
    </row>
    <row r="22" spans="2:4" x14ac:dyDescent="0.25">
      <c r="B22" s="33"/>
      <c r="C22" s="33"/>
    </row>
    <row r="23" spans="2:4" x14ac:dyDescent="0.25">
      <c r="B23" s="39" t="s">
        <v>302</v>
      </c>
      <c r="C23" s="39">
        <f>C20+C21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T48"/>
  <sheetViews>
    <sheetView zoomScale="115" zoomScaleNormal="115" workbookViewId="0">
      <selection activeCell="O11" sqref="O11"/>
    </sheetView>
  </sheetViews>
  <sheetFormatPr defaultRowHeight="15" x14ac:dyDescent="0.25"/>
  <cols>
    <col min="1" max="1" width="6.140625" style="61" customWidth="1"/>
    <col min="2" max="2" width="22.28515625" style="61" customWidth="1"/>
    <col min="3" max="3" width="7" style="61" customWidth="1"/>
    <col min="4" max="4" width="30.28515625" style="61" customWidth="1"/>
    <col min="5" max="5" width="23" style="61" customWidth="1"/>
    <col min="6" max="6" width="9.140625" style="44" customWidth="1"/>
    <col min="7" max="14" width="11.140625" style="17" hidden="1" customWidth="1"/>
    <col min="15" max="18" width="11.140625" style="17" customWidth="1"/>
    <col min="19" max="19" width="11.140625" customWidth="1"/>
    <col min="20" max="20" width="36.28515625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44" t="s">
        <v>19</v>
      </c>
    </row>
    <row r="2" spans="1:20" x14ac:dyDescent="0.25">
      <c r="A2">
        <v>1</v>
      </c>
      <c r="B2" t="s">
        <v>787</v>
      </c>
      <c r="C2" s="63" t="str" cm="1">
        <f t="array" ref="C2">_xlfn.IFS(Mannikam_Muthaliyar1[[#This Row],[OCTOBER]]="M","M",Mannikam_Muthaliyar1[[#This Row],[OCTOBER]]="A","A",Mannikam_Muthaliyar1[[#This Row],[OCTOBER]]="","",Mannikam_Muthaliyar1[[#This Row],[OCTOBER]]&gt;100,"P")</f>
        <v/>
      </c>
      <c r="D2" t="s">
        <v>25</v>
      </c>
      <c r="E2" s="44" t="s">
        <v>788</v>
      </c>
      <c r="F2" s="44" t="s">
        <v>789</v>
      </c>
      <c r="O2" s="17">
        <v>200</v>
      </c>
      <c r="Q2"/>
      <c r="R2"/>
      <c r="S2" s="17"/>
      <c r="T2" s="17"/>
    </row>
    <row r="3" spans="1:20" x14ac:dyDescent="0.25">
      <c r="A3">
        <v>2</v>
      </c>
      <c r="B3" t="s">
        <v>790</v>
      </c>
      <c r="C3" s="63" t="str" cm="1">
        <f t="array" ref="C3">_xlfn.IFS(Mannikam_Muthaliyar1[[#This Row],[OCTOBER]]="M","M",Mannikam_Muthaliyar1[[#This Row],[OCTOBER]]="A","A",Mannikam_Muthaliyar1[[#This Row],[OCTOBER]]="","",Mannikam_Muthaliyar1[[#This Row],[OCTOBER]]&gt;100,"P")</f>
        <v/>
      </c>
      <c r="D3" t="s">
        <v>35</v>
      </c>
      <c r="E3" s="44" t="s">
        <v>791</v>
      </c>
      <c r="F3" s="44" t="s">
        <v>792</v>
      </c>
      <c r="O3" s="17">
        <v>200</v>
      </c>
      <c r="Q3"/>
      <c r="R3"/>
      <c r="S3" s="17"/>
      <c r="T3" s="17"/>
    </row>
    <row r="4" spans="1:20" x14ac:dyDescent="0.25">
      <c r="A4">
        <v>3</v>
      </c>
      <c r="B4" t="s">
        <v>233</v>
      </c>
      <c r="C4" s="63" t="str" cm="1">
        <f t="array" ref="C4">_xlfn.IFS(Mannikam_Muthaliyar1[[#This Row],[OCTOBER]]="M","M",Mannikam_Muthaliyar1[[#This Row],[OCTOBER]]="A","A",Mannikam_Muthaliyar1[[#This Row],[OCTOBER]]="","",Mannikam_Muthaliyar1[[#This Row],[OCTOBER]]&gt;100,"P")</f>
        <v/>
      </c>
      <c r="D4" t="s">
        <v>35</v>
      </c>
      <c r="E4" s="44" t="s">
        <v>793</v>
      </c>
      <c r="F4" s="44" t="s">
        <v>794</v>
      </c>
      <c r="O4" s="17">
        <v>200</v>
      </c>
      <c r="Q4"/>
      <c r="R4"/>
      <c r="S4" s="17"/>
      <c r="T4" s="17"/>
    </row>
    <row r="5" spans="1:20" x14ac:dyDescent="0.25">
      <c r="A5">
        <v>4</v>
      </c>
      <c r="B5" t="s">
        <v>120</v>
      </c>
      <c r="C5" s="63" t="str" cm="1">
        <f t="array" ref="C5">_xlfn.IFS(Mannikam_Muthaliyar1[[#This Row],[OCTOBER]]="M","M",Mannikam_Muthaliyar1[[#This Row],[OCTOBER]]="A","A",Mannikam_Muthaliyar1[[#This Row],[OCTOBER]]="","",Mannikam_Muthaliyar1[[#This Row],[OCTOBER]]&gt;100,"P")</f>
        <v/>
      </c>
      <c r="D5" t="s">
        <v>35</v>
      </c>
      <c r="E5" s="44" t="s">
        <v>795</v>
      </c>
      <c r="F5" s="44" t="s">
        <v>796</v>
      </c>
      <c r="O5" s="17">
        <v>400</v>
      </c>
      <c r="Q5"/>
      <c r="R5"/>
      <c r="S5" s="17"/>
      <c r="T5" s="17"/>
    </row>
    <row r="6" spans="1:20" x14ac:dyDescent="0.25">
      <c r="A6">
        <v>5</v>
      </c>
      <c r="B6" t="s">
        <v>797</v>
      </c>
      <c r="C6" s="63" t="str" cm="1">
        <f t="array" ref="C6">_xlfn.IFS(Mannikam_Muthaliyar1[[#This Row],[OCTOBER]]="M","M",Mannikam_Muthaliyar1[[#This Row],[OCTOBER]]="A","A",Mannikam_Muthaliyar1[[#This Row],[OCTOBER]]="","",Mannikam_Muthaliyar1[[#This Row],[OCTOBER]]&gt;100,"P")</f>
        <v/>
      </c>
      <c r="D6" t="s">
        <v>25</v>
      </c>
      <c r="E6" s="44" t="s">
        <v>798</v>
      </c>
      <c r="F6" s="44" t="s">
        <v>799</v>
      </c>
      <c r="O6" s="17">
        <v>200</v>
      </c>
      <c r="Q6"/>
      <c r="R6"/>
      <c r="S6" s="17"/>
      <c r="T6" s="17"/>
    </row>
    <row r="7" spans="1:20" x14ac:dyDescent="0.25">
      <c r="A7">
        <v>6</v>
      </c>
      <c r="B7" t="s">
        <v>312</v>
      </c>
      <c r="C7" s="63" t="str" cm="1">
        <f t="array" ref="C7">_xlfn.IFS(Mannikam_Muthaliyar1[[#This Row],[OCTOBER]]="M","M",Mannikam_Muthaliyar1[[#This Row],[OCTOBER]]="A","A",Mannikam_Muthaliyar1[[#This Row],[OCTOBER]]="","",Mannikam_Muthaliyar1[[#This Row],[OCTOBER]]&gt;100,"P")</f>
        <v/>
      </c>
      <c r="D7" t="s">
        <v>21</v>
      </c>
      <c r="E7" s="44" t="s">
        <v>800</v>
      </c>
      <c r="F7" s="44" t="s">
        <v>801</v>
      </c>
      <c r="O7" s="17">
        <v>200</v>
      </c>
      <c r="Q7"/>
      <c r="R7"/>
      <c r="S7" s="17"/>
      <c r="T7" s="17"/>
    </row>
    <row r="8" spans="1:20" x14ac:dyDescent="0.25">
      <c r="A8">
        <v>7</v>
      </c>
      <c r="B8" t="s">
        <v>802</v>
      </c>
      <c r="C8" s="63" t="str" cm="1">
        <f t="array" ref="C8">_xlfn.IFS(Mannikam_Muthaliyar1[[#This Row],[OCTOBER]]="M","M",Mannikam_Muthaliyar1[[#This Row],[OCTOBER]]="A","A",Mannikam_Muthaliyar1[[#This Row],[OCTOBER]]="","",Mannikam_Muthaliyar1[[#This Row],[OCTOBER]]&gt;100,"P")</f>
        <v/>
      </c>
      <c r="D8" t="s">
        <v>25</v>
      </c>
      <c r="E8" s="44" t="s">
        <v>803</v>
      </c>
      <c r="F8" s="44" t="s">
        <v>804</v>
      </c>
      <c r="O8" s="17">
        <v>200</v>
      </c>
      <c r="Q8"/>
      <c r="R8"/>
      <c r="S8" s="17"/>
      <c r="T8" s="17"/>
    </row>
    <row r="9" spans="1:20" x14ac:dyDescent="0.25">
      <c r="A9">
        <v>8</v>
      </c>
      <c r="B9" t="s">
        <v>370</v>
      </c>
      <c r="C9" s="63" t="str" cm="1">
        <f t="array" ref="C9">_xlfn.IFS(Mannikam_Muthaliyar1[[#This Row],[OCTOBER]]="M","M",Mannikam_Muthaliyar1[[#This Row],[OCTOBER]]="A","A",Mannikam_Muthaliyar1[[#This Row],[OCTOBER]]="","",Mannikam_Muthaliyar1[[#This Row],[OCTOBER]]&gt;100,"P")</f>
        <v/>
      </c>
      <c r="D9" t="s">
        <v>805</v>
      </c>
      <c r="E9" s="44" t="s">
        <v>806</v>
      </c>
      <c r="F9" s="44" t="s">
        <v>807</v>
      </c>
      <c r="O9" s="17">
        <v>200</v>
      </c>
      <c r="Q9"/>
      <c r="R9"/>
      <c r="S9" s="17"/>
      <c r="T9" s="17"/>
    </row>
    <row r="10" spans="1:20" x14ac:dyDescent="0.25">
      <c r="A10">
        <v>9</v>
      </c>
      <c r="B10" t="s">
        <v>808</v>
      </c>
      <c r="C10" s="63" t="str" cm="1">
        <f t="array" ref="C10">_xlfn.IFS(Mannikam_Muthaliyar1[[#This Row],[OCTOBER]]="M","M",Mannikam_Muthaliyar1[[#This Row],[OCTOBER]]="A","A",Mannikam_Muthaliyar1[[#This Row],[OCTOBER]]="","",Mannikam_Muthaliyar1[[#This Row],[OCTOBER]]&gt;100,"P")</f>
        <v/>
      </c>
      <c r="D10" t="s">
        <v>78</v>
      </c>
      <c r="E10" s="44" t="s">
        <v>809</v>
      </c>
      <c r="F10" s="44" t="s">
        <v>810</v>
      </c>
      <c r="O10" s="17" t="s">
        <v>321</v>
      </c>
      <c r="Q10"/>
      <c r="R10"/>
      <c r="S10" s="17"/>
      <c r="T10" s="17"/>
    </row>
    <row r="11" spans="1:20" x14ac:dyDescent="0.25">
      <c r="A11">
        <v>10</v>
      </c>
      <c r="B11" t="s">
        <v>691</v>
      </c>
      <c r="C11" s="63" t="str" cm="1">
        <f t="array" ref="C11">_xlfn.IFS(Mannikam_Muthaliyar1[[#This Row],[OCTOBER]]="M","M",Mannikam_Muthaliyar1[[#This Row],[OCTOBER]]="A","A",Mannikam_Muthaliyar1[[#This Row],[OCTOBER]]="","",Mannikam_Muthaliyar1[[#This Row],[OCTOBER]]&gt;100,"P")</f>
        <v/>
      </c>
      <c r="D11" t="s">
        <v>35</v>
      </c>
      <c r="E11" s="44" t="s">
        <v>811</v>
      </c>
      <c r="F11" s="44" t="s">
        <v>812</v>
      </c>
      <c r="Q11"/>
      <c r="R11"/>
      <c r="S11" s="17"/>
      <c r="T11" s="17"/>
    </row>
    <row r="12" spans="1:20" x14ac:dyDescent="0.25">
      <c r="A12">
        <v>11</v>
      </c>
      <c r="B12" t="s">
        <v>813</v>
      </c>
      <c r="C12" s="63" t="str" cm="1">
        <f t="array" ref="C12">_xlfn.IFS(Mannikam_Muthaliyar1[[#This Row],[OCTOBER]]="M","M",Mannikam_Muthaliyar1[[#This Row],[OCTOBER]]="A","A",Mannikam_Muthaliyar1[[#This Row],[OCTOBER]]="","",Mannikam_Muthaliyar1[[#This Row],[OCTOBER]]&gt;100,"P")</f>
        <v/>
      </c>
      <c r="D12" t="s">
        <v>21</v>
      </c>
      <c r="E12" s="44" t="s">
        <v>814</v>
      </c>
      <c r="F12" s="44" t="s">
        <v>815</v>
      </c>
      <c r="Q12"/>
      <c r="R12"/>
      <c r="S12" s="17"/>
      <c r="T12" s="17"/>
    </row>
    <row r="13" spans="1:20" x14ac:dyDescent="0.25">
      <c r="A13">
        <v>12</v>
      </c>
      <c r="B13" t="s">
        <v>816</v>
      </c>
      <c r="C13" s="63" t="str" cm="1">
        <f t="array" ref="C13">_xlfn.IFS(Mannikam_Muthaliyar1[[#This Row],[OCTOBER]]="M","M",Mannikam_Muthaliyar1[[#This Row],[OCTOBER]]="A","A",Mannikam_Muthaliyar1[[#This Row],[OCTOBER]]="","",Mannikam_Muthaliyar1[[#This Row],[OCTOBER]]&gt;100,"P")</f>
        <v/>
      </c>
      <c r="D13" t="s">
        <v>21</v>
      </c>
      <c r="E13" s="44" t="s">
        <v>817</v>
      </c>
      <c r="F13" s="44" t="s">
        <v>818</v>
      </c>
      <c r="Q13"/>
      <c r="R13"/>
      <c r="S13" s="17"/>
      <c r="T13" s="17"/>
    </row>
    <row r="14" spans="1:20" x14ac:dyDescent="0.25">
      <c r="A14">
        <v>13</v>
      </c>
      <c r="B14" t="s">
        <v>125</v>
      </c>
      <c r="C14" s="63" t="str" cm="1">
        <f t="array" ref="C14">_xlfn.IFS(Mannikam_Muthaliyar1[[#This Row],[OCTOBER]]="M","M",Mannikam_Muthaliyar1[[#This Row],[OCTOBER]]="A","A",Mannikam_Muthaliyar1[[#This Row],[OCTOBER]]="","",Mannikam_Muthaliyar1[[#This Row],[OCTOBER]]&gt;100,"P")</f>
        <v/>
      </c>
      <c r="D14" t="s">
        <v>25</v>
      </c>
      <c r="E14" s="44" t="s">
        <v>819</v>
      </c>
      <c r="F14" s="44" t="s">
        <v>820</v>
      </c>
      <c r="O14" s="17">
        <v>220</v>
      </c>
      <c r="Q14"/>
      <c r="R14"/>
      <c r="S14" s="17"/>
      <c r="T14" s="17"/>
    </row>
    <row r="15" spans="1:20" x14ac:dyDescent="0.25">
      <c r="A15">
        <v>14</v>
      </c>
      <c r="B15" t="s">
        <v>821</v>
      </c>
      <c r="C15" s="63" t="str" cm="1">
        <f t="array" ref="C15">_xlfn.IFS(Mannikam_Muthaliyar1[[#This Row],[OCTOBER]]="M","M",Mannikam_Muthaliyar1[[#This Row],[OCTOBER]]="A","A",Mannikam_Muthaliyar1[[#This Row],[OCTOBER]]="","",Mannikam_Muthaliyar1[[#This Row],[OCTOBER]]&gt;100,"P")</f>
        <v/>
      </c>
      <c r="D15" t="s">
        <v>21</v>
      </c>
      <c r="E15" s="44" t="s">
        <v>822</v>
      </c>
      <c r="F15" s="44" t="s">
        <v>823</v>
      </c>
      <c r="O15" s="17">
        <v>220</v>
      </c>
      <c r="Q15"/>
      <c r="R15"/>
      <c r="S15" s="17"/>
      <c r="T15" s="17"/>
    </row>
    <row r="16" spans="1:20" x14ac:dyDescent="0.25">
      <c r="A16">
        <v>15</v>
      </c>
      <c r="B16" t="s">
        <v>824</v>
      </c>
      <c r="C16" s="63" t="str" cm="1">
        <f t="array" ref="C16">_xlfn.IFS(Mannikam_Muthaliyar1[[#This Row],[OCTOBER]]="M","M",Mannikam_Muthaliyar1[[#This Row],[OCTOBER]]="A","A",Mannikam_Muthaliyar1[[#This Row],[OCTOBER]]="","",Mannikam_Muthaliyar1[[#This Row],[OCTOBER]]&gt;100,"P")</f>
        <v/>
      </c>
      <c r="D16" t="s">
        <v>35</v>
      </c>
      <c r="E16" s="44" t="s">
        <v>825</v>
      </c>
      <c r="F16" s="44" t="s">
        <v>826</v>
      </c>
      <c r="O16" s="17">
        <v>200</v>
      </c>
      <c r="Q16"/>
      <c r="R16"/>
      <c r="S16" s="17"/>
      <c r="T16" s="17"/>
    </row>
    <row r="17" spans="1:20" x14ac:dyDescent="0.25">
      <c r="A17">
        <v>16</v>
      </c>
      <c r="B17" t="s">
        <v>827</v>
      </c>
      <c r="C17" s="63" t="str" cm="1">
        <f t="array" ref="C17">_xlfn.IFS(Mannikam_Muthaliyar1[[#This Row],[OCTOBER]]="M","M",Mannikam_Muthaliyar1[[#This Row],[OCTOBER]]="A","A",Mannikam_Muthaliyar1[[#This Row],[OCTOBER]]="","",Mannikam_Muthaliyar1[[#This Row],[OCTOBER]]&gt;100,"P")</f>
        <v/>
      </c>
      <c r="D17" t="s">
        <v>35</v>
      </c>
      <c r="E17" s="44" t="s">
        <v>828</v>
      </c>
      <c r="F17" s="44" t="s">
        <v>829</v>
      </c>
      <c r="O17" s="17">
        <v>200</v>
      </c>
      <c r="Q17"/>
      <c r="R17"/>
      <c r="S17" s="17"/>
      <c r="T17" s="17"/>
    </row>
    <row r="18" spans="1:20" x14ac:dyDescent="0.25">
      <c r="A18">
        <v>17</v>
      </c>
      <c r="B18" t="s">
        <v>830</v>
      </c>
      <c r="C18" s="63" t="str" cm="1">
        <f t="array" ref="C18">_xlfn.IFS(Mannikam_Muthaliyar1[[#This Row],[OCTOBER]]="M","M",Mannikam_Muthaliyar1[[#This Row],[OCTOBER]]="A","A",Mannikam_Muthaliyar1[[#This Row],[OCTOBER]]="","",Mannikam_Muthaliyar1[[#This Row],[OCTOBER]]&gt;100,"P")</f>
        <v/>
      </c>
      <c r="D18" t="s">
        <v>25</v>
      </c>
      <c r="E18" s="44" t="s">
        <v>831</v>
      </c>
      <c r="F18" s="44" t="s">
        <v>832</v>
      </c>
      <c r="Q18"/>
      <c r="R18"/>
      <c r="S18" s="17"/>
      <c r="T18" s="17"/>
    </row>
    <row r="19" spans="1:20" x14ac:dyDescent="0.25">
      <c r="A19" t="s">
        <v>298</v>
      </c>
      <c r="D19">
        <f>SUBTOTAL(103,Mannikam_Muthaliyar1[Package])</f>
        <v>17</v>
      </c>
      <c r="E19">
        <f>SUBTOTAL(103,Mannikam_Muthaliyar1[Box No])</f>
        <v>17</v>
      </c>
      <c r="F19" s="44">
        <f>SUBTOTAL(103,Mannikam_Muthaliyar1[CAF_ID])</f>
        <v>17</v>
      </c>
      <c r="G19" s="17">
        <f>SUBTOTAL(109,Mannikam_Muthaliyar1[JANUARY])</f>
        <v>0</v>
      </c>
      <c r="H19" s="17">
        <f>SUBTOTAL(109,Mannikam_Muthaliyar1[FEBEUARY])</f>
        <v>0</v>
      </c>
      <c r="I19" s="17">
        <f>SUBTOTAL(109,Mannikam_Muthaliyar1[MARCH])</f>
        <v>0</v>
      </c>
      <c r="J19" s="17">
        <f>SUBTOTAL(109,Mannikam_Muthaliyar1[APRIL])</f>
        <v>0</v>
      </c>
      <c r="K19" s="17">
        <f>SUBTOTAL(109,Mannikam_Muthaliyar1[MAY])</f>
        <v>0</v>
      </c>
      <c r="L19" s="17">
        <f>SUBTOTAL(109,Mannikam_Muthaliyar1[JUNE])</f>
        <v>0</v>
      </c>
      <c r="M19" s="17">
        <f>SUBTOTAL(109,Mannikam_Muthaliyar1[JULY])</f>
        <v>0</v>
      </c>
      <c r="N19" s="17">
        <f>SUBTOTAL(109,Mannikam_Muthaliyar1[AUGUST])</f>
        <v>0</v>
      </c>
      <c r="O19" s="17">
        <f>SUBTOTAL(109,Mannikam_Muthaliyar1[SEPTEMBER])</f>
        <v>2640</v>
      </c>
      <c r="P19" s="17">
        <f>SUBTOTAL(109,Mannikam_Muthaliyar1[OCTOBER])</f>
        <v>0</v>
      </c>
      <c r="Q19" s="17">
        <f>SUBTOTAL(109,Mannikam_Muthaliyar1[NOVEMBER])</f>
        <v>0</v>
      </c>
      <c r="R19" s="17">
        <f>SUBTOTAL(109,Mannikam_Muthaliyar1[DECEMBER])</f>
        <v>0</v>
      </c>
      <c r="S19" s="17">
        <f>SUBTOTAL(109,Mannikam_Muthaliyar1[BALANCE])</f>
        <v>0</v>
      </c>
      <c r="T19" s="17"/>
    </row>
    <row r="20" spans="1:20" x14ac:dyDescent="0.25">
      <c r="E20" s="44"/>
    </row>
    <row r="21" spans="1:20" x14ac:dyDescent="0.25">
      <c r="B21" s="39" t="s">
        <v>299</v>
      </c>
      <c r="C21" s="39">
        <f>COUNTIF(Mannikam_Muthaliyar1[PAID],"P")</f>
        <v>0</v>
      </c>
    </row>
    <row r="23" spans="1:20" x14ac:dyDescent="0.25">
      <c r="B23" s="13" t="s">
        <v>300</v>
      </c>
      <c r="C23" s="43">
        <f>COUNTIF(C2:C18,"P")</f>
        <v>0</v>
      </c>
    </row>
    <row r="24" spans="1:20" x14ac:dyDescent="0.25">
      <c r="B24" s="14" t="s">
        <v>301</v>
      </c>
      <c r="C24" s="42">
        <f>COUNTIF(C2:C18,"NP")</f>
        <v>0</v>
      </c>
    </row>
    <row r="26" spans="1:20" x14ac:dyDescent="0.25">
      <c r="B26" s="39" t="s">
        <v>302</v>
      </c>
      <c r="C26" s="39">
        <f>C23+C24</f>
        <v>0</v>
      </c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48"/>
  <sheetViews>
    <sheetView zoomScale="115" zoomScaleNormal="115" workbookViewId="0">
      <selection activeCell="P13" sqref="P13"/>
    </sheetView>
  </sheetViews>
  <sheetFormatPr defaultRowHeight="15" x14ac:dyDescent="0.25"/>
  <cols>
    <col min="1" max="1" width="6.140625" style="61" customWidth="1"/>
    <col min="2" max="2" width="19.85546875" style="61" customWidth="1"/>
    <col min="3" max="3" width="6.5703125" style="61" customWidth="1"/>
    <col min="4" max="4" width="30.28515625" style="61" customWidth="1"/>
    <col min="5" max="5" width="25.5703125" style="61" customWidth="1"/>
    <col min="6" max="6" width="9.140625" style="61" customWidth="1"/>
    <col min="7" max="14" width="10.28515625" style="17" hidden="1" customWidth="1"/>
    <col min="15" max="18" width="10.28515625" style="17" customWidth="1"/>
    <col min="19" max="19" width="10.28515625" style="61" customWidth="1"/>
    <col min="20" max="20" width="38" style="61" customWidth="1"/>
    <col min="21" max="25" width="9.140625" style="61" customWidth="1"/>
    <col min="26" max="16384" width="9.140625" style="6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44" t="s">
        <v>19</v>
      </c>
    </row>
    <row r="2" spans="1:20" x14ac:dyDescent="0.25">
      <c r="A2">
        <v>1</v>
      </c>
      <c r="B2" t="s">
        <v>833</v>
      </c>
      <c r="C2" s="63" t="str" cm="1">
        <f t="array" ref="C2">_xlfn.IFS(Mannikam_Muthaliyar2[[#This Row],[OCTOBER]]="M","M",Mannikam_Muthaliyar2[[#This Row],[OCTOBER]]="A","A",Mannikam_Muthaliyar2[[#This Row],[OCTOBER]]="","",Mannikam_Muthaliyar2[[#This Row],[OCTOBER]]&gt;100,"P")</f>
        <v/>
      </c>
      <c r="D2" t="s">
        <v>78</v>
      </c>
      <c r="E2" s="44" t="s">
        <v>834</v>
      </c>
      <c r="F2" t="s">
        <v>835</v>
      </c>
      <c r="O2" s="17" t="s">
        <v>2395</v>
      </c>
      <c r="Q2" s="61"/>
      <c r="R2" s="61"/>
      <c r="S2" s="17"/>
      <c r="T2" s="17"/>
    </row>
    <row r="3" spans="1:20" x14ac:dyDescent="0.25">
      <c r="A3">
        <v>2</v>
      </c>
      <c r="B3" t="s">
        <v>836</v>
      </c>
      <c r="C3" s="63" t="str" cm="1">
        <f t="array" ref="C3">_xlfn.IFS(Mannikam_Muthaliyar2[[#This Row],[OCTOBER]]="M","M",Mannikam_Muthaliyar2[[#This Row],[OCTOBER]]="A","A",Mannikam_Muthaliyar2[[#This Row],[OCTOBER]]="","",Mannikam_Muthaliyar2[[#This Row],[OCTOBER]]&gt;100,"P")</f>
        <v/>
      </c>
      <c r="D3" t="s">
        <v>21</v>
      </c>
      <c r="E3" s="44" t="s">
        <v>837</v>
      </c>
      <c r="F3" s="44" t="s">
        <v>838</v>
      </c>
      <c r="O3" s="17" t="s">
        <v>321</v>
      </c>
      <c r="Q3" s="61"/>
      <c r="R3" s="61"/>
      <c r="S3" s="17"/>
      <c r="T3" s="17"/>
    </row>
    <row r="4" spans="1:20" x14ac:dyDescent="0.25">
      <c r="A4">
        <v>3</v>
      </c>
      <c r="B4" t="s">
        <v>839</v>
      </c>
      <c r="C4" s="63" t="str" cm="1">
        <f t="array" ref="C4">_xlfn.IFS(Mannikam_Muthaliyar2[[#This Row],[OCTOBER]]="M","M",Mannikam_Muthaliyar2[[#This Row],[OCTOBER]]="A","A",Mannikam_Muthaliyar2[[#This Row],[OCTOBER]]="","",Mannikam_Muthaliyar2[[#This Row],[OCTOBER]]&gt;100,"P")</f>
        <v/>
      </c>
      <c r="D4" t="s">
        <v>25</v>
      </c>
      <c r="E4" s="44" t="s">
        <v>840</v>
      </c>
      <c r="F4" t="s">
        <v>841</v>
      </c>
      <c r="O4" s="17" t="s">
        <v>321</v>
      </c>
      <c r="Q4" s="61"/>
      <c r="R4" s="61"/>
      <c r="S4" s="17"/>
      <c r="T4" s="17"/>
    </row>
    <row r="5" spans="1:20" x14ac:dyDescent="0.25">
      <c r="A5">
        <v>4</v>
      </c>
      <c r="B5" t="s">
        <v>842</v>
      </c>
      <c r="C5" s="63" t="str" cm="1">
        <f t="array" ref="C5">_xlfn.IFS(Mannikam_Muthaliyar2[[#This Row],[OCTOBER]]="M","M",Mannikam_Muthaliyar2[[#This Row],[OCTOBER]]="A","A",Mannikam_Muthaliyar2[[#This Row],[OCTOBER]]="","",Mannikam_Muthaliyar2[[#This Row],[OCTOBER]]&gt;100,"P")</f>
        <v/>
      </c>
      <c r="D5" t="s">
        <v>78</v>
      </c>
      <c r="E5" s="44" t="s">
        <v>843</v>
      </c>
      <c r="F5" t="s">
        <v>844</v>
      </c>
      <c r="O5" s="17">
        <v>200</v>
      </c>
      <c r="Q5" s="61"/>
      <c r="R5" s="61"/>
      <c r="S5" s="17"/>
      <c r="T5" s="17"/>
    </row>
    <row r="6" spans="1:20" x14ac:dyDescent="0.25">
      <c r="A6">
        <v>5</v>
      </c>
      <c r="B6" t="s">
        <v>845</v>
      </c>
      <c r="C6" s="63" t="str" cm="1">
        <f t="array" ref="C6">_xlfn.IFS(Mannikam_Muthaliyar2[[#This Row],[OCTOBER]]="M","M",Mannikam_Muthaliyar2[[#This Row],[OCTOBER]]="A","A",Mannikam_Muthaliyar2[[#This Row],[OCTOBER]]="","",Mannikam_Muthaliyar2[[#This Row],[OCTOBER]]&gt;100,"P")</f>
        <v/>
      </c>
      <c r="D6" t="s">
        <v>25</v>
      </c>
      <c r="E6" s="44" t="s">
        <v>846</v>
      </c>
      <c r="F6" t="s">
        <v>847</v>
      </c>
      <c r="O6" s="17">
        <v>500</v>
      </c>
      <c r="Q6" s="61"/>
      <c r="R6" s="61"/>
      <c r="S6" s="17"/>
      <c r="T6" s="17"/>
    </row>
    <row r="7" spans="1:20" x14ac:dyDescent="0.25">
      <c r="A7">
        <v>6</v>
      </c>
      <c r="B7" t="s">
        <v>848</v>
      </c>
      <c r="C7" s="63" t="str" cm="1">
        <f t="array" ref="C7">_xlfn.IFS(Mannikam_Muthaliyar2[[#This Row],[OCTOBER]]="M","M",Mannikam_Muthaliyar2[[#This Row],[OCTOBER]]="A","A",Mannikam_Muthaliyar2[[#This Row],[OCTOBER]]="","",Mannikam_Muthaliyar2[[#This Row],[OCTOBER]]&gt;100,"P")</f>
        <v/>
      </c>
      <c r="D7" t="s">
        <v>25</v>
      </c>
      <c r="E7" s="44" t="s">
        <v>849</v>
      </c>
      <c r="F7" t="s">
        <v>850</v>
      </c>
      <c r="N7" s="17" t="s">
        <v>344</v>
      </c>
      <c r="O7" s="17">
        <v>200</v>
      </c>
      <c r="Q7" s="61"/>
      <c r="R7" s="61"/>
      <c r="S7" s="17"/>
      <c r="T7" s="17"/>
    </row>
    <row r="8" spans="1:20" x14ac:dyDescent="0.25">
      <c r="A8">
        <v>7</v>
      </c>
      <c r="B8" t="s">
        <v>646</v>
      </c>
      <c r="C8" s="63" t="str" cm="1">
        <f t="array" ref="C8">_xlfn.IFS(Mannikam_Muthaliyar2[[#This Row],[OCTOBER]]="M","M",Mannikam_Muthaliyar2[[#This Row],[OCTOBER]]="A","A",Mannikam_Muthaliyar2[[#This Row],[OCTOBER]]="","",Mannikam_Muthaliyar2[[#This Row],[OCTOBER]]&gt;100,"P")</f>
        <v/>
      </c>
      <c r="D8" t="s">
        <v>78</v>
      </c>
      <c r="E8" s="44" t="s">
        <v>851</v>
      </c>
      <c r="F8" t="s">
        <v>852</v>
      </c>
      <c r="O8" s="17">
        <v>200</v>
      </c>
      <c r="Q8" s="61"/>
      <c r="R8" s="61"/>
      <c r="S8" s="17"/>
      <c r="T8" s="17"/>
    </row>
    <row r="9" spans="1:20" x14ac:dyDescent="0.25">
      <c r="A9">
        <v>8</v>
      </c>
      <c r="B9" t="s">
        <v>853</v>
      </c>
      <c r="C9" s="63" t="str" cm="1">
        <f t="array" ref="C9">_xlfn.IFS(Mannikam_Muthaliyar2[[#This Row],[OCTOBER]]="M","M",Mannikam_Muthaliyar2[[#This Row],[OCTOBER]]="A","A",Mannikam_Muthaliyar2[[#This Row],[OCTOBER]]="","",Mannikam_Muthaliyar2[[#This Row],[OCTOBER]]&gt;100,"P")</f>
        <v/>
      </c>
      <c r="D9" t="s">
        <v>21</v>
      </c>
      <c r="E9" s="44" t="s">
        <v>854</v>
      </c>
      <c r="F9" t="s">
        <v>855</v>
      </c>
      <c r="O9" s="17">
        <v>220</v>
      </c>
      <c r="Q9" s="61"/>
      <c r="R9" s="61"/>
      <c r="S9" s="17"/>
      <c r="T9" s="17"/>
    </row>
    <row r="10" spans="1:20" x14ac:dyDescent="0.25">
      <c r="A10">
        <v>9</v>
      </c>
      <c r="B10" t="s">
        <v>856</v>
      </c>
      <c r="C10" s="63" t="str" cm="1">
        <f t="array" ref="C10">_xlfn.IFS(Mannikam_Muthaliyar2[[#This Row],[OCTOBER]]="M","M",Mannikam_Muthaliyar2[[#This Row],[OCTOBER]]="A","A",Mannikam_Muthaliyar2[[#This Row],[OCTOBER]]="","",Mannikam_Muthaliyar2[[#This Row],[OCTOBER]]&gt;100,"P")</f>
        <v/>
      </c>
      <c r="D10" t="s">
        <v>21</v>
      </c>
      <c r="E10" s="44" t="s">
        <v>857</v>
      </c>
      <c r="F10" t="s">
        <v>858</v>
      </c>
      <c r="O10" s="17">
        <v>200</v>
      </c>
      <c r="Q10" s="61"/>
      <c r="R10" s="61"/>
      <c r="S10" s="17"/>
      <c r="T10" s="17"/>
    </row>
    <row r="11" spans="1:20" x14ac:dyDescent="0.25">
      <c r="A11">
        <v>10</v>
      </c>
      <c r="B11" t="s">
        <v>691</v>
      </c>
      <c r="C11" s="63" t="str" cm="1">
        <f t="array" ref="C11">_xlfn.IFS(Mannikam_Muthaliyar2[[#This Row],[OCTOBER]]="M","M",Mannikam_Muthaliyar2[[#This Row],[OCTOBER]]="A","A",Mannikam_Muthaliyar2[[#This Row],[OCTOBER]]="","",Mannikam_Muthaliyar2[[#This Row],[OCTOBER]]&gt;100,"P")</f>
        <v/>
      </c>
      <c r="D11" t="s">
        <v>35</v>
      </c>
      <c r="E11" s="44" t="s">
        <v>811</v>
      </c>
      <c r="F11" t="s">
        <v>812</v>
      </c>
      <c r="O11" s="17">
        <v>220</v>
      </c>
      <c r="Q11" s="61"/>
      <c r="R11" s="61"/>
      <c r="S11" s="17"/>
      <c r="T11" s="17"/>
    </row>
    <row r="12" spans="1:20" x14ac:dyDescent="0.25">
      <c r="A12">
        <v>11</v>
      </c>
      <c r="B12" t="s">
        <v>44</v>
      </c>
      <c r="C12" s="63" t="str" cm="1">
        <f t="array" ref="C12">_xlfn.IFS(Mannikam_Muthaliyar2[[#This Row],[OCTOBER]]="M","M",Mannikam_Muthaliyar2[[#This Row],[OCTOBER]]="A","A",Mannikam_Muthaliyar2[[#This Row],[OCTOBER]]="","",Mannikam_Muthaliyar2[[#This Row],[OCTOBER]]&gt;100,"P")</f>
        <v/>
      </c>
      <c r="D12" t="s">
        <v>21</v>
      </c>
      <c r="E12" s="44" t="s">
        <v>859</v>
      </c>
      <c r="F12" t="s">
        <v>860</v>
      </c>
      <c r="O12" s="17">
        <v>200</v>
      </c>
      <c r="Q12" s="61"/>
      <c r="R12" s="61"/>
      <c r="S12" s="17"/>
      <c r="T12" s="17"/>
    </row>
    <row r="13" spans="1:20" x14ac:dyDescent="0.25">
      <c r="A13">
        <v>12</v>
      </c>
      <c r="B13" t="s">
        <v>861</v>
      </c>
      <c r="C13" s="63" t="str" cm="1">
        <f t="array" ref="C13">_xlfn.IFS(Mannikam_Muthaliyar2[[#This Row],[OCTOBER]]="M","M",Mannikam_Muthaliyar2[[#This Row],[OCTOBER]]="A","A",Mannikam_Muthaliyar2[[#This Row],[OCTOBER]]="","",Mannikam_Muthaliyar2[[#This Row],[OCTOBER]]&gt;100,"P")</f>
        <v/>
      </c>
      <c r="D13" t="s">
        <v>25</v>
      </c>
      <c r="E13" s="44" t="s">
        <v>862</v>
      </c>
      <c r="F13" t="s">
        <v>863</v>
      </c>
      <c r="O13" s="17">
        <v>230</v>
      </c>
      <c r="Q13" s="61"/>
      <c r="R13" s="61"/>
      <c r="S13" s="17"/>
      <c r="T13" s="17"/>
    </row>
    <row r="14" spans="1:20" x14ac:dyDescent="0.25">
      <c r="A14">
        <v>13</v>
      </c>
      <c r="B14" t="s">
        <v>864</v>
      </c>
      <c r="C14" s="63" t="str" cm="1">
        <f t="array" ref="C14">_xlfn.IFS(Mannikam_Muthaliyar2[[#This Row],[OCTOBER]]="M","M",Mannikam_Muthaliyar2[[#This Row],[OCTOBER]]="A","A",Mannikam_Muthaliyar2[[#This Row],[OCTOBER]]="","",Mannikam_Muthaliyar2[[#This Row],[OCTOBER]]&gt;100,"P")</f>
        <v/>
      </c>
      <c r="D14" t="s">
        <v>25</v>
      </c>
      <c r="E14" s="44" t="s">
        <v>865</v>
      </c>
      <c r="F14" t="s">
        <v>866</v>
      </c>
      <c r="O14" s="17" t="s">
        <v>2395</v>
      </c>
      <c r="Q14" s="61"/>
      <c r="R14" s="61"/>
      <c r="S14" s="17"/>
      <c r="T14" s="17"/>
    </row>
    <row r="15" spans="1:20" x14ac:dyDescent="0.25">
      <c r="A15" t="s">
        <v>298</v>
      </c>
      <c r="D15">
        <f>SUBTOTAL(103,Mannikam_Muthaliyar2[Package])</f>
        <v>13</v>
      </c>
      <c r="E15">
        <f>SUBTOTAL(103,Mannikam_Muthaliyar2[Box No])</f>
        <v>13</v>
      </c>
      <c r="F15">
        <f>SUBTOTAL(103,Mannikam_Muthaliyar2[CAF_ID])</f>
        <v>13</v>
      </c>
      <c r="G15" s="17">
        <f>SUBTOTAL(109,Mannikam_Muthaliyar2[JANUARY])</f>
        <v>0</v>
      </c>
      <c r="H15" s="17">
        <f>SUBTOTAL(109,Mannikam_Muthaliyar2[FEBEUARY])</f>
        <v>0</v>
      </c>
      <c r="I15" s="17">
        <f>SUBTOTAL(109,Mannikam_Muthaliyar2[MARCH])</f>
        <v>0</v>
      </c>
      <c r="J15" s="17">
        <f>SUBTOTAL(109,Mannikam_Muthaliyar2[APRIL])</f>
        <v>0</v>
      </c>
      <c r="K15" s="17">
        <f>SUBTOTAL(109,Mannikam_Muthaliyar2[MAY])</f>
        <v>0</v>
      </c>
      <c r="L15" s="17">
        <f>SUBTOTAL(109,Mannikam_Muthaliyar2[JUNE])</f>
        <v>0</v>
      </c>
      <c r="M15" s="17">
        <f>SUBTOTAL(109,Mannikam_Muthaliyar2[JULY])</f>
        <v>0</v>
      </c>
      <c r="N15" s="17">
        <f>SUBTOTAL(109,Mannikam_Muthaliyar2[AUGUST])</f>
        <v>0</v>
      </c>
      <c r="O15" s="17">
        <f>SUBTOTAL(109,Mannikam_Muthaliyar2[SEPTEMBER])</f>
        <v>2170</v>
      </c>
      <c r="P15" s="17">
        <f>SUBTOTAL(109,Mannikam_Muthaliyar2[OCTOBER])</f>
        <v>0</v>
      </c>
      <c r="Q15" s="17">
        <f>SUBTOTAL(109,Mannikam_Muthaliyar2[NOVEMBER])</f>
        <v>0</v>
      </c>
      <c r="R15" s="17">
        <f>SUBTOTAL(109,Mannikam_Muthaliyar2[DECEMBER])</f>
        <v>0</v>
      </c>
      <c r="S15" s="17">
        <f>SUBTOTAL(109,Mannikam_Muthaliyar2[BALANCE])</f>
        <v>0</v>
      </c>
      <c r="T15" s="17"/>
    </row>
    <row r="16" spans="1:20" x14ac:dyDescent="0.25">
      <c r="E16" s="44"/>
      <c r="F16" s="44"/>
    </row>
    <row r="17" spans="2:5" x14ac:dyDescent="0.25">
      <c r="B17" s="39" t="s">
        <v>299</v>
      </c>
      <c r="C17" s="39">
        <f>COUNTIF(Mannikam_Muthaliyar2[PAID],"P")</f>
        <v>0</v>
      </c>
      <c r="E17" s="44"/>
    </row>
    <row r="19" spans="2:5" x14ac:dyDescent="0.25">
      <c r="B19" s="13" t="s">
        <v>300</v>
      </c>
      <c r="C19" s="43">
        <f>COUNTIF(C2:C14,"P")</f>
        <v>0</v>
      </c>
    </row>
    <row r="20" spans="2:5" x14ac:dyDescent="0.25">
      <c r="B20" s="14" t="s">
        <v>301</v>
      </c>
      <c r="C20" s="42">
        <f>COUNTIF(C2:C14,"NP")</f>
        <v>0</v>
      </c>
    </row>
    <row r="22" spans="2:5" x14ac:dyDescent="0.25">
      <c r="B22" s="39" t="s">
        <v>302</v>
      </c>
      <c r="C22" s="39">
        <f>C19+C20</f>
        <v>0</v>
      </c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T53"/>
  <sheetViews>
    <sheetView tabSelected="1" topLeftCell="A21" zoomScale="119" zoomScaleNormal="145" workbookViewId="0">
      <selection activeCell="D31" sqref="D31"/>
    </sheetView>
  </sheetViews>
  <sheetFormatPr defaultRowHeight="15" x14ac:dyDescent="0.25"/>
  <cols>
    <col min="1" max="1" width="5.7109375" style="61" customWidth="1"/>
    <col min="2" max="2" width="21.85546875" style="61" customWidth="1"/>
    <col min="3" max="3" width="5.85546875" style="61" customWidth="1"/>
    <col min="4" max="4" width="31.5703125" style="61" customWidth="1"/>
    <col min="5" max="5" width="23.42578125" style="61" customWidth="1"/>
    <col min="7" max="14" width="10.7109375" style="17" hidden="1" customWidth="1"/>
    <col min="15" max="18" width="10.7109375" style="17" customWidth="1"/>
    <col min="19" max="19" width="10.7109375" customWidth="1"/>
    <col min="20" max="20" width="36.28515625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44" t="s">
        <v>19</v>
      </c>
    </row>
    <row r="2" spans="1:20" x14ac:dyDescent="0.25">
      <c r="A2">
        <v>1</v>
      </c>
      <c r="B2" t="s">
        <v>523</v>
      </c>
      <c r="C2" s="63" t="str" cm="1">
        <f t="array" ref="C2">_xlfn.IFS(Ramasami_Mudhaliyar[[#This Row],[OCTOBER]]="M","M",Ramasami_Mudhaliyar[[#This Row],[OCTOBER]]="A","A",Ramasami_Mudhaliyar[[#This Row],[OCTOBER]]="","",Ramasami_Mudhaliyar[[#This Row],[OCTOBER]]&gt;100,"P")</f>
        <v/>
      </c>
      <c r="D2" t="s">
        <v>21</v>
      </c>
      <c r="E2" s="44" t="s">
        <v>867</v>
      </c>
      <c r="F2" s="44" t="s">
        <v>868</v>
      </c>
      <c r="O2" s="17">
        <v>200</v>
      </c>
      <c r="Q2"/>
      <c r="R2"/>
      <c r="S2" s="17"/>
      <c r="T2" s="17"/>
    </row>
    <row r="3" spans="1:20" x14ac:dyDescent="0.25">
      <c r="A3">
        <v>2</v>
      </c>
      <c r="B3" t="s">
        <v>869</v>
      </c>
      <c r="C3" s="63" t="str" cm="1">
        <f t="array" ref="C3">_xlfn.IFS(Ramasami_Mudhaliyar[[#This Row],[OCTOBER]]="M","M",Ramasami_Mudhaliyar[[#This Row],[OCTOBER]]="A","A",Ramasami_Mudhaliyar[[#This Row],[OCTOBER]]="","",Ramasami_Mudhaliyar[[#This Row],[OCTOBER]]&gt;100,"P")</f>
        <v/>
      </c>
      <c r="D3" t="s">
        <v>870</v>
      </c>
      <c r="E3" s="44" t="s">
        <v>871</v>
      </c>
      <c r="F3" s="44" t="s">
        <v>872</v>
      </c>
      <c r="O3" s="17" t="s">
        <v>248</v>
      </c>
      <c r="Q3"/>
      <c r="R3"/>
      <c r="S3" s="17"/>
      <c r="T3" s="17"/>
    </row>
    <row r="4" spans="1:20" x14ac:dyDescent="0.25">
      <c r="A4">
        <v>3</v>
      </c>
      <c r="B4" t="s">
        <v>873</v>
      </c>
      <c r="C4" s="63" t="str" cm="1">
        <f t="array" ref="C4">_xlfn.IFS(Ramasami_Mudhaliyar[[#This Row],[OCTOBER]]="M","M",Ramasami_Mudhaliyar[[#This Row],[OCTOBER]]="A","A",Ramasami_Mudhaliyar[[#This Row],[OCTOBER]]="","",Ramasami_Mudhaliyar[[#This Row],[OCTOBER]]&gt;100,"P")</f>
        <v/>
      </c>
      <c r="D4" t="s">
        <v>78</v>
      </c>
      <c r="E4" s="44" t="s">
        <v>874</v>
      </c>
      <c r="F4" s="44" t="s">
        <v>875</v>
      </c>
      <c r="Q4"/>
      <c r="R4"/>
      <c r="S4" s="17"/>
      <c r="T4" s="17"/>
    </row>
    <row r="5" spans="1:20" x14ac:dyDescent="0.25">
      <c r="A5">
        <v>4</v>
      </c>
      <c r="B5" t="s">
        <v>876</v>
      </c>
      <c r="C5" s="63" t="str" cm="1">
        <f t="array" ref="C5">_xlfn.IFS(Ramasami_Mudhaliyar[[#This Row],[OCTOBER]]="M","M",Ramasami_Mudhaliyar[[#This Row],[OCTOBER]]="A","A",Ramasami_Mudhaliyar[[#This Row],[OCTOBER]]="","",Ramasami_Mudhaliyar[[#This Row],[OCTOBER]]&gt;100,"P")</f>
        <v/>
      </c>
      <c r="D5" t="s">
        <v>25</v>
      </c>
      <c r="E5" s="44" t="s">
        <v>877</v>
      </c>
      <c r="F5" s="44" t="s">
        <v>878</v>
      </c>
      <c r="O5" s="17">
        <v>230</v>
      </c>
      <c r="Q5"/>
      <c r="R5"/>
      <c r="S5" s="17"/>
      <c r="T5" s="17"/>
    </row>
    <row r="6" spans="1:20" x14ac:dyDescent="0.25">
      <c r="A6">
        <v>5</v>
      </c>
      <c r="B6" t="s">
        <v>879</v>
      </c>
      <c r="C6" s="63" t="str" cm="1">
        <f t="array" ref="C6">_xlfn.IFS(Ramasami_Mudhaliyar[[#This Row],[OCTOBER]]="M","M",Ramasami_Mudhaliyar[[#This Row],[OCTOBER]]="A","A",Ramasami_Mudhaliyar[[#This Row],[OCTOBER]]="","",Ramasami_Mudhaliyar[[#This Row],[OCTOBER]]&gt;100,"P")</f>
        <v/>
      </c>
      <c r="D6" t="s">
        <v>25</v>
      </c>
      <c r="E6" s="44" t="s">
        <v>880</v>
      </c>
      <c r="F6" s="44" t="s">
        <v>881</v>
      </c>
      <c r="O6" s="17" t="s">
        <v>321</v>
      </c>
      <c r="Q6"/>
      <c r="R6"/>
      <c r="S6" s="17"/>
      <c r="T6" s="17"/>
    </row>
    <row r="7" spans="1:20" x14ac:dyDescent="0.25">
      <c r="A7">
        <v>6</v>
      </c>
      <c r="B7" t="s">
        <v>882</v>
      </c>
      <c r="C7" s="63" t="str" cm="1">
        <f t="array" ref="C7">_xlfn.IFS(Ramasami_Mudhaliyar[[#This Row],[OCTOBER]]="M","M",Ramasami_Mudhaliyar[[#This Row],[OCTOBER]]="A","A",Ramasami_Mudhaliyar[[#This Row],[OCTOBER]]="","",Ramasami_Mudhaliyar[[#This Row],[OCTOBER]]&gt;100,"P")</f>
        <v/>
      </c>
      <c r="D7" t="s">
        <v>25</v>
      </c>
      <c r="E7" s="44" t="s">
        <v>883</v>
      </c>
      <c r="F7" s="44" t="s">
        <v>884</v>
      </c>
      <c r="O7" s="17">
        <v>400</v>
      </c>
      <c r="Q7"/>
      <c r="R7"/>
      <c r="S7" s="17"/>
      <c r="T7" s="17"/>
    </row>
    <row r="8" spans="1:20" x14ac:dyDescent="0.25">
      <c r="A8">
        <v>7</v>
      </c>
      <c r="B8" t="s">
        <v>885</v>
      </c>
      <c r="C8" s="63" t="str" cm="1">
        <f t="array" ref="C8">_xlfn.IFS(Ramasami_Mudhaliyar[[#This Row],[OCTOBER]]="M","M",Ramasami_Mudhaliyar[[#This Row],[OCTOBER]]="A","A",Ramasami_Mudhaliyar[[#This Row],[OCTOBER]]="","",Ramasami_Mudhaliyar[[#This Row],[OCTOBER]]&gt;100,"P")</f>
        <v/>
      </c>
      <c r="D8" t="s">
        <v>25</v>
      </c>
      <c r="E8" s="44" t="s">
        <v>886</v>
      </c>
      <c r="F8" s="44" t="s">
        <v>887</v>
      </c>
      <c r="O8" s="17">
        <v>230</v>
      </c>
      <c r="Q8"/>
      <c r="R8"/>
      <c r="S8" s="17"/>
      <c r="T8" s="17"/>
    </row>
    <row r="9" spans="1:20" x14ac:dyDescent="0.25">
      <c r="A9">
        <v>8</v>
      </c>
      <c r="B9" t="s">
        <v>888</v>
      </c>
      <c r="C9" s="63" t="str" cm="1">
        <f t="array" ref="C9">_xlfn.IFS(Ramasami_Mudhaliyar[[#This Row],[OCTOBER]]="M","M",Ramasami_Mudhaliyar[[#This Row],[OCTOBER]]="A","A",Ramasami_Mudhaliyar[[#This Row],[OCTOBER]]="","",Ramasami_Mudhaliyar[[#This Row],[OCTOBER]]&gt;100,"P")</f>
        <v/>
      </c>
      <c r="D9" t="s">
        <v>78</v>
      </c>
      <c r="E9" s="44" t="s">
        <v>889</v>
      </c>
      <c r="F9" s="44" t="s">
        <v>890</v>
      </c>
      <c r="O9" s="17">
        <v>200</v>
      </c>
      <c r="Q9"/>
      <c r="R9"/>
      <c r="S9" s="17"/>
      <c r="T9" s="17"/>
    </row>
    <row r="10" spans="1:20" x14ac:dyDescent="0.25">
      <c r="A10">
        <v>9</v>
      </c>
      <c r="B10" t="s">
        <v>699</v>
      </c>
      <c r="C10" s="63" t="str" cm="1">
        <f t="array" ref="C10">_xlfn.IFS(Ramasami_Mudhaliyar[[#This Row],[OCTOBER]]="M","M",Ramasami_Mudhaliyar[[#This Row],[OCTOBER]]="A","A",Ramasami_Mudhaliyar[[#This Row],[OCTOBER]]="","",Ramasami_Mudhaliyar[[#This Row],[OCTOBER]]&gt;100,"P")</f>
        <v/>
      </c>
      <c r="D10" t="s">
        <v>35</v>
      </c>
      <c r="E10" s="44" t="s">
        <v>891</v>
      </c>
      <c r="F10" s="44" t="s">
        <v>892</v>
      </c>
      <c r="O10" s="17">
        <v>200</v>
      </c>
      <c r="Q10"/>
      <c r="R10"/>
      <c r="S10" s="17"/>
      <c r="T10" s="17"/>
    </row>
    <row r="11" spans="1:20" x14ac:dyDescent="0.25">
      <c r="A11">
        <v>10</v>
      </c>
      <c r="B11" t="s">
        <v>893</v>
      </c>
      <c r="C11" s="63" t="str" cm="1">
        <f t="array" ref="C11">_xlfn.IFS(Ramasami_Mudhaliyar[[#This Row],[OCTOBER]]="M","M",Ramasami_Mudhaliyar[[#This Row],[OCTOBER]]="A","A",Ramasami_Mudhaliyar[[#This Row],[OCTOBER]]="","",Ramasami_Mudhaliyar[[#This Row],[OCTOBER]]&gt;100,"P")</f>
        <v/>
      </c>
      <c r="D11" t="s">
        <v>35</v>
      </c>
      <c r="E11" s="44" t="s">
        <v>894</v>
      </c>
      <c r="F11" s="44" t="s">
        <v>895</v>
      </c>
      <c r="O11" s="17" t="s">
        <v>321</v>
      </c>
      <c r="Q11"/>
      <c r="R11"/>
      <c r="S11" s="17"/>
      <c r="T11" s="17"/>
    </row>
    <row r="12" spans="1:20" x14ac:dyDescent="0.25">
      <c r="A12">
        <v>11</v>
      </c>
      <c r="B12" t="s">
        <v>896</v>
      </c>
      <c r="C12" s="63" t="str" cm="1">
        <f t="array" ref="C12">_xlfn.IFS(Ramasami_Mudhaliyar[[#This Row],[OCTOBER]]="M","M",Ramasami_Mudhaliyar[[#This Row],[OCTOBER]]="A","A",Ramasami_Mudhaliyar[[#This Row],[OCTOBER]]="","",Ramasami_Mudhaliyar[[#This Row],[OCTOBER]]&gt;100,"P")</f>
        <v/>
      </c>
      <c r="D12" t="s">
        <v>21</v>
      </c>
      <c r="E12" s="44" t="s">
        <v>897</v>
      </c>
      <c r="F12" s="44" t="s">
        <v>898</v>
      </c>
      <c r="Q12"/>
      <c r="R12"/>
      <c r="S12" s="17"/>
      <c r="T12" s="17"/>
    </row>
    <row r="13" spans="1:20" x14ac:dyDescent="0.25">
      <c r="A13">
        <v>12</v>
      </c>
      <c r="B13" t="s">
        <v>899</v>
      </c>
      <c r="C13" s="63" t="str" cm="1">
        <f t="array" ref="C13">_xlfn.IFS(Ramasami_Mudhaliyar[[#This Row],[OCTOBER]]="M","M",Ramasami_Mudhaliyar[[#This Row],[OCTOBER]]="A","A",Ramasami_Mudhaliyar[[#This Row],[OCTOBER]]="","",Ramasami_Mudhaliyar[[#This Row],[OCTOBER]]&gt;100,"P")</f>
        <v/>
      </c>
      <c r="D13" t="s">
        <v>78</v>
      </c>
      <c r="E13" s="44" t="s">
        <v>900</v>
      </c>
      <c r="F13" s="44" t="s">
        <v>901</v>
      </c>
      <c r="O13" s="17">
        <v>200</v>
      </c>
      <c r="Q13"/>
      <c r="R13"/>
      <c r="S13" s="17"/>
      <c r="T13" s="17"/>
    </row>
    <row r="14" spans="1:20" x14ac:dyDescent="0.25">
      <c r="A14">
        <v>13</v>
      </c>
      <c r="B14" t="s">
        <v>882</v>
      </c>
      <c r="C14" s="63" t="str" cm="1">
        <f t="array" ref="C14">_xlfn.IFS(Ramasami_Mudhaliyar[[#This Row],[OCTOBER]]="M","M",Ramasami_Mudhaliyar[[#This Row],[OCTOBER]]="A","A",Ramasami_Mudhaliyar[[#This Row],[OCTOBER]]="","",Ramasami_Mudhaliyar[[#This Row],[OCTOBER]]&gt;100,"P")</f>
        <v/>
      </c>
      <c r="D14" t="s">
        <v>902</v>
      </c>
      <c r="E14" s="44" t="s">
        <v>903</v>
      </c>
      <c r="F14" s="44" t="s">
        <v>904</v>
      </c>
      <c r="O14" s="17">
        <v>240</v>
      </c>
      <c r="Q14"/>
      <c r="R14"/>
      <c r="S14" s="17"/>
      <c r="T14" s="17"/>
    </row>
    <row r="15" spans="1:20" x14ac:dyDescent="0.25">
      <c r="A15">
        <v>14</v>
      </c>
      <c r="B15" t="s">
        <v>853</v>
      </c>
      <c r="C15" s="63" t="str" cm="1">
        <f t="array" ref="C15">_xlfn.IFS(Ramasami_Mudhaliyar[[#This Row],[OCTOBER]]="M","M",Ramasami_Mudhaliyar[[#This Row],[OCTOBER]]="A","A",Ramasami_Mudhaliyar[[#This Row],[OCTOBER]]="","",Ramasami_Mudhaliyar[[#This Row],[OCTOBER]]&gt;100,"P")</f>
        <v/>
      </c>
      <c r="D15" t="s">
        <v>35</v>
      </c>
      <c r="E15" s="44" t="s">
        <v>905</v>
      </c>
      <c r="F15" s="44" t="s">
        <v>906</v>
      </c>
      <c r="O15" s="17" t="s">
        <v>321</v>
      </c>
      <c r="Q15"/>
      <c r="R15"/>
      <c r="S15" s="17"/>
      <c r="T15" s="17"/>
    </row>
    <row r="16" spans="1:20" x14ac:dyDescent="0.25">
      <c r="A16">
        <v>15</v>
      </c>
      <c r="B16" t="s">
        <v>671</v>
      </c>
      <c r="C16" s="63" t="str" cm="1">
        <f t="array" ref="C16">_xlfn.IFS(Ramasami_Mudhaliyar[[#This Row],[OCTOBER]]="M","M",Ramasami_Mudhaliyar[[#This Row],[OCTOBER]]="A","A",Ramasami_Mudhaliyar[[#This Row],[OCTOBER]]="","",Ramasami_Mudhaliyar[[#This Row],[OCTOBER]]&gt;100,"P")</f>
        <v/>
      </c>
      <c r="D16" t="s">
        <v>25</v>
      </c>
      <c r="E16" s="44" t="s">
        <v>907</v>
      </c>
      <c r="F16" s="44" t="s">
        <v>908</v>
      </c>
      <c r="O16" s="17" t="s">
        <v>909</v>
      </c>
      <c r="Q16"/>
      <c r="R16"/>
      <c r="S16" s="17"/>
      <c r="T16" s="17"/>
    </row>
    <row r="17" spans="1:20" x14ac:dyDescent="0.25">
      <c r="A17">
        <v>16</v>
      </c>
      <c r="B17" t="s">
        <v>910</v>
      </c>
      <c r="C17" s="63" t="str" cm="1">
        <f t="array" ref="C17">_xlfn.IFS(Ramasami_Mudhaliyar[[#This Row],[OCTOBER]]="M","M",Ramasami_Mudhaliyar[[#This Row],[OCTOBER]]="A","A",Ramasami_Mudhaliyar[[#This Row],[OCTOBER]]="","",Ramasami_Mudhaliyar[[#This Row],[OCTOBER]]&gt;100,"P")</f>
        <v/>
      </c>
      <c r="D17" t="s">
        <v>78</v>
      </c>
      <c r="E17" s="44" t="s">
        <v>911</v>
      </c>
      <c r="F17" s="44" t="s">
        <v>912</v>
      </c>
      <c r="O17" s="17">
        <v>200</v>
      </c>
      <c r="Q17"/>
      <c r="R17"/>
      <c r="S17" s="17"/>
      <c r="T17" s="17"/>
    </row>
    <row r="18" spans="1:20" x14ac:dyDescent="0.25">
      <c r="A18">
        <v>17</v>
      </c>
      <c r="B18" t="s">
        <v>913</v>
      </c>
      <c r="C18" s="63" t="str" cm="1">
        <f t="array" ref="C18">_xlfn.IFS(Ramasami_Mudhaliyar[[#This Row],[OCTOBER]]="M","M",Ramasami_Mudhaliyar[[#This Row],[OCTOBER]]="A","A",Ramasami_Mudhaliyar[[#This Row],[OCTOBER]]="","",Ramasami_Mudhaliyar[[#This Row],[OCTOBER]]&gt;100,"P")</f>
        <v/>
      </c>
      <c r="D18" t="s">
        <v>21</v>
      </c>
      <c r="E18" s="44" t="s">
        <v>914</v>
      </c>
      <c r="F18" s="44" t="s">
        <v>915</v>
      </c>
      <c r="O18" s="17">
        <v>200</v>
      </c>
      <c r="Q18"/>
      <c r="R18"/>
      <c r="S18" s="17"/>
      <c r="T18" s="17"/>
    </row>
    <row r="19" spans="1:20" x14ac:dyDescent="0.25">
      <c r="A19">
        <v>18</v>
      </c>
      <c r="B19" t="s">
        <v>916</v>
      </c>
      <c r="C19" s="63" t="str" cm="1">
        <f t="array" ref="C19">_xlfn.IFS(Ramasami_Mudhaliyar[[#This Row],[OCTOBER]]="M","M",Ramasami_Mudhaliyar[[#This Row],[OCTOBER]]="A","A",Ramasami_Mudhaliyar[[#This Row],[OCTOBER]]="","",Ramasami_Mudhaliyar[[#This Row],[OCTOBER]]&gt;100,"P")</f>
        <v/>
      </c>
      <c r="D19" t="s">
        <v>21</v>
      </c>
      <c r="E19" s="44" t="s">
        <v>917</v>
      </c>
      <c r="F19" s="44" t="s">
        <v>918</v>
      </c>
      <c r="O19" s="17">
        <v>400</v>
      </c>
      <c r="Q19"/>
      <c r="R19"/>
      <c r="S19" s="17"/>
      <c r="T19" s="17"/>
    </row>
    <row r="20" spans="1:20" x14ac:dyDescent="0.25">
      <c r="A20">
        <v>19</v>
      </c>
      <c r="B20" t="s">
        <v>821</v>
      </c>
      <c r="C20" s="63" t="str" cm="1">
        <f t="array" ref="C20">_xlfn.IFS(Ramasami_Mudhaliyar[[#This Row],[OCTOBER]]="M","M",Ramasami_Mudhaliyar[[#This Row],[OCTOBER]]="A","A",Ramasami_Mudhaliyar[[#This Row],[OCTOBER]]="","",Ramasami_Mudhaliyar[[#This Row],[OCTOBER]]&gt;100,"P")</f>
        <v/>
      </c>
      <c r="D20" t="s">
        <v>25</v>
      </c>
      <c r="E20" s="44" t="s">
        <v>919</v>
      </c>
      <c r="F20" s="44" t="s">
        <v>920</v>
      </c>
      <c r="O20" s="17">
        <v>200</v>
      </c>
      <c r="Q20"/>
      <c r="R20"/>
      <c r="S20" s="17"/>
      <c r="T20" s="17"/>
    </row>
    <row r="21" spans="1:20" x14ac:dyDescent="0.25">
      <c r="A21">
        <v>20</v>
      </c>
      <c r="B21" t="s">
        <v>921</v>
      </c>
      <c r="C21" s="63" t="str" cm="1">
        <f t="array" ref="C21">_xlfn.IFS(Ramasami_Mudhaliyar[[#This Row],[OCTOBER]]="M","M",Ramasami_Mudhaliyar[[#This Row],[OCTOBER]]="A","A",Ramasami_Mudhaliyar[[#This Row],[OCTOBER]]="","",Ramasami_Mudhaliyar[[#This Row],[OCTOBER]]&gt;100,"P")</f>
        <v/>
      </c>
      <c r="D21" t="s">
        <v>25</v>
      </c>
      <c r="E21" s="44" t="s">
        <v>922</v>
      </c>
      <c r="F21" s="44" t="s">
        <v>923</v>
      </c>
      <c r="O21" s="17">
        <v>230</v>
      </c>
      <c r="Q21"/>
      <c r="R21"/>
      <c r="S21" s="17"/>
      <c r="T21" s="17"/>
    </row>
    <row r="22" spans="1:20" x14ac:dyDescent="0.25">
      <c r="A22">
        <v>21</v>
      </c>
      <c r="B22" t="s">
        <v>802</v>
      </c>
      <c r="C22" s="63" t="str" cm="1">
        <f t="array" ref="C22">_xlfn.IFS(Ramasami_Mudhaliyar[[#This Row],[OCTOBER]]="M","M",Ramasami_Mudhaliyar[[#This Row],[OCTOBER]]="A","A",Ramasami_Mudhaliyar[[#This Row],[OCTOBER]]="","",Ramasami_Mudhaliyar[[#This Row],[OCTOBER]]&gt;100,"P")</f>
        <v/>
      </c>
      <c r="D22" t="s">
        <v>78</v>
      </c>
      <c r="E22" s="44" t="s">
        <v>924</v>
      </c>
      <c r="F22" s="44" t="s">
        <v>925</v>
      </c>
      <c r="O22" s="17" t="s">
        <v>321</v>
      </c>
      <c r="Q22"/>
      <c r="R22"/>
      <c r="S22" s="17"/>
      <c r="T22" s="17"/>
    </row>
    <row r="23" spans="1:20" x14ac:dyDescent="0.25">
      <c r="A23">
        <v>22</v>
      </c>
      <c r="B23" t="s">
        <v>926</v>
      </c>
      <c r="C23" s="63" t="str" cm="1">
        <f t="array" ref="C23">_xlfn.IFS(Ramasami_Mudhaliyar[[#This Row],[OCTOBER]]="M","M",Ramasami_Mudhaliyar[[#This Row],[OCTOBER]]="A","A",Ramasami_Mudhaliyar[[#This Row],[OCTOBER]]="","",Ramasami_Mudhaliyar[[#This Row],[OCTOBER]]&gt;100,"P")</f>
        <v/>
      </c>
      <c r="D23" t="s">
        <v>21</v>
      </c>
      <c r="E23" s="44" t="s">
        <v>927</v>
      </c>
      <c r="F23" s="44" t="s">
        <v>928</v>
      </c>
      <c r="O23" s="17">
        <v>200</v>
      </c>
      <c r="Q23"/>
      <c r="R23"/>
      <c r="S23" s="17"/>
      <c r="T23" s="17"/>
    </row>
    <row r="24" spans="1:20" x14ac:dyDescent="0.25">
      <c r="A24">
        <v>23</v>
      </c>
      <c r="B24" t="s">
        <v>929</v>
      </c>
      <c r="C24" s="63" t="str" cm="1">
        <f t="array" ref="C24">_xlfn.IFS(Ramasami_Mudhaliyar[[#This Row],[OCTOBER]]="M","M",Ramasami_Mudhaliyar[[#This Row],[OCTOBER]]="A","A",Ramasami_Mudhaliyar[[#This Row],[OCTOBER]]="","",Ramasami_Mudhaliyar[[#This Row],[OCTOBER]]&gt;100,"P")</f>
        <v/>
      </c>
      <c r="D24" t="s">
        <v>21</v>
      </c>
      <c r="E24" s="44" t="s">
        <v>930</v>
      </c>
      <c r="F24" s="44" t="s">
        <v>931</v>
      </c>
      <c r="O24" s="17">
        <v>440</v>
      </c>
      <c r="Q24"/>
      <c r="R24"/>
      <c r="S24" s="17"/>
      <c r="T24" s="17"/>
    </row>
    <row r="25" spans="1:20" x14ac:dyDescent="0.25">
      <c r="A25">
        <v>24</v>
      </c>
      <c r="B25" t="s">
        <v>932</v>
      </c>
      <c r="C25" s="63" t="str" cm="1">
        <f t="array" ref="C25">_xlfn.IFS(Ramasami_Mudhaliyar[[#This Row],[OCTOBER]]="M","M",Ramasami_Mudhaliyar[[#This Row],[OCTOBER]]="A","A",Ramasami_Mudhaliyar[[#This Row],[OCTOBER]]="","",Ramasami_Mudhaliyar[[#This Row],[OCTOBER]]&gt;100,"P")</f>
        <v/>
      </c>
      <c r="E25" s="44" t="s">
        <v>933</v>
      </c>
      <c r="F25" s="44" t="s">
        <v>934</v>
      </c>
      <c r="Q25"/>
      <c r="R25"/>
      <c r="S25" s="17"/>
      <c r="T25" s="17"/>
    </row>
    <row r="26" spans="1:20" x14ac:dyDescent="0.25">
      <c r="A26">
        <v>25</v>
      </c>
      <c r="B26" t="s">
        <v>935</v>
      </c>
      <c r="C26" s="63" t="str" cm="1">
        <f t="array" ref="C26">_xlfn.IFS(Ramasami_Mudhaliyar[[#This Row],[OCTOBER]]="M","M",Ramasami_Mudhaliyar[[#This Row],[OCTOBER]]="A","A",Ramasami_Mudhaliyar[[#This Row],[OCTOBER]]="","",Ramasami_Mudhaliyar[[#This Row],[OCTOBER]]&gt;100,"P")</f>
        <v/>
      </c>
      <c r="D26" t="s">
        <v>21</v>
      </c>
      <c r="E26" s="44" t="s">
        <v>936</v>
      </c>
      <c r="F26" s="44" t="s">
        <v>937</v>
      </c>
      <c r="O26" s="17">
        <v>250</v>
      </c>
      <c r="Q26"/>
      <c r="R26"/>
      <c r="S26" s="17"/>
      <c r="T26" s="17"/>
    </row>
    <row r="27" spans="1:20" x14ac:dyDescent="0.25">
      <c r="A27">
        <v>26</v>
      </c>
      <c r="B27" t="s">
        <v>938</v>
      </c>
      <c r="C27" s="63" t="str" cm="1">
        <f t="array" ref="C27">_xlfn.IFS(Ramasami_Mudhaliyar[[#This Row],[OCTOBER]]="M","M",Ramasami_Mudhaliyar[[#This Row],[OCTOBER]]="A","A",Ramasami_Mudhaliyar[[#This Row],[OCTOBER]]="","",Ramasami_Mudhaliyar[[#This Row],[OCTOBER]]&gt;100,"P")</f>
        <v/>
      </c>
      <c r="D27" t="s">
        <v>25</v>
      </c>
      <c r="E27" s="44" t="s">
        <v>939</v>
      </c>
      <c r="F27" s="44" t="s">
        <v>940</v>
      </c>
      <c r="O27" s="17">
        <v>250</v>
      </c>
      <c r="Q27"/>
      <c r="R27"/>
      <c r="S27" s="17"/>
      <c r="T27" s="17"/>
    </row>
    <row r="28" spans="1:20" x14ac:dyDescent="0.25">
      <c r="A28">
        <v>27</v>
      </c>
      <c r="B28" t="s">
        <v>233</v>
      </c>
      <c r="C28" s="63" t="str" cm="1">
        <f t="array" ref="C28">_xlfn.IFS(Ramasami_Mudhaliyar[[#This Row],[OCTOBER]]="M","M",Ramasami_Mudhaliyar[[#This Row],[OCTOBER]]="A","A",Ramasami_Mudhaliyar[[#This Row],[OCTOBER]]="","",Ramasami_Mudhaliyar[[#This Row],[OCTOBER]]&gt;100,"P")</f>
        <v/>
      </c>
      <c r="D28" t="s">
        <v>35</v>
      </c>
      <c r="E28" s="44" t="s">
        <v>941</v>
      </c>
      <c r="F28" s="44" t="s">
        <v>942</v>
      </c>
      <c r="O28" s="17" t="s">
        <v>321</v>
      </c>
      <c r="Q28"/>
      <c r="R28"/>
      <c r="S28" s="17"/>
      <c r="T28" s="17"/>
    </row>
    <row r="29" spans="1:20" x14ac:dyDescent="0.25">
      <c r="A29">
        <v>28</v>
      </c>
      <c r="B29" t="s">
        <v>943</v>
      </c>
      <c r="C29" s="63" t="str" cm="1">
        <f t="array" ref="C29">_xlfn.IFS(Ramasami_Mudhaliyar[[#This Row],[OCTOBER]]="M","M",Ramasami_Mudhaliyar[[#This Row],[OCTOBER]]="A","A",Ramasami_Mudhaliyar[[#This Row],[OCTOBER]]="","",Ramasami_Mudhaliyar[[#This Row],[OCTOBER]]&gt;100,"P")</f>
        <v/>
      </c>
      <c r="D29" t="s">
        <v>25</v>
      </c>
      <c r="E29" s="44" t="s">
        <v>944</v>
      </c>
      <c r="F29" s="44" t="s">
        <v>945</v>
      </c>
      <c r="O29" s="17" t="s">
        <v>321</v>
      </c>
      <c r="Q29"/>
      <c r="R29"/>
      <c r="S29" s="17"/>
      <c r="T29" s="17"/>
    </row>
    <row r="30" spans="1:20" x14ac:dyDescent="0.25">
      <c r="A30">
        <v>29</v>
      </c>
      <c r="B30" t="s">
        <v>464</v>
      </c>
      <c r="C30" s="63" t="str" cm="1">
        <f t="array" ref="C30">_xlfn.IFS(Ramasami_Mudhaliyar[[#This Row],[OCTOBER]]="M","M",Ramasami_Mudhaliyar[[#This Row],[OCTOBER]]="A","A",Ramasami_Mudhaliyar[[#This Row],[OCTOBER]]="","",Ramasami_Mudhaliyar[[#This Row],[OCTOBER]]&gt;100,"P")</f>
        <v/>
      </c>
      <c r="D30" t="s">
        <v>25</v>
      </c>
      <c r="E30" s="44" t="s">
        <v>946</v>
      </c>
      <c r="F30" s="44" t="s">
        <v>947</v>
      </c>
      <c r="O30" s="17">
        <v>220</v>
      </c>
      <c r="Q30"/>
      <c r="R30"/>
      <c r="S30" s="17"/>
      <c r="T30" s="17"/>
    </row>
    <row r="31" spans="1:20" x14ac:dyDescent="0.25">
      <c r="A31">
        <v>30</v>
      </c>
      <c r="B31" t="s">
        <v>948</v>
      </c>
      <c r="C31" s="63" t="str" cm="1">
        <f t="array" ref="C31">_xlfn.IFS(Ramasami_Mudhaliyar[[#This Row],[OCTOBER]]="M","M",Ramasami_Mudhaliyar[[#This Row],[OCTOBER]]="A","A",Ramasami_Mudhaliyar[[#This Row],[OCTOBER]]="","",Ramasami_Mudhaliyar[[#This Row],[OCTOBER]]&gt;100,"P")</f>
        <v/>
      </c>
      <c r="D31" t="s">
        <v>21</v>
      </c>
      <c r="E31" s="44" t="s">
        <v>949</v>
      </c>
      <c r="F31" s="44" t="s">
        <v>950</v>
      </c>
      <c r="O31" s="17">
        <v>200</v>
      </c>
      <c r="Q31"/>
      <c r="R31"/>
      <c r="S31" s="17"/>
      <c r="T31" s="17"/>
    </row>
    <row r="32" spans="1:20" x14ac:dyDescent="0.25">
      <c r="A32">
        <v>31</v>
      </c>
      <c r="B32" t="s">
        <v>913</v>
      </c>
      <c r="C32" s="63" t="str" cm="1">
        <f t="array" ref="C32">_xlfn.IFS(Ramasami_Mudhaliyar[[#This Row],[OCTOBER]]="M","M",Ramasami_Mudhaliyar[[#This Row],[OCTOBER]]="A","A",Ramasami_Mudhaliyar[[#This Row],[OCTOBER]]="","",Ramasami_Mudhaliyar[[#This Row],[OCTOBER]]&gt;100,"P")</f>
        <v/>
      </c>
      <c r="D32" t="s">
        <v>78</v>
      </c>
      <c r="E32" s="44" t="s">
        <v>951</v>
      </c>
      <c r="F32" s="44" t="s">
        <v>952</v>
      </c>
      <c r="O32" s="17">
        <v>200</v>
      </c>
      <c r="Q32"/>
      <c r="R32"/>
      <c r="S32" s="17"/>
      <c r="T32" s="17"/>
    </row>
    <row r="33" spans="1:20" x14ac:dyDescent="0.25">
      <c r="A33">
        <v>32</v>
      </c>
      <c r="B33" t="s">
        <v>953</v>
      </c>
      <c r="C33" s="63" t="str" cm="1">
        <f t="array" ref="C33">_xlfn.IFS(Ramasami_Mudhaliyar[[#This Row],[OCTOBER]]="M","M",Ramasami_Mudhaliyar[[#This Row],[OCTOBER]]="A","A",Ramasami_Mudhaliyar[[#This Row],[OCTOBER]]="","",Ramasami_Mudhaliyar[[#This Row],[OCTOBER]]&gt;100,"P")</f>
        <v/>
      </c>
      <c r="D33" t="s">
        <v>21</v>
      </c>
      <c r="E33" s="44" t="s">
        <v>954</v>
      </c>
      <c r="F33" s="44" t="s">
        <v>955</v>
      </c>
      <c r="O33" s="17">
        <v>200</v>
      </c>
      <c r="Q33"/>
      <c r="R33"/>
      <c r="S33" s="17"/>
      <c r="T33" s="17"/>
    </row>
    <row r="34" spans="1:20" x14ac:dyDescent="0.25">
      <c r="A34">
        <v>33</v>
      </c>
      <c r="B34" t="s">
        <v>956</v>
      </c>
      <c r="C34" s="63" t="str" cm="1">
        <f t="array" ref="C34">_xlfn.IFS(Ramasami_Mudhaliyar[[#This Row],[OCTOBER]]="M","M",Ramasami_Mudhaliyar[[#This Row],[OCTOBER]]="A","A",Ramasami_Mudhaliyar[[#This Row],[OCTOBER]]="","",Ramasami_Mudhaliyar[[#This Row],[OCTOBER]]&gt;100,"P")</f>
        <v/>
      </c>
      <c r="D34" t="s">
        <v>21</v>
      </c>
      <c r="E34" s="44" t="s">
        <v>957</v>
      </c>
      <c r="F34" s="44" t="s">
        <v>958</v>
      </c>
      <c r="O34" s="17">
        <v>220</v>
      </c>
      <c r="Q34"/>
      <c r="R34"/>
      <c r="S34" s="17"/>
      <c r="T34" s="17"/>
    </row>
    <row r="35" spans="1:20" x14ac:dyDescent="0.25">
      <c r="A35">
        <v>34</v>
      </c>
      <c r="B35" t="s">
        <v>959</v>
      </c>
      <c r="C35" s="63" t="str" cm="1">
        <f t="array" ref="C35">_xlfn.IFS(Ramasami_Mudhaliyar[[#This Row],[OCTOBER]]="M","M",Ramasami_Mudhaliyar[[#This Row],[OCTOBER]]="A","A",Ramasami_Mudhaliyar[[#This Row],[OCTOBER]]="","",Ramasami_Mudhaliyar[[#This Row],[OCTOBER]]&gt;100,"P")</f>
        <v/>
      </c>
      <c r="D35" t="s">
        <v>25</v>
      </c>
      <c r="E35" s="44" t="s">
        <v>960</v>
      </c>
      <c r="F35" s="44" t="s">
        <v>961</v>
      </c>
      <c r="O35" s="17">
        <v>250</v>
      </c>
      <c r="Q35"/>
      <c r="R35"/>
      <c r="S35" s="17"/>
      <c r="T35" s="17"/>
    </row>
    <row r="36" spans="1:20" x14ac:dyDescent="0.25">
      <c r="A36">
        <v>35</v>
      </c>
      <c r="B36" t="s">
        <v>660</v>
      </c>
      <c r="C36" s="63" t="str" cm="1">
        <f t="array" ref="C36">_xlfn.IFS(Ramasami_Mudhaliyar[[#This Row],[OCTOBER]]="M","M",Ramasami_Mudhaliyar[[#This Row],[OCTOBER]]="A","A",Ramasami_Mudhaliyar[[#This Row],[OCTOBER]]="","",Ramasami_Mudhaliyar[[#This Row],[OCTOBER]]&gt;100,"P")</f>
        <v/>
      </c>
      <c r="D36" t="s">
        <v>25</v>
      </c>
      <c r="E36" s="44" t="s">
        <v>962</v>
      </c>
      <c r="F36" s="44" t="s">
        <v>963</v>
      </c>
      <c r="O36" s="17" t="s">
        <v>321</v>
      </c>
      <c r="Q36"/>
      <c r="R36"/>
      <c r="S36" s="17"/>
      <c r="T36" s="17"/>
    </row>
    <row r="37" spans="1:20" x14ac:dyDescent="0.25">
      <c r="A37">
        <v>36</v>
      </c>
      <c r="B37" t="s">
        <v>964</v>
      </c>
      <c r="C37" s="63" t="str" cm="1">
        <f t="array" ref="C37">_xlfn.IFS(Ramasami_Mudhaliyar[[#This Row],[OCTOBER]]="M","M",Ramasami_Mudhaliyar[[#This Row],[OCTOBER]]="A","A",Ramasami_Mudhaliyar[[#This Row],[OCTOBER]]="","",Ramasami_Mudhaliyar[[#This Row],[OCTOBER]]&gt;100,"P")</f>
        <v/>
      </c>
      <c r="D37" t="s">
        <v>78</v>
      </c>
      <c r="E37" s="44" t="s">
        <v>965</v>
      </c>
      <c r="F37" s="44" t="s">
        <v>966</v>
      </c>
      <c r="O37" s="17">
        <v>400</v>
      </c>
      <c r="Q37"/>
      <c r="R37"/>
      <c r="S37" s="17"/>
      <c r="T37" s="17"/>
    </row>
    <row r="38" spans="1:20" x14ac:dyDescent="0.25">
      <c r="A38">
        <v>37</v>
      </c>
      <c r="B38" t="s">
        <v>967</v>
      </c>
      <c r="C38" s="63" t="str" cm="1">
        <f t="array" ref="C38">_xlfn.IFS(Ramasami_Mudhaliyar[[#This Row],[OCTOBER]]="M","M",Ramasami_Mudhaliyar[[#This Row],[OCTOBER]]="A","A",Ramasami_Mudhaliyar[[#This Row],[OCTOBER]]="","",Ramasami_Mudhaliyar[[#This Row],[OCTOBER]]&gt;100,"P")</f>
        <v/>
      </c>
      <c r="D38" t="s">
        <v>35</v>
      </c>
      <c r="E38" s="44" t="s">
        <v>968</v>
      </c>
      <c r="F38" s="44" t="s">
        <v>969</v>
      </c>
      <c r="O38" s="17">
        <v>200</v>
      </c>
      <c r="Q38"/>
      <c r="R38"/>
      <c r="S38" s="17"/>
      <c r="T38" s="17"/>
    </row>
    <row r="39" spans="1:20" x14ac:dyDescent="0.25">
      <c r="A39">
        <v>38</v>
      </c>
      <c r="B39" t="s">
        <v>970</v>
      </c>
      <c r="C39" s="63" t="str" cm="1">
        <f t="array" ref="C39">_xlfn.IFS(Ramasami_Mudhaliyar[[#This Row],[OCTOBER]]="M","M",Ramasami_Mudhaliyar[[#This Row],[OCTOBER]]="A","A",Ramasami_Mudhaliyar[[#This Row],[OCTOBER]]="","",Ramasami_Mudhaliyar[[#This Row],[OCTOBER]]&gt;100,"P")</f>
        <v/>
      </c>
      <c r="D39" t="s">
        <v>971</v>
      </c>
      <c r="E39" s="44" t="s">
        <v>972</v>
      </c>
      <c r="F39" s="44" t="s">
        <v>973</v>
      </c>
      <c r="O39" s="17">
        <v>210</v>
      </c>
      <c r="Q39"/>
      <c r="R39"/>
      <c r="S39" s="17"/>
      <c r="T39" s="17"/>
    </row>
    <row r="40" spans="1:20" x14ac:dyDescent="0.25">
      <c r="A40">
        <v>39</v>
      </c>
      <c r="B40" t="s">
        <v>974</v>
      </c>
      <c r="C40" s="63" t="str" cm="1">
        <f t="array" ref="C40">_xlfn.IFS(Ramasami_Mudhaliyar[[#This Row],[OCTOBER]]="M","M",Ramasami_Mudhaliyar[[#This Row],[OCTOBER]]="A","A",Ramasami_Mudhaliyar[[#This Row],[OCTOBER]]="","",Ramasami_Mudhaliyar[[#This Row],[OCTOBER]]&gt;100,"P")</f>
        <v/>
      </c>
      <c r="D40" t="s">
        <v>21</v>
      </c>
      <c r="E40" s="44" t="s">
        <v>975</v>
      </c>
      <c r="F40" s="44" t="s">
        <v>976</v>
      </c>
      <c r="O40" s="17" t="s">
        <v>321</v>
      </c>
      <c r="Q40"/>
      <c r="R40"/>
      <c r="S40" s="17"/>
      <c r="T40" s="17"/>
    </row>
    <row r="41" spans="1:20" x14ac:dyDescent="0.25">
      <c r="A41">
        <v>40</v>
      </c>
      <c r="B41" t="s">
        <v>164</v>
      </c>
      <c r="C41" s="63" t="str" cm="1">
        <f t="array" ref="C41">_xlfn.IFS(Ramasami_Mudhaliyar[[#This Row],[OCTOBER]]="M","M",Ramasami_Mudhaliyar[[#This Row],[OCTOBER]]="A","A",Ramasami_Mudhaliyar[[#This Row],[OCTOBER]]="","",Ramasami_Mudhaliyar[[#This Row],[OCTOBER]]&gt;100,"P")</f>
        <v/>
      </c>
      <c r="D41" t="s">
        <v>25</v>
      </c>
      <c r="E41" s="44" t="s">
        <v>977</v>
      </c>
      <c r="F41" s="44" t="s">
        <v>978</v>
      </c>
      <c r="Q41"/>
      <c r="R41"/>
      <c r="S41" s="17"/>
      <c r="T41" s="17"/>
    </row>
    <row r="42" spans="1:20" x14ac:dyDescent="0.25">
      <c r="A42">
        <v>41</v>
      </c>
      <c r="B42" t="s">
        <v>979</v>
      </c>
      <c r="C42" s="63" t="str" cm="1">
        <f t="array" ref="C42">_xlfn.IFS(Ramasami_Mudhaliyar[[#This Row],[OCTOBER]]="M","M",Ramasami_Mudhaliyar[[#This Row],[OCTOBER]]="A","A",Ramasami_Mudhaliyar[[#This Row],[OCTOBER]]="","",Ramasami_Mudhaliyar[[#This Row],[OCTOBER]]&gt;100,"P")</f>
        <v/>
      </c>
      <c r="D42" t="s">
        <v>78</v>
      </c>
      <c r="E42" s="44" t="s">
        <v>980</v>
      </c>
      <c r="F42" s="44" t="s">
        <v>981</v>
      </c>
      <c r="Q42"/>
      <c r="R42"/>
      <c r="S42" s="17"/>
      <c r="T42" s="17"/>
    </row>
    <row r="43" spans="1:20" x14ac:dyDescent="0.25">
      <c r="A43">
        <v>42</v>
      </c>
      <c r="B43" t="s">
        <v>624</v>
      </c>
      <c r="C43" s="63" t="str" cm="1">
        <f t="array" ref="C43">_xlfn.IFS(Ramasami_Mudhaliyar[[#This Row],[OCTOBER]]="M","M",Ramasami_Mudhaliyar[[#This Row],[OCTOBER]]="A","A",Ramasami_Mudhaliyar[[#This Row],[OCTOBER]]="","",Ramasami_Mudhaliyar[[#This Row],[OCTOBER]]&gt;100,"P")</f>
        <v/>
      </c>
      <c r="D43" t="s">
        <v>25</v>
      </c>
      <c r="E43" s="44" t="s">
        <v>982</v>
      </c>
      <c r="F43" s="44" t="s">
        <v>983</v>
      </c>
      <c r="O43" s="17" t="s">
        <v>321</v>
      </c>
      <c r="Q43"/>
      <c r="R43"/>
      <c r="S43" s="17"/>
      <c r="T43" s="17"/>
    </row>
    <row r="44" spans="1:20" x14ac:dyDescent="0.25">
      <c r="A44">
        <v>43</v>
      </c>
      <c r="B44" t="s">
        <v>984</v>
      </c>
      <c r="C44" s="63" t="str" cm="1">
        <f t="array" ref="C44">_xlfn.IFS(Ramasami_Mudhaliyar[[#This Row],[OCTOBER]]="M","M",Ramasami_Mudhaliyar[[#This Row],[OCTOBER]]="A","A",Ramasami_Mudhaliyar[[#This Row],[OCTOBER]]="","",Ramasami_Mudhaliyar[[#This Row],[OCTOBER]]&gt;100,"P")</f>
        <v/>
      </c>
      <c r="D44" t="s">
        <v>35</v>
      </c>
      <c r="E44" s="44" t="s">
        <v>985</v>
      </c>
      <c r="F44" s="44" t="s">
        <v>986</v>
      </c>
      <c r="O44" s="17">
        <v>175</v>
      </c>
      <c r="Q44"/>
      <c r="R44"/>
      <c r="S44" s="17"/>
      <c r="T44" s="17"/>
    </row>
    <row r="45" spans="1:20" s="33" customFormat="1" x14ac:dyDescent="0.25">
      <c r="A45" s="33" t="s">
        <v>298</v>
      </c>
      <c r="D45" s="33">
        <f>SUBTOTAL(103,Ramasami_Mudhaliyar[Package])</f>
        <v>42</v>
      </c>
      <c r="E45" s="33">
        <f>SUBTOTAL(103,Ramasami_Mudhaliyar[Box No])</f>
        <v>43</v>
      </c>
      <c r="F45" s="33">
        <f>SUBTOTAL(103,Ramasami_Mudhaliyar[CAF_ID])</f>
        <v>43</v>
      </c>
      <c r="G45" s="65">
        <f>SUBTOTAL(109,Ramasami_Mudhaliyar[JANUARY])</f>
        <v>0</v>
      </c>
      <c r="H45" s="65">
        <f>SUBTOTAL(109,Ramasami_Mudhaliyar[FEBEUARY])</f>
        <v>0</v>
      </c>
      <c r="I45" s="65">
        <f>SUBTOTAL(109,Ramasami_Mudhaliyar[MARCH])</f>
        <v>0</v>
      </c>
      <c r="J45" s="65">
        <f>SUBTOTAL(109,Ramasami_Mudhaliyar[APRIL])</f>
        <v>0</v>
      </c>
      <c r="K45" s="65">
        <f>SUBTOTAL(109,Ramasami_Mudhaliyar[MAY])</f>
        <v>0</v>
      </c>
      <c r="L45" s="65">
        <f>SUBTOTAL(109,Ramasami_Mudhaliyar[JUNE])</f>
        <v>0</v>
      </c>
      <c r="M45" s="65">
        <f>SUBTOTAL(109,Ramasami_Mudhaliyar[JULY])</f>
        <v>0</v>
      </c>
      <c r="N45" s="65">
        <f>SUBTOTAL(109,Ramasami_Mudhaliyar[AUGUST])</f>
        <v>0</v>
      </c>
      <c r="O45" s="65">
        <f>SUBTOTAL(109,Ramasami_Mudhaliyar[SEPTEMBER])</f>
        <v>6545</v>
      </c>
      <c r="P45" s="65">
        <f>SUBTOTAL(109,Ramasami_Mudhaliyar[OCTOBER])</f>
        <v>0</v>
      </c>
      <c r="Q45" s="65">
        <f>SUBTOTAL(109,Ramasami_Mudhaliyar[NOVEMBER])</f>
        <v>0</v>
      </c>
      <c r="R45" s="65">
        <f>SUBTOTAL(109,Ramasami_Mudhaliyar[DECEMBER])</f>
        <v>0</v>
      </c>
      <c r="S45" s="65">
        <f>SUBTOTAL(109,Ramasami_Mudhaliyar[BALANCE])</f>
        <v>0</v>
      </c>
      <c r="T45" s="65"/>
    </row>
    <row r="46" spans="1:20" x14ac:dyDescent="0.25">
      <c r="E46" s="44"/>
      <c r="F46" s="44"/>
    </row>
    <row r="48" spans="1:20" x14ac:dyDescent="0.25">
      <c r="B48" s="39" t="s">
        <v>299</v>
      </c>
      <c r="C48" s="39">
        <f>COUNTIF(C2:C44,"P")</f>
        <v>0</v>
      </c>
    </row>
    <row r="49" spans="2:4" x14ac:dyDescent="0.25">
      <c r="B49" s="33"/>
      <c r="C49" s="33"/>
    </row>
    <row r="50" spans="2:4" x14ac:dyDescent="0.25">
      <c r="B50" s="35" t="s">
        <v>300</v>
      </c>
      <c r="C50" s="1">
        <f>COUNTIF(C2:C44,"P")</f>
        <v>0</v>
      </c>
      <c r="D50"/>
    </row>
    <row r="51" spans="2:4" x14ac:dyDescent="0.25">
      <c r="B51" s="36" t="s">
        <v>301</v>
      </c>
      <c r="C51" s="5">
        <f>COUNTIF(C21:C44,"NP")</f>
        <v>0</v>
      </c>
      <c r="D51" s="53"/>
    </row>
    <row r="52" spans="2:4" x14ac:dyDescent="0.25">
      <c r="B52" s="33"/>
      <c r="C52" s="33"/>
    </row>
    <row r="53" spans="2:4" x14ac:dyDescent="0.25">
      <c r="B53" s="39" t="s">
        <v>302</v>
      </c>
      <c r="C53" s="39">
        <f>C50+C51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T52"/>
  <sheetViews>
    <sheetView zoomScale="115" zoomScaleNormal="115" workbookViewId="0">
      <selection activeCell="O36" sqref="O36"/>
    </sheetView>
  </sheetViews>
  <sheetFormatPr defaultRowHeight="15" x14ac:dyDescent="0.25"/>
  <cols>
    <col min="1" max="1" width="6.5703125" style="61" customWidth="1"/>
    <col min="2" max="2" width="23.140625" style="61" customWidth="1"/>
    <col min="3" max="3" width="7.28515625" style="61" customWidth="1"/>
    <col min="4" max="4" width="31" style="61" customWidth="1"/>
    <col min="5" max="5" width="24.5703125" style="61" customWidth="1"/>
    <col min="7" max="7" width="11.140625" style="61" hidden="1" customWidth="1"/>
    <col min="8" max="14" width="11.140625" style="52" hidden="1" customWidth="1"/>
    <col min="15" max="19" width="11.140625" style="52" customWidth="1"/>
    <col min="20" max="20" width="36.7109375" style="52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44" t="s">
        <v>19</v>
      </c>
    </row>
    <row r="2" spans="1:20" x14ac:dyDescent="0.25">
      <c r="A2">
        <v>1</v>
      </c>
      <c r="B2" t="s">
        <v>987</v>
      </c>
      <c r="C2" s="63" t="str" cm="1">
        <f t="array" ref="C2">_xlfn.IFS(PillaiyarKovil[[#This Row],[OCTOBER]]="M","M",PillaiyarKovil[[#This Row],[OCTOBER]]="A","A",PillaiyarKovil[[#This Row],[OCTOBER]]="","",PillaiyarKovil[[#This Row],[OCTOBER]]&gt;100,"P")</f>
        <v/>
      </c>
      <c r="D2" t="s">
        <v>21</v>
      </c>
      <c r="E2" s="44" t="s">
        <v>988</v>
      </c>
      <c r="F2" t="s">
        <v>989</v>
      </c>
      <c r="G2" s="52"/>
      <c r="O2" s="52">
        <v>200</v>
      </c>
      <c r="T2" s="61"/>
    </row>
    <row r="3" spans="1:20" x14ac:dyDescent="0.25">
      <c r="A3">
        <v>2</v>
      </c>
      <c r="B3" t="s">
        <v>990</v>
      </c>
      <c r="C3" s="63" t="str" cm="1">
        <f t="array" ref="C3">_xlfn.IFS(PillaiyarKovil[[#This Row],[OCTOBER]]="M","M",PillaiyarKovil[[#This Row],[OCTOBER]]="A","A",PillaiyarKovil[[#This Row],[OCTOBER]]="","",PillaiyarKovil[[#This Row],[OCTOBER]]&gt;100,"P")</f>
        <v/>
      </c>
      <c r="D3" t="s">
        <v>35</v>
      </c>
      <c r="E3" s="44" t="s">
        <v>991</v>
      </c>
      <c r="F3" t="s">
        <v>992</v>
      </c>
      <c r="G3" s="52"/>
      <c r="O3" s="52" t="s">
        <v>321</v>
      </c>
      <c r="T3" s="61"/>
    </row>
    <row r="4" spans="1:20" x14ac:dyDescent="0.25">
      <c r="A4">
        <v>3</v>
      </c>
      <c r="B4" t="s">
        <v>993</v>
      </c>
      <c r="C4" s="63" t="str" cm="1">
        <f t="array" ref="C4">_xlfn.IFS(PillaiyarKovil[[#This Row],[OCTOBER]]="M","M",PillaiyarKovil[[#This Row],[OCTOBER]]="A","A",PillaiyarKovil[[#This Row],[OCTOBER]]="","",PillaiyarKovil[[#This Row],[OCTOBER]]&gt;100,"P")</f>
        <v/>
      </c>
      <c r="D4" t="s">
        <v>25</v>
      </c>
      <c r="E4" s="44" t="s">
        <v>994</v>
      </c>
      <c r="F4" t="s">
        <v>995</v>
      </c>
      <c r="G4" s="52"/>
      <c r="O4" s="52">
        <v>200</v>
      </c>
      <c r="T4" s="61"/>
    </row>
    <row r="5" spans="1:20" x14ac:dyDescent="0.25">
      <c r="A5">
        <v>4</v>
      </c>
      <c r="B5" t="s">
        <v>996</v>
      </c>
      <c r="C5" s="63" t="str" cm="1">
        <f t="array" ref="C5">_xlfn.IFS(PillaiyarKovil[[#This Row],[OCTOBER]]="M","M",PillaiyarKovil[[#This Row],[OCTOBER]]="A","A",PillaiyarKovil[[#This Row],[OCTOBER]]="","",PillaiyarKovil[[#This Row],[OCTOBER]]&gt;100,"P")</f>
        <v/>
      </c>
      <c r="D5" t="s">
        <v>78</v>
      </c>
      <c r="E5" s="44" t="s">
        <v>997</v>
      </c>
      <c r="F5" t="s">
        <v>998</v>
      </c>
      <c r="G5" s="52"/>
      <c r="O5" s="52">
        <v>200</v>
      </c>
      <c r="T5" s="61"/>
    </row>
    <row r="6" spans="1:20" x14ac:dyDescent="0.25">
      <c r="A6">
        <v>5</v>
      </c>
      <c r="B6" t="s">
        <v>999</v>
      </c>
      <c r="C6" s="63" t="str" cm="1">
        <f t="array" ref="C6">_xlfn.IFS(PillaiyarKovil[[#This Row],[OCTOBER]]="M","M",PillaiyarKovil[[#This Row],[OCTOBER]]="A","A",PillaiyarKovil[[#This Row],[OCTOBER]]="","",PillaiyarKovil[[#This Row],[OCTOBER]]&gt;100,"P")</f>
        <v/>
      </c>
      <c r="D6" t="s">
        <v>21</v>
      </c>
      <c r="E6" s="44" t="s">
        <v>1000</v>
      </c>
      <c r="F6" t="s">
        <v>1001</v>
      </c>
      <c r="G6" s="52"/>
      <c r="O6" s="52">
        <v>200</v>
      </c>
      <c r="T6" s="61"/>
    </row>
    <row r="7" spans="1:20" x14ac:dyDescent="0.25">
      <c r="A7">
        <v>6</v>
      </c>
      <c r="B7" t="s">
        <v>170</v>
      </c>
      <c r="C7" s="63" t="str" cm="1">
        <f t="array" ref="C7">_xlfn.IFS(PillaiyarKovil[[#This Row],[OCTOBER]]="M","M",PillaiyarKovil[[#This Row],[OCTOBER]]="A","A",PillaiyarKovil[[#This Row],[OCTOBER]]="","",PillaiyarKovil[[#This Row],[OCTOBER]]&gt;100,"P")</f>
        <v/>
      </c>
      <c r="D7" t="s">
        <v>21</v>
      </c>
      <c r="E7" s="44" t="s">
        <v>1002</v>
      </c>
      <c r="F7" t="s">
        <v>1003</v>
      </c>
      <c r="G7" s="52"/>
      <c r="O7" s="52">
        <v>230</v>
      </c>
      <c r="T7" s="61"/>
    </row>
    <row r="8" spans="1:20" x14ac:dyDescent="0.25">
      <c r="A8">
        <v>7</v>
      </c>
      <c r="B8" t="s">
        <v>836</v>
      </c>
      <c r="C8" s="63" t="str" cm="1">
        <f t="array" ref="C8">_xlfn.IFS(PillaiyarKovil[[#This Row],[OCTOBER]]="M","M",PillaiyarKovil[[#This Row],[OCTOBER]]="A","A",PillaiyarKovil[[#This Row],[OCTOBER]]="","",PillaiyarKovil[[#This Row],[OCTOBER]]&gt;100,"P")</f>
        <v/>
      </c>
      <c r="D8" t="s">
        <v>45</v>
      </c>
      <c r="E8" s="44" t="s">
        <v>1004</v>
      </c>
      <c r="F8" t="s">
        <v>1005</v>
      </c>
      <c r="G8" s="52"/>
      <c r="O8" s="52">
        <v>200</v>
      </c>
      <c r="T8" s="61"/>
    </row>
    <row r="9" spans="1:20" x14ac:dyDescent="0.25">
      <c r="A9">
        <v>8</v>
      </c>
      <c r="B9" t="s">
        <v>1006</v>
      </c>
      <c r="C9" s="63" t="str" cm="1">
        <f t="array" ref="C9">_xlfn.IFS(PillaiyarKovil[[#This Row],[OCTOBER]]="M","M",PillaiyarKovil[[#This Row],[OCTOBER]]="A","A",PillaiyarKovil[[#This Row],[OCTOBER]]="","",PillaiyarKovil[[#This Row],[OCTOBER]]&gt;100,"P")</f>
        <v/>
      </c>
      <c r="D9" t="s">
        <v>78</v>
      </c>
      <c r="E9" s="44" t="s">
        <v>1007</v>
      </c>
      <c r="F9" t="s">
        <v>1008</v>
      </c>
      <c r="G9" s="52"/>
      <c r="O9" s="52">
        <v>200</v>
      </c>
      <c r="T9" s="61"/>
    </row>
    <row r="10" spans="1:20" x14ac:dyDescent="0.25">
      <c r="A10">
        <v>9</v>
      </c>
      <c r="B10" t="s">
        <v>442</v>
      </c>
      <c r="C10" s="63" t="str" cm="1">
        <f t="array" ref="C10">_xlfn.IFS(PillaiyarKovil[[#This Row],[OCTOBER]]="M","M",PillaiyarKovil[[#This Row],[OCTOBER]]="A","A",PillaiyarKovil[[#This Row],[OCTOBER]]="","",PillaiyarKovil[[#This Row],[OCTOBER]]&gt;100,"P")</f>
        <v/>
      </c>
      <c r="D10" t="s">
        <v>739</v>
      </c>
      <c r="E10" s="44" t="s">
        <v>1009</v>
      </c>
      <c r="F10" t="s">
        <v>1010</v>
      </c>
      <c r="G10" s="52"/>
      <c r="O10" s="52" t="s">
        <v>321</v>
      </c>
      <c r="T10" s="61"/>
    </row>
    <row r="11" spans="1:20" x14ac:dyDescent="0.25">
      <c r="A11">
        <v>10</v>
      </c>
      <c r="B11" t="s">
        <v>271</v>
      </c>
      <c r="C11" s="63" t="str" cm="1">
        <f t="array" ref="C11">_xlfn.IFS(PillaiyarKovil[[#This Row],[OCTOBER]]="M","M",PillaiyarKovil[[#This Row],[OCTOBER]]="A","A",PillaiyarKovil[[#This Row],[OCTOBER]]="","",PillaiyarKovil[[#This Row],[OCTOBER]]&gt;100,"P")</f>
        <v/>
      </c>
      <c r="D11" t="s">
        <v>78</v>
      </c>
      <c r="E11" s="44" t="s">
        <v>1011</v>
      </c>
      <c r="F11" t="s">
        <v>1012</v>
      </c>
      <c r="G11" s="52"/>
      <c r="O11" s="52">
        <v>200</v>
      </c>
      <c r="T11" s="61"/>
    </row>
    <row r="12" spans="1:20" x14ac:dyDescent="0.25">
      <c r="A12">
        <v>11</v>
      </c>
      <c r="B12" t="s">
        <v>1013</v>
      </c>
      <c r="C12" s="63" t="str" cm="1">
        <f t="array" ref="C12">_xlfn.IFS(PillaiyarKovil[[#This Row],[OCTOBER]]="M","M",PillaiyarKovil[[#This Row],[OCTOBER]]="A","A",PillaiyarKovil[[#This Row],[OCTOBER]]="","",PillaiyarKovil[[#This Row],[OCTOBER]]&gt;100,"P")</f>
        <v/>
      </c>
      <c r="D12" t="s">
        <v>78</v>
      </c>
      <c r="E12" s="44" t="s">
        <v>1014</v>
      </c>
      <c r="F12" t="s">
        <v>1015</v>
      </c>
      <c r="G12" s="52"/>
      <c r="O12" s="52">
        <v>200</v>
      </c>
      <c r="T12" s="61"/>
    </row>
    <row r="13" spans="1:20" x14ac:dyDescent="0.25">
      <c r="A13">
        <v>12</v>
      </c>
      <c r="B13" t="s">
        <v>676</v>
      </c>
      <c r="C13" s="63" t="str" cm="1">
        <f t="array" ref="C13">_xlfn.IFS(PillaiyarKovil[[#This Row],[OCTOBER]]="M","M",PillaiyarKovil[[#This Row],[OCTOBER]]="A","A",PillaiyarKovil[[#This Row],[OCTOBER]]="","",PillaiyarKovil[[#This Row],[OCTOBER]]&gt;100,"P")</f>
        <v/>
      </c>
      <c r="D13" t="s">
        <v>25</v>
      </c>
      <c r="E13" s="44" t="s">
        <v>1016</v>
      </c>
      <c r="F13" t="s">
        <v>1017</v>
      </c>
      <c r="G13" s="52"/>
      <c r="O13" s="52">
        <v>220</v>
      </c>
      <c r="T13" s="61"/>
    </row>
    <row r="14" spans="1:20" x14ac:dyDescent="0.25">
      <c r="A14">
        <v>13</v>
      </c>
      <c r="B14" t="s">
        <v>1018</v>
      </c>
      <c r="C14" s="63" t="str" cm="1">
        <f t="array" ref="C14">_xlfn.IFS(PillaiyarKovil[[#This Row],[OCTOBER]]="M","M",PillaiyarKovil[[#This Row],[OCTOBER]]="A","A",PillaiyarKovil[[#This Row],[OCTOBER]]="","",PillaiyarKovil[[#This Row],[OCTOBER]]&gt;100,"P")</f>
        <v/>
      </c>
      <c r="D14" t="s">
        <v>21</v>
      </c>
      <c r="E14" s="44" t="s">
        <v>1019</v>
      </c>
      <c r="F14" t="s">
        <v>1020</v>
      </c>
      <c r="G14" s="52"/>
      <c r="O14" s="52">
        <v>230</v>
      </c>
      <c r="T14" s="61"/>
    </row>
    <row r="15" spans="1:20" x14ac:dyDescent="0.25">
      <c r="A15">
        <v>14</v>
      </c>
      <c r="B15" t="s">
        <v>1021</v>
      </c>
      <c r="C15" s="63" t="str" cm="1">
        <f t="array" ref="C15">_xlfn.IFS(PillaiyarKovil[[#This Row],[OCTOBER]]="M","M",PillaiyarKovil[[#This Row],[OCTOBER]]="A","A",PillaiyarKovil[[#This Row],[OCTOBER]]="","",PillaiyarKovil[[#This Row],[OCTOBER]]&gt;100,"P")</f>
        <v/>
      </c>
      <c r="D15" t="s">
        <v>21</v>
      </c>
      <c r="E15" s="44" t="s">
        <v>1022</v>
      </c>
      <c r="F15" s="44" t="s">
        <v>1023</v>
      </c>
      <c r="G15" s="52"/>
      <c r="O15" s="52">
        <v>230</v>
      </c>
      <c r="T15" s="61"/>
    </row>
    <row r="16" spans="1:20" x14ac:dyDescent="0.25">
      <c r="A16">
        <v>15</v>
      </c>
      <c r="B16" t="s">
        <v>1024</v>
      </c>
      <c r="C16" s="63" t="str" cm="1">
        <f t="array" ref="C16">_xlfn.IFS(PillaiyarKovil[[#This Row],[OCTOBER]]="M","M",PillaiyarKovil[[#This Row],[OCTOBER]]="A","A",PillaiyarKovil[[#This Row],[OCTOBER]]="","",PillaiyarKovil[[#This Row],[OCTOBER]]&gt;100,"P")</f>
        <v/>
      </c>
      <c r="D16" t="s">
        <v>35</v>
      </c>
      <c r="E16" s="44" t="s">
        <v>1025</v>
      </c>
      <c r="F16" t="s">
        <v>1026</v>
      </c>
      <c r="G16" s="52"/>
      <c r="O16" s="52">
        <v>200</v>
      </c>
      <c r="T16" s="61"/>
    </row>
    <row r="17" spans="1:20" x14ac:dyDescent="0.25">
      <c r="A17">
        <v>16</v>
      </c>
      <c r="B17" t="s">
        <v>1027</v>
      </c>
      <c r="C17" s="63" t="str" cm="1">
        <f t="array" ref="C17">_xlfn.IFS(PillaiyarKovil[[#This Row],[OCTOBER]]="M","M",PillaiyarKovil[[#This Row],[OCTOBER]]="A","A",PillaiyarKovil[[#This Row],[OCTOBER]]="","",PillaiyarKovil[[#This Row],[OCTOBER]]&gt;100,"P")</f>
        <v/>
      </c>
      <c r="D17" t="s">
        <v>21</v>
      </c>
      <c r="E17" s="44" t="s">
        <v>1028</v>
      </c>
      <c r="F17" t="s">
        <v>1029</v>
      </c>
      <c r="G17" s="52"/>
      <c r="O17" s="52">
        <v>230</v>
      </c>
      <c r="T17" s="61"/>
    </row>
    <row r="18" spans="1:20" x14ac:dyDescent="0.25">
      <c r="A18">
        <v>17</v>
      </c>
      <c r="B18" t="s">
        <v>1030</v>
      </c>
      <c r="C18" s="63" t="str" cm="1">
        <f t="array" ref="C18">_xlfn.IFS(PillaiyarKovil[[#This Row],[OCTOBER]]="M","M",PillaiyarKovil[[#This Row],[OCTOBER]]="A","A",PillaiyarKovil[[#This Row],[OCTOBER]]="","",PillaiyarKovil[[#This Row],[OCTOBER]]&gt;100,"P")</f>
        <v/>
      </c>
      <c r="D18" t="s">
        <v>35</v>
      </c>
      <c r="E18" s="44" t="s">
        <v>1031</v>
      </c>
      <c r="F18" t="s">
        <v>1032</v>
      </c>
      <c r="G18" s="52"/>
      <c r="O18" s="52">
        <v>200</v>
      </c>
      <c r="T18" s="61"/>
    </row>
    <row r="19" spans="1:20" x14ac:dyDescent="0.25">
      <c r="A19">
        <v>18</v>
      </c>
      <c r="B19" t="s">
        <v>1033</v>
      </c>
      <c r="C19" s="63" t="str" cm="1">
        <f t="array" ref="C19">_xlfn.IFS(PillaiyarKovil[[#This Row],[OCTOBER]]="M","M",PillaiyarKovil[[#This Row],[OCTOBER]]="A","A",PillaiyarKovil[[#This Row],[OCTOBER]]="","",PillaiyarKovil[[#This Row],[OCTOBER]]&gt;100,"P")</f>
        <v/>
      </c>
      <c r="D19" t="s">
        <v>45</v>
      </c>
      <c r="E19" s="44" t="s">
        <v>1034</v>
      </c>
      <c r="F19" t="s">
        <v>1035</v>
      </c>
      <c r="G19" s="52"/>
      <c r="O19" s="52">
        <v>400</v>
      </c>
      <c r="T19" s="61"/>
    </row>
    <row r="20" spans="1:20" x14ac:dyDescent="0.25">
      <c r="A20">
        <v>19</v>
      </c>
      <c r="B20" t="s">
        <v>1036</v>
      </c>
      <c r="C20" s="63" t="str" cm="1">
        <f t="array" ref="C20">_xlfn.IFS(PillaiyarKovil[[#This Row],[OCTOBER]]="M","M",PillaiyarKovil[[#This Row],[OCTOBER]]="A","A",PillaiyarKovil[[#This Row],[OCTOBER]]="","",PillaiyarKovil[[#This Row],[OCTOBER]]&gt;100,"P")</f>
        <v/>
      </c>
      <c r="D20" t="s">
        <v>1037</v>
      </c>
      <c r="E20" s="44" t="s">
        <v>1038</v>
      </c>
      <c r="F20" t="s">
        <v>1039</v>
      </c>
      <c r="G20" s="52"/>
      <c r="O20" s="52">
        <v>200</v>
      </c>
      <c r="T20" s="61"/>
    </row>
    <row r="21" spans="1:20" x14ac:dyDescent="0.25">
      <c r="A21">
        <v>20</v>
      </c>
      <c r="B21" t="s">
        <v>1040</v>
      </c>
      <c r="C21" s="63" t="str" cm="1">
        <f t="array" ref="C21">_xlfn.IFS(PillaiyarKovil[[#This Row],[OCTOBER]]="M","M",PillaiyarKovil[[#This Row],[OCTOBER]]="A","A",PillaiyarKovil[[#This Row],[OCTOBER]]="","",PillaiyarKovil[[#This Row],[OCTOBER]]&gt;100,"P")</f>
        <v/>
      </c>
      <c r="D21" t="s">
        <v>21</v>
      </c>
      <c r="E21" s="44" t="s">
        <v>1041</v>
      </c>
      <c r="F21" t="s">
        <v>1042</v>
      </c>
      <c r="G21" s="52"/>
      <c r="O21" s="52">
        <v>300</v>
      </c>
      <c r="T21" s="61"/>
    </row>
    <row r="22" spans="1:20" x14ac:dyDescent="0.25">
      <c r="A22">
        <v>21</v>
      </c>
      <c r="B22" t="s">
        <v>1043</v>
      </c>
      <c r="C22" s="63" t="str" cm="1">
        <f t="array" ref="C22">_xlfn.IFS(PillaiyarKovil[[#This Row],[OCTOBER]]="M","M",PillaiyarKovil[[#This Row],[OCTOBER]]="A","A",PillaiyarKovil[[#This Row],[OCTOBER]]="","",PillaiyarKovil[[#This Row],[OCTOBER]]&gt;100,"P")</f>
        <v/>
      </c>
      <c r="D22" t="s">
        <v>78</v>
      </c>
      <c r="E22" s="44" t="s">
        <v>1044</v>
      </c>
      <c r="F22" t="s">
        <v>1045</v>
      </c>
      <c r="G22" s="52"/>
      <c r="O22" s="52">
        <v>200</v>
      </c>
      <c r="T22" s="61"/>
    </row>
    <row r="23" spans="1:20" x14ac:dyDescent="0.25">
      <c r="A23">
        <v>22</v>
      </c>
      <c r="B23" t="s">
        <v>802</v>
      </c>
      <c r="C23" s="63" t="str" cm="1">
        <f t="array" ref="C23">_xlfn.IFS(PillaiyarKovil[[#This Row],[OCTOBER]]="M","M",PillaiyarKovil[[#This Row],[OCTOBER]]="A","A",PillaiyarKovil[[#This Row],[OCTOBER]]="","",PillaiyarKovil[[#This Row],[OCTOBER]]&gt;100,"P")</f>
        <v/>
      </c>
      <c r="D23" t="s">
        <v>21</v>
      </c>
      <c r="E23" s="44" t="s">
        <v>1046</v>
      </c>
      <c r="F23" t="s">
        <v>1047</v>
      </c>
      <c r="G23" s="52"/>
      <c r="T23" s="61"/>
    </row>
    <row r="24" spans="1:20" x14ac:dyDescent="0.25">
      <c r="A24">
        <v>23</v>
      </c>
      <c r="B24" t="s">
        <v>624</v>
      </c>
      <c r="C24" s="63" t="str" cm="1">
        <f t="array" ref="C24">_xlfn.IFS(PillaiyarKovil[[#This Row],[OCTOBER]]="M","M",PillaiyarKovil[[#This Row],[OCTOBER]]="A","A",PillaiyarKovil[[#This Row],[OCTOBER]]="","",PillaiyarKovil[[#This Row],[OCTOBER]]&gt;100,"P")</f>
        <v/>
      </c>
      <c r="D24" t="s">
        <v>25</v>
      </c>
      <c r="E24" s="44" t="s">
        <v>1048</v>
      </c>
      <c r="F24" t="s">
        <v>1049</v>
      </c>
      <c r="G24" s="52"/>
      <c r="O24" s="52">
        <v>230</v>
      </c>
      <c r="T24" s="61"/>
    </row>
    <row r="25" spans="1:20" x14ac:dyDescent="0.25">
      <c r="A25">
        <v>24</v>
      </c>
      <c r="B25" t="s">
        <v>1050</v>
      </c>
      <c r="C25" s="63" t="str" cm="1">
        <f t="array" ref="C25">_xlfn.IFS(PillaiyarKovil[[#This Row],[OCTOBER]]="M","M",PillaiyarKovil[[#This Row],[OCTOBER]]="A","A",PillaiyarKovil[[#This Row],[OCTOBER]]="","",PillaiyarKovil[[#This Row],[OCTOBER]]&gt;100,"P")</f>
        <v/>
      </c>
      <c r="D25" t="s">
        <v>35</v>
      </c>
      <c r="E25" s="44" t="s">
        <v>1051</v>
      </c>
      <c r="F25" t="s">
        <v>1052</v>
      </c>
      <c r="G25" s="52"/>
      <c r="O25" s="52">
        <v>400</v>
      </c>
      <c r="T25" s="61"/>
    </row>
    <row r="26" spans="1:20" x14ac:dyDescent="0.25">
      <c r="A26">
        <v>25</v>
      </c>
      <c r="B26" t="s">
        <v>1053</v>
      </c>
      <c r="C26" s="63" t="str" cm="1">
        <f t="array" ref="C26">_xlfn.IFS(PillaiyarKovil[[#This Row],[OCTOBER]]="M","M",PillaiyarKovil[[#This Row],[OCTOBER]]="A","A",PillaiyarKovil[[#This Row],[OCTOBER]]="","",PillaiyarKovil[[#This Row],[OCTOBER]]&gt;100,"P")</f>
        <v/>
      </c>
      <c r="D26" t="s">
        <v>25</v>
      </c>
      <c r="E26" s="44" t="s">
        <v>1054</v>
      </c>
      <c r="F26" t="s">
        <v>1055</v>
      </c>
      <c r="G26" s="52"/>
      <c r="O26" s="52">
        <v>220</v>
      </c>
      <c r="T26" s="61"/>
    </row>
    <row r="27" spans="1:20" x14ac:dyDescent="0.25">
      <c r="A27">
        <v>26</v>
      </c>
      <c r="B27" t="s">
        <v>312</v>
      </c>
      <c r="C27" s="63" t="str" cm="1">
        <f t="array" ref="C27">_xlfn.IFS(PillaiyarKovil[[#This Row],[OCTOBER]]="M","M",PillaiyarKovil[[#This Row],[OCTOBER]]="A","A",PillaiyarKovil[[#This Row],[OCTOBER]]="","",PillaiyarKovil[[#This Row],[OCTOBER]]&gt;100,"P")</f>
        <v/>
      </c>
      <c r="D27" t="s">
        <v>21</v>
      </c>
      <c r="E27" s="44" t="s">
        <v>1056</v>
      </c>
      <c r="F27" t="s">
        <v>1057</v>
      </c>
      <c r="G27" s="52"/>
      <c r="O27" s="52">
        <v>400</v>
      </c>
      <c r="T27" s="61"/>
    </row>
    <row r="28" spans="1:20" x14ac:dyDescent="0.25">
      <c r="A28">
        <v>27</v>
      </c>
      <c r="B28" t="s">
        <v>735</v>
      </c>
      <c r="C28" s="63" t="str" cm="1">
        <f t="array" ref="C28">_xlfn.IFS(PillaiyarKovil[[#This Row],[OCTOBER]]="M","M",PillaiyarKovil[[#This Row],[OCTOBER]]="A","A",PillaiyarKovil[[#This Row],[OCTOBER]]="","",PillaiyarKovil[[#This Row],[OCTOBER]]&gt;100,"P")</f>
        <v/>
      </c>
      <c r="D28" t="s">
        <v>25</v>
      </c>
      <c r="E28" s="44" t="s">
        <v>1058</v>
      </c>
      <c r="F28" t="s">
        <v>1059</v>
      </c>
      <c r="G28" s="52"/>
      <c r="O28" s="52">
        <v>230</v>
      </c>
      <c r="T28" s="61"/>
    </row>
    <row r="29" spans="1:20" x14ac:dyDescent="0.25">
      <c r="A29">
        <v>28</v>
      </c>
      <c r="B29" t="s">
        <v>1060</v>
      </c>
      <c r="C29" s="63" t="str" cm="1">
        <f t="array" ref="C29">_xlfn.IFS(PillaiyarKovil[[#This Row],[OCTOBER]]="M","M",PillaiyarKovil[[#This Row],[OCTOBER]]="A","A",PillaiyarKovil[[#This Row],[OCTOBER]]="","",PillaiyarKovil[[#This Row],[OCTOBER]]&gt;100,"P")</f>
        <v/>
      </c>
      <c r="D29" t="s">
        <v>21</v>
      </c>
      <c r="E29" s="44" t="s">
        <v>69</v>
      </c>
      <c r="F29" t="s">
        <v>70</v>
      </c>
      <c r="G29" s="52"/>
      <c r="O29" s="52">
        <v>200</v>
      </c>
      <c r="T29" s="61"/>
    </row>
    <row r="30" spans="1:20" x14ac:dyDescent="0.25">
      <c r="A30">
        <v>29</v>
      </c>
      <c r="B30" t="s">
        <v>1061</v>
      </c>
      <c r="C30" s="63" t="str" cm="1">
        <f t="array" ref="C30">_xlfn.IFS(PillaiyarKovil[[#This Row],[OCTOBER]]="M","M",PillaiyarKovil[[#This Row],[OCTOBER]]="A","A",PillaiyarKovil[[#This Row],[OCTOBER]]="","",PillaiyarKovil[[#This Row],[OCTOBER]]&gt;100,"P")</f>
        <v/>
      </c>
      <c r="D30" t="s">
        <v>25</v>
      </c>
      <c r="E30" s="44" t="s">
        <v>1062</v>
      </c>
      <c r="F30" s="44" t="s">
        <v>1063</v>
      </c>
      <c r="G30" s="52"/>
      <c r="O30" s="52">
        <v>230</v>
      </c>
      <c r="T30" s="61"/>
    </row>
    <row r="31" spans="1:20" x14ac:dyDescent="0.25">
      <c r="A31">
        <v>30</v>
      </c>
      <c r="B31" t="s">
        <v>1064</v>
      </c>
      <c r="C31" s="63" t="str" cm="1">
        <f t="array" ref="C31">_xlfn.IFS(PillaiyarKovil[[#This Row],[OCTOBER]]="M","M",PillaiyarKovil[[#This Row],[OCTOBER]]="A","A",PillaiyarKovil[[#This Row],[OCTOBER]]="","",PillaiyarKovil[[#This Row],[OCTOBER]]&gt;100,"P")</f>
        <v/>
      </c>
      <c r="D31" t="s">
        <v>78</v>
      </c>
      <c r="E31" s="44" t="s">
        <v>1065</v>
      </c>
      <c r="F31" t="s">
        <v>1066</v>
      </c>
      <c r="G31" s="52"/>
      <c r="O31" s="52">
        <v>200</v>
      </c>
      <c r="T31" s="61"/>
    </row>
    <row r="32" spans="1:20" x14ac:dyDescent="0.25">
      <c r="A32">
        <v>31</v>
      </c>
      <c r="B32" t="s">
        <v>41</v>
      </c>
      <c r="C32" s="63" t="str" cm="1">
        <f t="array" ref="C32">_xlfn.IFS(PillaiyarKovil[[#This Row],[OCTOBER]]="M","M",PillaiyarKovil[[#This Row],[OCTOBER]]="A","A",PillaiyarKovil[[#This Row],[OCTOBER]]="","",PillaiyarKovil[[#This Row],[OCTOBER]]&gt;100,"P")</f>
        <v/>
      </c>
      <c r="D32" t="s">
        <v>78</v>
      </c>
      <c r="E32" s="44" t="s">
        <v>1067</v>
      </c>
      <c r="F32" t="s">
        <v>1068</v>
      </c>
      <c r="G32" s="52"/>
      <c r="O32" s="52">
        <v>200</v>
      </c>
      <c r="T32" s="61"/>
    </row>
    <row r="33" spans="1:20" x14ac:dyDescent="0.25">
      <c r="A33">
        <v>32</v>
      </c>
      <c r="B33" t="s">
        <v>1069</v>
      </c>
      <c r="C33" s="63" t="str" cm="1">
        <f t="array" ref="C33">_xlfn.IFS(PillaiyarKovil[[#This Row],[OCTOBER]]="M","M",PillaiyarKovil[[#This Row],[OCTOBER]]="A","A",PillaiyarKovil[[#This Row],[OCTOBER]]="","",PillaiyarKovil[[#This Row],[OCTOBER]]&gt;100,"P")</f>
        <v/>
      </c>
      <c r="D33" t="s">
        <v>25</v>
      </c>
      <c r="E33" s="44" t="s">
        <v>1070</v>
      </c>
      <c r="F33" t="s">
        <v>1071</v>
      </c>
      <c r="G33" s="52"/>
      <c r="O33" s="52">
        <v>200</v>
      </c>
      <c r="T33" s="61"/>
    </row>
    <row r="34" spans="1:20" x14ac:dyDescent="0.25">
      <c r="A34">
        <v>33</v>
      </c>
      <c r="B34" t="s">
        <v>1072</v>
      </c>
      <c r="C34" s="63" t="str" cm="1">
        <f t="array" ref="C34">_xlfn.IFS(PillaiyarKovil[[#This Row],[OCTOBER]]="M","M",PillaiyarKovil[[#This Row],[OCTOBER]]="A","A",PillaiyarKovil[[#This Row],[OCTOBER]]="","",PillaiyarKovil[[#This Row],[OCTOBER]]&gt;100,"P")</f>
        <v/>
      </c>
      <c r="D34" t="s">
        <v>25</v>
      </c>
      <c r="E34" s="44" t="s">
        <v>1073</v>
      </c>
      <c r="F34" t="s">
        <v>1074</v>
      </c>
      <c r="G34" s="52"/>
      <c r="O34" s="52">
        <v>200</v>
      </c>
      <c r="T34" s="61"/>
    </row>
    <row r="35" spans="1:20" x14ac:dyDescent="0.25">
      <c r="A35">
        <v>34</v>
      </c>
      <c r="B35" t="s">
        <v>1075</v>
      </c>
      <c r="C35" s="63" t="str" cm="1">
        <f t="array" ref="C35">_xlfn.IFS(PillaiyarKovil[[#This Row],[OCTOBER]]="M","M",PillaiyarKovil[[#This Row],[OCTOBER]]="A","A",PillaiyarKovil[[#This Row],[OCTOBER]]="","",PillaiyarKovil[[#This Row],[OCTOBER]]&gt;100,"P")</f>
        <v/>
      </c>
      <c r="D35" t="s">
        <v>78</v>
      </c>
      <c r="E35" s="44" t="s">
        <v>1076</v>
      </c>
      <c r="F35" t="s">
        <v>1077</v>
      </c>
      <c r="G35" s="52"/>
      <c r="O35" s="52">
        <v>200</v>
      </c>
      <c r="T35" s="61"/>
    </row>
    <row r="36" spans="1:20" x14ac:dyDescent="0.25">
      <c r="A36">
        <v>35</v>
      </c>
      <c r="B36" t="s">
        <v>374</v>
      </c>
      <c r="C36" s="63" t="str" cm="1">
        <f t="array" ref="C36">_xlfn.IFS(PillaiyarKovil[[#This Row],[OCTOBER]]="M","M",PillaiyarKovil[[#This Row],[OCTOBER]]="A","A",PillaiyarKovil[[#This Row],[OCTOBER]]="","",PillaiyarKovil[[#This Row],[OCTOBER]]&gt;100,"P")</f>
        <v/>
      </c>
      <c r="D36" t="s">
        <v>35</v>
      </c>
      <c r="E36" s="44" t="s">
        <v>1078</v>
      </c>
      <c r="F36" s="44" t="s">
        <v>1079</v>
      </c>
      <c r="G36" s="52"/>
      <c r="T36" s="61"/>
    </row>
    <row r="37" spans="1:20" ht="15.75" customHeight="1" x14ac:dyDescent="0.25">
      <c r="A37">
        <v>35</v>
      </c>
      <c r="B37" t="s">
        <v>1080</v>
      </c>
      <c r="C37" s="63" t="str" cm="1">
        <f t="array" ref="C37">_xlfn.IFS(PillaiyarKovil[[#This Row],[OCTOBER]]="M","M",PillaiyarKovil[[#This Row],[OCTOBER]]="A","A",PillaiyarKovil[[#This Row],[OCTOBER]]="","",PillaiyarKovil[[#This Row],[OCTOBER]]&gt;100,"P")</f>
        <v/>
      </c>
      <c r="D37" t="s">
        <v>35</v>
      </c>
      <c r="E37" s="44" t="s">
        <v>1081</v>
      </c>
      <c r="F37" t="s">
        <v>1082</v>
      </c>
      <c r="G37" s="52"/>
      <c r="O37" s="52">
        <v>200</v>
      </c>
      <c r="T37" s="61"/>
    </row>
    <row r="38" spans="1:20" x14ac:dyDescent="0.25">
      <c r="A38">
        <v>36</v>
      </c>
      <c r="B38" t="s">
        <v>138</v>
      </c>
      <c r="C38" s="63" t="str" cm="1">
        <f t="array" ref="C38">_xlfn.IFS(PillaiyarKovil[[#This Row],[OCTOBER]]="M","M",PillaiyarKovil[[#This Row],[OCTOBER]]="A","A",PillaiyarKovil[[#This Row],[OCTOBER]]="","",PillaiyarKovil[[#This Row],[OCTOBER]]&gt;100,"P")</f>
        <v/>
      </c>
      <c r="D38" t="s">
        <v>21</v>
      </c>
      <c r="E38" s="44" t="s">
        <v>1083</v>
      </c>
      <c r="F38" t="s">
        <v>1084</v>
      </c>
      <c r="G38" s="52"/>
      <c r="O38" s="52">
        <v>230</v>
      </c>
      <c r="T38" s="61"/>
    </row>
    <row r="39" spans="1:20" x14ac:dyDescent="0.25">
      <c r="A39">
        <v>37</v>
      </c>
      <c r="B39" t="s">
        <v>1085</v>
      </c>
      <c r="C39" s="63" t="str" cm="1">
        <f t="array" ref="C39">_xlfn.IFS(PillaiyarKovil[[#This Row],[OCTOBER]]="M","M",PillaiyarKovil[[#This Row],[OCTOBER]]="A","A",PillaiyarKovil[[#This Row],[OCTOBER]]="","",PillaiyarKovil[[#This Row],[OCTOBER]]&gt;100,"P")</f>
        <v/>
      </c>
      <c r="D39" t="s">
        <v>1086</v>
      </c>
      <c r="E39" s="44" t="s">
        <v>1087</v>
      </c>
      <c r="F39" t="s">
        <v>1088</v>
      </c>
      <c r="G39" s="52"/>
      <c r="O39" s="52">
        <v>220</v>
      </c>
      <c r="T39" s="61"/>
    </row>
    <row r="40" spans="1:20" ht="15" customHeight="1" x14ac:dyDescent="0.25">
      <c r="A40">
        <v>38</v>
      </c>
      <c r="B40" t="s">
        <v>1089</v>
      </c>
      <c r="C40" s="63" t="str" cm="1">
        <f t="array" ref="C40">_xlfn.IFS(PillaiyarKovil[[#This Row],[OCTOBER]]="M","M",PillaiyarKovil[[#This Row],[OCTOBER]]="A","A",PillaiyarKovil[[#This Row],[OCTOBER]]="","",PillaiyarKovil[[#This Row],[OCTOBER]]&gt;100,"P")</f>
        <v/>
      </c>
      <c r="D40" t="s">
        <v>25</v>
      </c>
      <c r="E40" s="44" t="s">
        <v>1090</v>
      </c>
      <c r="F40" t="s">
        <v>1091</v>
      </c>
      <c r="G40" s="52"/>
      <c r="O40" s="52">
        <v>200</v>
      </c>
      <c r="T40" s="61"/>
    </row>
    <row r="41" spans="1:20" ht="16.5" customHeight="1" x14ac:dyDescent="0.25">
      <c r="A41">
        <v>39</v>
      </c>
      <c r="B41" t="s">
        <v>1092</v>
      </c>
      <c r="C41" s="63" t="str" cm="1">
        <f t="array" ref="C41">_xlfn.IFS(PillaiyarKovil[[#This Row],[OCTOBER]]="M","M",PillaiyarKovil[[#This Row],[OCTOBER]]="A","A",PillaiyarKovil[[#This Row],[OCTOBER]]="","",PillaiyarKovil[[#This Row],[OCTOBER]]&gt;100,"P")</f>
        <v/>
      </c>
      <c r="D41" t="s">
        <v>1093</v>
      </c>
      <c r="E41" s="44" t="s">
        <v>1094</v>
      </c>
      <c r="F41" t="s">
        <v>1095</v>
      </c>
      <c r="G41" s="52"/>
      <c r="O41" s="52" t="s">
        <v>321</v>
      </c>
      <c r="T41" s="61"/>
    </row>
    <row r="42" spans="1:20" x14ac:dyDescent="0.25">
      <c r="A42">
        <v>40</v>
      </c>
      <c r="B42" t="s">
        <v>1096</v>
      </c>
      <c r="C42" s="63" t="str" cm="1">
        <f t="array" ref="C42">_xlfn.IFS(PillaiyarKovil[[#This Row],[OCTOBER]]="M","M",PillaiyarKovil[[#This Row],[OCTOBER]]="A","A",PillaiyarKovil[[#This Row],[OCTOBER]]="","",PillaiyarKovil[[#This Row],[OCTOBER]]&gt;100,"P")</f>
        <v/>
      </c>
      <c r="D42" t="s">
        <v>1097</v>
      </c>
      <c r="E42" s="44" t="s">
        <v>1098</v>
      </c>
      <c r="F42" t="s">
        <v>1099</v>
      </c>
      <c r="G42" s="52"/>
      <c r="O42" s="52" t="s">
        <v>321</v>
      </c>
      <c r="T42" s="61"/>
    </row>
    <row r="43" spans="1:20" x14ac:dyDescent="0.25">
      <c r="A43">
        <v>41</v>
      </c>
      <c r="B43" t="s">
        <v>1100</v>
      </c>
      <c r="C43" s="63" t="str" cm="1">
        <f t="array" ref="C43">_xlfn.IFS(PillaiyarKovil[[#This Row],[OCTOBER]]="M","M",PillaiyarKovil[[#This Row],[OCTOBER]]="A","A",PillaiyarKovil[[#This Row],[OCTOBER]]="","",PillaiyarKovil[[#This Row],[OCTOBER]]&gt;100,"P")</f>
        <v/>
      </c>
      <c r="D43" t="s">
        <v>1101</v>
      </c>
      <c r="E43" s="44" t="s">
        <v>1102</v>
      </c>
      <c r="F43" t="s">
        <v>1103</v>
      </c>
      <c r="G43" s="52"/>
      <c r="O43" s="52" t="s">
        <v>321</v>
      </c>
      <c r="T43" s="61"/>
    </row>
    <row r="44" spans="1:20" s="33" customFormat="1" ht="18.75" customHeight="1" x14ac:dyDescent="0.25">
      <c r="A44" s="33" t="s">
        <v>298</v>
      </c>
      <c r="D44" s="33">
        <f>SUBTOTAL(103,PillaiyarKovil[Package])</f>
        <v>42</v>
      </c>
      <c r="E44" s="33">
        <f>SUBTOTAL(103,PillaiyarKovil[Box No])</f>
        <v>42</v>
      </c>
      <c r="F44" s="33">
        <f>SUBTOTAL(103,PillaiyarKovil[CAF_ID])</f>
        <v>42</v>
      </c>
      <c r="G44" s="34">
        <f>SUBTOTAL(109,PillaiyarKovil[JANUARY])</f>
        <v>0</v>
      </c>
      <c r="H44" s="34">
        <f>SUBTOTAL(109,PillaiyarKovil[FEBEUARY])</f>
        <v>0</v>
      </c>
      <c r="I44" s="34">
        <f>SUBTOTAL(109,PillaiyarKovil[MARCH])</f>
        <v>0</v>
      </c>
      <c r="J44" s="34">
        <f>SUBTOTAL(109,PillaiyarKovil[APRIL])</f>
        <v>0</v>
      </c>
      <c r="K44" s="34">
        <f>SUBTOTAL(109,PillaiyarKovil[MAY])</f>
        <v>0</v>
      </c>
      <c r="L44" s="34">
        <f>SUBTOTAL(109,PillaiyarKovil[JUNE])</f>
        <v>0</v>
      </c>
      <c r="M44" s="34">
        <f>SUBTOTAL(109,PillaiyarKovil[JULY])</f>
        <v>0</v>
      </c>
      <c r="N44" s="34">
        <f>SUBTOTAL(109,PillaiyarKovil[AUGUST])</f>
        <v>0</v>
      </c>
      <c r="O44" s="34">
        <f>SUBTOTAL(109,PillaiyarKovil[SEPTEMBER])</f>
        <v>8000</v>
      </c>
      <c r="P44" s="34">
        <f>SUBTOTAL(109,PillaiyarKovil[OCTOBER])</f>
        <v>0</v>
      </c>
      <c r="Q44" s="34">
        <f>SUBTOTAL(109,PillaiyarKovil[NOVEMBER])</f>
        <v>0</v>
      </c>
      <c r="R44" s="34">
        <f>SUBTOTAL(109,PillaiyarKovil[DECEMBER])</f>
        <v>0</v>
      </c>
      <c r="S44" s="34">
        <f>SUBTOTAL(109,PillaiyarKovil[BALANCE])</f>
        <v>0</v>
      </c>
    </row>
    <row r="45" spans="1:20" x14ac:dyDescent="0.25">
      <c r="D45" s="15"/>
      <c r="E45" s="44"/>
      <c r="F45" s="44"/>
      <c r="G45" s="44"/>
    </row>
    <row r="46" spans="1:20" ht="18" customHeight="1" x14ac:dyDescent="0.25"/>
    <row r="47" spans="1:20" x14ac:dyDescent="0.25">
      <c r="B47" s="39" t="s">
        <v>299</v>
      </c>
      <c r="C47" s="39">
        <f>COUNTIF(PillaiyarKovil[PAID],"P")</f>
        <v>0</v>
      </c>
    </row>
    <row r="49" spans="2:4" x14ac:dyDescent="0.25">
      <c r="B49" s="13" t="s">
        <v>300</v>
      </c>
      <c r="C49" s="1">
        <f>COUNTIF(C2:C43,"P")</f>
        <v>0</v>
      </c>
      <c r="D49"/>
    </row>
    <row r="50" spans="2:4" x14ac:dyDescent="0.25">
      <c r="B50" s="14" t="s">
        <v>301</v>
      </c>
      <c r="C50" s="5">
        <f>COUNTIF(C27:C45,"NP")</f>
        <v>0</v>
      </c>
      <c r="D50" s="53"/>
    </row>
    <row r="52" spans="2:4" x14ac:dyDescent="0.25">
      <c r="B52" s="39" t="s">
        <v>302</v>
      </c>
      <c r="C52" s="39">
        <f>C49+C50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38"/>
  <sheetViews>
    <sheetView zoomScale="115" zoomScaleNormal="115" workbookViewId="0">
      <selection activeCell="O12" sqref="O12"/>
    </sheetView>
  </sheetViews>
  <sheetFormatPr defaultRowHeight="15" x14ac:dyDescent="0.25"/>
  <cols>
    <col min="1" max="1" width="6.85546875" style="61" customWidth="1"/>
    <col min="2" max="2" width="19.85546875" style="61" customWidth="1"/>
    <col min="3" max="3" width="9.28515625" style="61" customWidth="1"/>
    <col min="4" max="4" width="29.7109375" style="61" customWidth="1"/>
    <col min="5" max="5" width="22.85546875" style="61" customWidth="1"/>
    <col min="7" max="7" width="11.28515625" style="44" hidden="1" customWidth="1"/>
    <col min="8" max="12" width="11.28515625" style="61" hidden="1" customWidth="1"/>
    <col min="13" max="13" width="11.28515625" style="16" hidden="1" customWidth="1"/>
    <col min="14" max="14" width="11.28515625" style="17" hidden="1" customWidth="1"/>
    <col min="15" max="18" width="11.28515625" style="17" customWidth="1"/>
    <col min="19" max="19" width="11.28515625" style="61" customWidth="1"/>
    <col min="20" max="20" width="36.42578125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t="s">
        <v>7</v>
      </c>
      <c r="I1" t="s">
        <v>8</v>
      </c>
      <c r="J1" t="s">
        <v>9</v>
      </c>
      <c r="K1" t="s">
        <v>10</v>
      </c>
      <c r="L1" s="16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44" t="s">
        <v>18</v>
      </c>
      <c r="T1" s="44" t="s">
        <v>19</v>
      </c>
    </row>
    <row r="2" spans="1:20" x14ac:dyDescent="0.25">
      <c r="A2">
        <v>1</v>
      </c>
      <c r="B2" t="s">
        <v>1104</v>
      </c>
      <c r="C2" s="63" t="str" cm="1">
        <f t="array" ref="C2">_xlfn.IFS(kmudhaliyar[[#This Row],[OCTOBER]]="M","M",kmudhaliyar[[#This Row],[OCTOBER]]="A","A",kmudhaliyar[[#This Row],[OCTOBER]]="","",kmudhaliyar[[#This Row],[OCTOBER]]&gt;100,"P")</f>
        <v/>
      </c>
      <c r="D2" t="s">
        <v>35</v>
      </c>
      <c r="E2" s="44" t="s">
        <v>1105</v>
      </c>
      <c r="F2" t="s">
        <v>1106</v>
      </c>
      <c r="G2" s="61"/>
      <c r="K2" s="16"/>
      <c r="L2" s="17"/>
      <c r="M2" s="17"/>
      <c r="O2" s="17">
        <v>200</v>
      </c>
      <c r="Q2" s="61"/>
      <c r="R2"/>
      <c r="T2" s="44"/>
    </row>
    <row r="3" spans="1:20" x14ac:dyDescent="0.25">
      <c r="A3">
        <v>2</v>
      </c>
      <c r="B3" t="s">
        <v>1030</v>
      </c>
      <c r="C3" s="63" t="str" cm="1">
        <f t="array" ref="C3">_xlfn.IFS(kmudhaliyar[[#This Row],[OCTOBER]]="M","M",kmudhaliyar[[#This Row],[OCTOBER]]="A","A",kmudhaliyar[[#This Row],[OCTOBER]]="","",kmudhaliyar[[#This Row],[OCTOBER]]&gt;100,"P")</f>
        <v/>
      </c>
      <c r="D3" t="s">
        <v>35</v>
      </c>
      <c r="E3" s="44" t="s">
        <v>1107</v>
      </c>
      <c r="F3" t="s">
        <v>1108</v>
      </c>
      <c r="G3" s="61"/>
      <c r="K3" s="16"/>
      <c r="L3" s="17"/>
      <c r="M3" s="17"/>
      <c r="O3" s="17">
        <v>300</v>
      </c>
      <c r="Q3" s="61"/>
      <c r="R3"/>
      <c r="T3" s="44"/>
    </row>
    <row r="4" spans="1:20" x14ac:dyDescent="0.25">
      <c r="A4">
        <v>3</v>
      </c>
      <c r="B4" t="s">
        <v>350</v>
      </c>
      <c r="C4" s="63" t="str" cm="1">
        <f t="array" ref="C4">_xlfn.IFS(kmudhaliyar[[#This Row],[OCTOBER]]="M","M",kmudhaliyar[[#This Row],[OCTOBER]]="A","A",kmudhaliyar[[#This Row],[OCTOBER]]="","",kmudhaliyar[[#This Row],[OCTOBER]]&gt;100,"P")</f>
        <v/>
      </c>
      <c r="D4" t="s">
        <v>78</v>
      </c>
      <c r="E4" s="44" t="s">
        <v>1109</v>
      </c>
      <c r="F4" t="s">
        <v>1110</v>
      </c>
      <c r="G4" s="61"/>
      <c r="K4" s="16"/>
      <c r="L4" s="17"/>
      <c r="M4" s="17"/>
      <c r="O4" s="17">
        <v>200</v>
      </c>
      <c r="Q4" s="61"/>
      <c r="R4"/>
      <c r="T4" s="44"/>
    </row>
    <row r="5" spans="1:20" x14ac:dyDescent="0.25">
      <c r="A5">
        <v>4</v>
      </c>
      <c r="B5" t="s">
        <v>1111</v>
      </c>
      <c r="C5" s="63" t="str" cm="1">
        <f t="array" ref="C5">_xlfn.IFS(kmudhaliyar[[#This Row],[OCTOBER]]="M","M",kmudhaliyar[[#This Row],[OCTOBER]]="A","A",kmudhaliyar[[#This Row],[OCTOBER]]="","",kmudhaliyar[[#This Row],[OCTOBER]]&gt;100,"P")</f>
        <v/>
      </c>
      <c r="D5" t="s">
        <v>78</v>
      </c>
      <c r="E5" s="44" t="s">
        <v>219</v>
      </c>
      <c r="F5" t="s">
        <v>220</v>
      </c>
      <c r="G5" s="61"/>
      <c r="K5" s="16"/>
      <c r="L5" s="17"/>
      <c r="M5" s="17"/>
      <c r="O5" s="17">
        <v>200</v>
      </c>
      <c r="Q5" s="61"/>
      <c r="R5"/>
      <c r="T5" s="44"/>
    </row>
    <row r="6" spans="1:20" x14ac:dyDescent="0.25">
      <c r="A6">
        <v>5</v>
      </c>
      <c r="B6" t="s">
        <v>523</v>
      </c>
      <c r="C6" s="63" t="str" cm="1">
        <f t="array" ref="C6">_xlfn.IFS(kmudhaliyar[[#This Row],[OCTOBER]]="M","M",kmudhaliyar[[#This Row],[OCTOBER]]="A","A",kmudhaliyar[[#This Row],[OCTOBER]]="","",kmudhaliyar[[#This Row],[OCTOBER]]&gt;100,"P")</f>
        <v/>
      </c>
      <c r="D6" t="s">
        <v>21</v>
      </c>
      <c r="E6" s="44" t="s">
        <v>1112</v>
      </c>
      <c r="F6" t="s">
        <v>1113</v>
      </c>
      <c r="G6" s="61"/>
      <c r="K6" s="16"/>
      <c r="L6" s="17"/>
      <c r="M6" s="17"/>
      <c r="O6" s="17">
        <v>230</v>
      </c>
      <c r="Q6" s="61"/>
      <c r="R6"/>
      <c r="T6" s="44"/>
    </row>
    <row r="7" spans="1:20" x14ac:dyDescent="0.25">
      <c r="A7">
        <v>6</v>
      </c>
      <c r="B7" t="s">
        <v>1114</v>
      </c>
      <c r="C7" s="63" t="str" cm="1">
        <f t="array" ref="C7">_xlfn.IFS(kmudhaliyar[[#This Row],[OCTOBER]]="M","M",kmudhaliyar[[#This Row],[OCTOBER]]="A","A",kmudhaliyar[[#This Row],[OCTOBER]]="","",kmudhaliyar[[#This Row],[OCTOBER]]&gt;100,"P")</f>
        <v/>
      </c>
      <c r="D7" t="s">
        <v>35</v>
      </c>
      <c r="E7" s="44" t="s">
        <v>1115</v>
      </c>
      <c r="F7" t="s">
        <v>1116</v>
      </c>
      <c r="G7" s="61"/>
      <c r="K7" s="16"/>
      <c r="L7" s="17"/>
      <c r="M7" s="17"/>
      <c r="O7" s="17" t="s">
        <v>321</v>
      </c>
      <c r="Q7" s="61"/>
      <c r="R7"/>
      <c r="T7" s="44"/>
    </row>
    <row r="8" spans="1:20" x14ac:dyDescent="0.25">
      <c r="A8">
        <v>7</v>
      </c>
      <c r="B8" t="s">
        <v>1117</v>
      </c>
      <c r="C8" s="63" t="str" cm="1">
        <f t="array" ref="C8">_xlfn.IFS(kmudhaliyar[[#This Row],[OCTOBER]]="M","M",kmudhaliyar[[#This Row],[OCTOBER]]="A","A",kmudhaliyar[[#This Row],[OCTOBER]]="","",kmudhaliyar[[#This Row],[OCTOBER]]&gt;100,"P")</f>
        <v/>
      </c>
      <c r="D8" t="s">
        <v>21</v>
      </c>
      <c r="E8" s="44" t="s">
        <v>1118</v>
      </c>
      <c r="F8" t="s">
        <v>1119</v>
      </c>
      <c r="G8" s="61"/>
      <c r="K8" s="16"/>
      <c r="L8" s="17"/>
      <c r="M8" s="17"/>
      <c r="O8" s="17">
        <v>200</v>
      </c>
      <c r="Q8" s="61"/>
      <c r="R8"/>
      <c r="T8" s="44"/>
    </row>
    <row r="9" spans="1:20" x14ac:dyDescent="0.25">
      <c r="A9">
        <v>8</v>
      </c>
      <c r="B9" t="s">
        <v>910</v>
      </c>
      <c r="C9" s="63" t="str" cm="1">
        <f t="array" ref="C9">_xlfn.IFS(kmudhaliyar[[#This Row],[OCTOBER]]="M","M",kmudhaliyar[[#This Row],[OCTOBER]]="A","A",kmudhaliyar[[#This Row],[OCTOBER]]="","",kmudhaliyar[[#This Row],[OCTOBER]]&gt;100,"P")</f>
        <v/>
      </c>
      <c r="D9" t="s">
        <v>1120</v>
      </c>
      <c r="E9" s="44" t="s">
        <v>1121</v>
      </c>
      <c r="F9" t="s">
        <v>1122</v>
      </c>
      <c r="G9" s="61"/>
      <c r="K9" s="16"/>
      <c r="L9" s="17"/>
      <c r="M9" s="17"/>
      <c r="O9" s="17">
        <v>200</v>
      </c>
      <c r="Q9" s="61"/>
      <c r="R9"/>
      <c r="T9" s="44"/>
    </row>
    <row r="10" spans="1:20" x14ac:dyDescent="0.25">
      <c r="A10">
        <v>9</v>
      </c>
      <c r="B10" t="s">
        <v>888</v>
      </c>
      <c r="C10" s="63" t="str" cm="1">
        <f t="array" ref="C10">_xlfn.IFS(kmudhaliyar[[#This Row],[OCTOBER]]="M","M",kmudhaliyar[[#This Row],[OCTOBER]]="A","A",kmudhaliyar[[#This Row],[OCTOBER]]="","",kmudhaliyar[[#This Row],[OCTOBER]]&gt;100,"P")</f>
        <v/>
      </c>
      <c r="D10" t="s">
        <v>1123</v>
      </c>
      <c r="E10" s="44" t="s">
        <v>1124</v>
      </c>
      <c r="F10" s="44" t="s">
        <v>1125</v>
      </c>
      <c r="G10" s="61"/>
      <c r="K10" s="16"/>
      <c r="L10" s="17"/>
      <c r="M10" s="17"/>
      <c r="Q10" s="61"/>
      <c r="R10"/>
      <c r="T10" s="44"/>
    </row>
    <row r="11" spans="1:20" x14ac:dyDescent="0.25">
      <c r="A11">
        <v>10</v>
      </c>
      <c r="B11" t="s">
        <v>1126</v>
      </c>
      <c r="C11" s="63" t="str" cm="1">
        <f t="array" ref="C11">_xlfn.IFS(kmudhaliyar[[#This Row],[OCTOBER]]="M","M",kmudhaliyar[[#This Row],[OCTOBER]]="A","A",kmudhaliyar[[#This Row],[OCTOBER]]="","",kmudhaliyar[[#This Row],[OCTOBER]]&gt;100,"P")</f>
        <v/>
      </c>
      <c r="D11" t="s">
        <v>25</v>
      </c>
      <c r="E11" s="44" t="s">
        <v>1127</v>
      </c>
      <c r="F11" t="s">
        <v>1128</v>
      </c>
      <c r="G11" s="61"/>
      <c r="K11" s="16"/>
      <c r="L11" s="17"/>
      <c r="M11" s="17"/>
      <c r="O11" s="17">
        <v>320</v>
      </c>
      <c r="Q11" s="61"/>
      <c r="R11"/>
      <c r="T11" s="44"/>
    </row>
    <row r="12" spans="1:20" x14ac:dyDescent="0.25">
      <c r="A12">
        <v>11</v>
      </c>
      <c r="B12" t="s">
        <v>1129</v>
      </c>
      <c r="C12" s="63" t="str" cm="1">
        <f t="array" ref="C12">_xlfn.IFS(kmudhaliyar[[#This Row],[OCTOBER]]="M","M",kmudhaliyar[[#This Row],[OCTOBER]]="A","A",kmudhaliyar[[#This Row],[OCTOBER]]="","",kmudhaliyar[[#This Row],[OCTOBER]]&gt;100,"P")</f>
        <v/>
      </c>
      <c r="D12" t="s">
        <v>1123</v>
      </c>
      <c r="E12" s="44" t="s">
        <v>1124</v>
      </c>
      <c r="F12" t="s">
        <v>1125</v>
      </c>
      <c r="G12" s="61"/>
      <c r="K12" s="16"/>
      <c r="L12" s="17"/>
      <c r="M12" s="17"/>
      <c r="Q12" s="61"/>
      <c r="R12"/>
      <c r="T12" s="44"/>
    </row>
    <row r="13" spans="1:20" x14ac:dyDescent="0.25">
      <c r="A13">
        <v>12</v>
      </c>
      <c r="B13" t="s">
        <v>255</v>
      </c>
      <c r="C13" s="63" t="str" cm="1">
        <f t="array" ref="C13">_xlfn.IFS(kmudhaliyar[[#This Row],[OCTOBER]]="M","M",kmudhaliyar[[#This Row],[OCTOBER]]="A","A",kmudhaliyar[[#This Row],[OCTOBER]]="","",kmudhaliyar[[#This Row],[OCTOBER]]&gt;100,"P")</f>
        <v/>
      </c>
      <c r="E13" s="44" t="s">
        <v>1130</v>
      </c>
      <c r="F13" t="s">
        <v>1131</v>
      </c>
      <c r="G13" s="61"/>
      <c r="K13" s="16"/>
      <c r="L13" s="17"/>
      <c r="M13" s="17"/>
      <c r="O13" s="17">
        <v>200</v>
      </c>
      <c r="Q13" s="61"/>
      <c r="R13"/>
      <c r="T13" s="44"/>
    </row>
    <row r="14" spans="1:20" x14ac:dyDescent="0.25">
      <c r="A14">
        <v>13</v>
      </c>
      <c r="B14" t="s">
        <v>1132</v>
      </c>
      <c r="C14" s="63" t="str" cm="1">
        <f t="array" ref="C14">_xlfn.IFS(kmudhaliyar[[#This Row],[OCTOBER]]="M","M",kmudhaliyar[[#This Row],[OCTOBER]]="A","A",kmudhaliyar[[#This Row],[OCTOBER]]="","",kmudhaliyar[[#This Row],[OCTOBER]]&gt;100,"P")</f>
        <v/>
      </c>
      <c r="D14" t="s">
        <v>25</v>
      </c>
      <c r="E14" s="44" t="s">
        <v>1133</v>
      </c>
      <c r="F14" t="s">
        <v>1134</v>
      </c>
      <c r="G14" s="61"/>
      <c r="K14" s="16"/>
      <c r="L14" s="17"/>
      <c r="M14" s="17"/>
      <c r="O14" s="17">
        <v>220</v>
      </c>
      <c r="Q14" s="61"/>
      <c r="R14"/>
      <c r="T14" s="44"/>
    </row>
    <row r="15" spans="1:20" x14ac:dyDescent="0.25">
      <c r="A15">
        <v>14</v>
      </c>
      <c r="B15" t="s">
        <v>974</v>
      </c>
      <c r="C15" s="63" t="str" cm="1">
        <f t="array" ref="C15">_xlfn.IFS(kmudhaliyar[[#This Row],[OCTOBER]]="M","M",kmudhaliyar[[#This Row],[OCTOBER]]="A","A",kmudhaliyar[[#This Row],[OCTOBER]]="","",kmudhaliyar[[#This Row],[OCTOBER]]&gt;100,"P")</f>
        <v/>
      </c>
      <c r="D15" t="s">
        <v>25</v>
      </c>
      <c r="E15" s="44" t="s">
        <v>1135</v>
      </c>
      <c r="F15" t="s">
        <v>1136</v>
      </c>
      <c r="G15" s="61"/>
      <c r="K15" s="16"/>
      <c r="L15" s="17"/>
      <c r="M15" s="17"/>
      <c r="O15" s="17">
        <v>220</v>
      </c>
      <c r="Q15" s="61"/>
      <c r="R15"/>
      <c r="T15" s="44"/>
    </row>
    <row r="16" spans="1:20" x14ac:dyDescent="0.25">
      <c r="A16">
        <v>15</v>
      </c>
      <c r="B16" t="s">
        <v>1061</v>
      </c>
      <c r="C16" s="63" t="str" cm="1">
        <f t="array" ref="C16">_xlfn.IFS(kmudhaliyar[[#This Row],[OCTOBER]]="M","M",kmudhaliyar[[#This Row],[OCTOBER]]="A","A",kmudhaliyar[[#This Row],[OCTOBER]]="","",kmudhaliyar[[#This Row],[OCTOBER]]&gt;100,"P")</f>
        <v/>
      </c>
      <c r="D16" t="s">
        <v>21</v>
      </c>
      <c r="E16" s="44" t="s">
        <v>1137</v>
      </c>
      <c r="F16" t="s">
        <v>1138</v>
      </c>
      <c r="G16" s="61"/>
      <c r="K16" s="16"/>
      <c r="L16" s="17"/>
      <c r="M16" s="17"/>
      <c r="O16" s="17">
        <v>200</v>
      </c>
      <c r="Q16" s="61"/>
      <c r="R16"/>
      <c r="T16" s="44"/>
    </row>
    <row r="17" spans="1:20" x14ac:dyDescent="0.25">
      <c r="A17">
        <v>16</v>
      </c>
      <c r="B17" t="s">
        <v>397</v>
      </c>
      <c r="C17" s="63" t="str" cm="1">
        <f t="array" ref="C17">_xlfn.IFS(kmudhaliyar[[#This Row],[OCTOBER]]="M","M",kmudhaliyar[[#This Row],[OCTOBER]]="A","A",kmudhaliyar[[#This Row],[OCTOBER]]="","",kmudhaliyar[[#This Row],[OCTOBER]]&gt;100,"P")</f>
        <v/>
      </c>
      <c r="D17" t="s">
        <v>21</v>
      </c>
      <c r="E17" s="44" t="s">
        <v>1139</v>
      </c>
      <c r="F17" t="s">
        <v>1140</v>
      </c>
      <c r="G17" s="61"/>
      <c r="K17" s="16"/>
      <c r="L17" s="17"/>
      <c r="M17" s="17"/>
      <c r="O17" s="17" t="s">
        <v>321</v>
      </c>
      <c r="Q17" s="61"/>
      <c r="R17"/>
      <c r="T17" s="44"/>
    </row>
    <row r="18" spans="1:20" x14ac:dyDescent="0.25">
      <c r="A18">
        <v>17</v>
      </c>
      <c r="B18" t="s">
        <v>1141</v>
      </c>
      <c r="C18" s="63" t="str" cm="1">
        <f t="array" ref="C18">_xlfn.IFS(kmudhaliyar[[#This Row],[OCTOBER]]="M","M",kmudhaliyar[[#This Row],[OCTOBER]]="A","A",kmudhaliyar[[#This Row],[OCTOBER]]="","",kmudhaliyar[[#This Row],[OCTOBER]]&gt;100,"P")</f>
        <v/>
      </c>
      <c r="D18" t="s">
        <v>25</v>
      </c>
      <c r="E18" s="44" t="s">
        <v>1142</v>
      </c>
      <c r="F18" t="s">
        <v>1143</v>
      </c>
      <c r="G18" s="61"/>
      <c r="K18" s="16"/>
      <c r="L18" s="17"/>
      <c r="M18" s="17"/>
      <c r="O18" s="17">
        <v>230</v>
      </c>
      <c r="Q18" s="61"/>
      <c r="R18"/>
      <c r="T18" s="44"/>
    </row>
    <row r="19" spans="1:20" x14ac:dyDescent="0.25">
      <c r="A19">
        <v>18</v>
      </c>
      <c r="B19" t="s">
        <v>1144</v>
      </c>
      <c r="C19" s="63" t="str" cm="1">
        <f t="array" ref="C19">_xlfn.IFS(kmudhaliyar[[#This Row],[OCTOBER]]="M","M",kmudhaliyar[[#This Row],[OCTOBER]]="A","A",kmudhaliyar[[#This Row],[OCTOBER]]="","",kmudhaliyar[[#This Row],[OCTOBER]]&gt;100,"P")</f>
        <v/>
      </c>
      <c r="D19" t="s">
        <v>21</v>
      </c>
      <c r="E19" s="44" t="s">
        <v>1145</v>
      </c>
      <c r="F19" t="s">
        <v>1146</v>
      </c>
      <c r="G19" s="61"/>
      <c r="K19" s="16"/>
      <c r="L19" s="17"/>
      <c r="M19" s="17"/>
      <c r="O19" s="17" t="s">
        <v>321</v>
      </c>
      <c r="Q19" s="61"/>
      <c r="R19"/>
      <c r="T19" s="44"/>
    </row>
    <row r="20" spans="1:20" x14ac:dyDescent="0.25">
      <c r="A20">
        <v>19</v>
      </c>
      <c r="B20" t="s">
        <v>1147</v>
      </c>
      <c r="C20" s="63" t="str" cm="1">
        <f t="array" ref="C20">_xlfn.IFS(kmudhaliyar[[#This Row],[OCTOBER]]="M","M",kmudhaliyar[[#This Row],[OCTOBER]]="A","A",kmudhaliyar[[#This Row],[OCTOBER]]="","",kmudhaliyar[[#This Row],[OCTOBER]]&gt;100,"P")</f>
        <v/>
      </c>
      <c r="D20" t="s">
        <v>534</v>
      </c>
      <c r="E20" s="44" t="s">
        <v>1148</v>
      </c>
      <c r="F20" s="44" t="s">
        <v>1149</v>
      </c>
      <c r="G20" s="61"/>
      <c r="K20" s="16"/>
      <c r="L20" s="17"/>
      <c r="M20" s="17"/>
      <c r="Q20" s="61"/>
      <c r="R20"/>
      <c r="T20" s="44"/>
    </row>
    <row r="21" spans="1:20" x14ac:dyDescent="0.25">
      <c r="A21">
        <v>20</v>
      </c>
      <c r="B21" t="s">
        <v>1150</v>
      </c>
      <c r="C21" s="63" t="str" cm="1">
        <f t="array" ref="C21">_xlfn.IFS(kmudhaliyar[[#This Row],[OCTOBER]]="M","M",kmudhaliyar[[#This Row],[OCTOBER]]="A","A",kmudhaliyar[[#This Row],[OCTOBER]]="","",kmudhaliyar[[#This Row],[OCTOBER]]&gt;100,"P")</f>
        <v/>
      </c>
      <c r="D21" t="s">
        <v>35</v>
      </c>
      <c r="E21" s="44" t="s">
        <v>1151</v>
      </c>
      <c r="F21" t="s">
        <v>1152</v>
      </c>
      <c r="G21" s="61"/>
      <c r="K21" s="16"/>
      <c r="L21" s="17"/>
      <c r="M21" s="17"/>
      <c r="O21" s="17">
        <v>750</v>
      </c>
      <c r="Q21" s="61"/>
      <c r="R21"/>
      <c r="T21" s="44"/>
    </row>
    <row r="22" spans="1:20" x14ac:dyDescent="0.25">
      <c r="A22">
        <v>21</v>
      </c>
      <c r="B22" t="s">
        <v>1153</v>
      </c>
      <c r="C22" s="63" t="str" cm="1">
        <f t="array" ref="C22">_xlfn.IFS(kmudhaliyar[[#This Row],[OCTOBER]]="M","M",kmudhaliyar[[#This Row],[OCTOBER]]="A","A",kmudhaliyar[[#This Row],[OCTOBER]]="","",kmudhaliyar[[#This Row],[OCTOBER]]&gt;100,"P")</f>
        <v/>
      </c>
      <c r="D22" t="s">
        <v>78</v>
      </c>
      <c r="E22" s="44" t="s">
        <v>1154</v>
      </c>
      <c r="F22" t="s">
        <v>1155</v>
      </c>
      <c r="G22" s="61"/>
      <c r="K22" s="16"/>
      <c r="L22" s="17"/>
      <c r="M22" s="17"/>
      <c r="O22" s="17" t="s">
        <v>1156</v>
      </c>
      <c r="Q22" s="61"/>
      <c r="R22"/>
      <c r="T22" s="44"/>
    </row>
    <row r="23" spans="1:20" x14ac:dyDescent="0.25">
      <c r="A23">
        <v>22</v>
      </c>
      <c r="B23" t="s">
        <v>1157</v>
      </c>
      <c r="C23" s="63" t="str" cm="1">
        <f t="array" ref="C23">_xlfn.IFS(kmudhaliyar[[#This Row],[OCTOBER]]="M","M",kmudhaliyar[[#This Row],[OCTOBER]]="A","A",kmudhaliyar[[#This Row],[OCTOBER]]="","",kmudhaliyar[[#This Row],[OCTOBER]]&gt;100,"P")</f>
        <v/>
      </c>
      <c r="D23" t="s">
        <v>35</v>
      </c>
      <c r="E23" s="44" t="s">
        <v>1158</v>
      </c>
      <c r="F23" t="s">
        <v>1159</v>
      </c>
      <c r="G23" s="61"/>
      <c r="K23" s="16"/>
      <c r="L23" s="17"/>
      <c r="M23" s="17"/>
      <c r="O23" s="17" t="s">
        <v>1156</v>
      </c>
      <c r="Q23" s="61"/>
      <c r="R23"/>
      <c r="T23" s="44"/>
    </row>
    <row r="24" spans="1:20" x14ac:dyDescent="0.25">
      <c r="A24">
        <v>23</v>
      </c>
      <c r="B24" t="s">
        <v>1160</v>
      </c>
      <c r="C24" s="63" t="str" cm="1">
        <f t="array" ref="C24">_xlfn.IFS(kmudhaliyar[[#This Row],[OCTOBER]]="M","M",kmudhaliyar[[#This Row],[OCTOBER]]="A","A",kmudhaliyar[[#This Row],[OCTOBER]]="","",kmudhaliyar[[#This Row],[OCTOBER]]&gt;100,"P")</f>
        <v/>
      </c>
      <c r="D24" t="s">
        <v>35</v>
      </c>
      <c r="E24" s="44" t="s">
        <v>1161</v>
      </c>
      <c r="F24" t="s">
        <v>1162</v>
      </c>
      <c r="G24" s="61"/>
      <c r="K24" s="16"/>
      <c r="L24" s="17"/>
      <c r="M24" s="17"/>
      <c r="O24" s="17" t="s">
        <v>1156</v>
      </c>
      <c r="Q24" s="61"/>
      <c r="R24"/>
      <c r="T24" s="44"/>
    </row>
    <row r="25" spans="1:20" x14ac:dyDescent="0.25">
      <c r="A25">
        <v>24</v>
      </c>
      <c r="B25" t="s">
        <v>1163</v>
      </c>
      <c r="C25" s="63" t="str" cm="1">
        <f t="array" ref="C25">_xlfn.IFS(kmudhaliyar[[#This Row],[OCTOBER]]="M","M",kmudhaliyar[[#This Row],[OCTOBER]]="A","A",kmudhaliyar[[#This Row],[OCTOBER]]="","",kmudhaliyar[[#This Row],[OCTOBER]]&gt;100,"P")</f>
        <v/>
      </c>
      <c r="E25" s="44" t="s">
        <v>1164</v>
      </c>
      <c r="F25" t="s">
        <v>1165</v>
      </c>
      <c r="G25" s="61"/>
      <c r="K25" s="16"/>
      <c r="L25" s="17"/>
      <c r="M25" s="17"/>
      <c r="Q25" s="61"/>
      <c r="R25"/>
      <c r="T25" s="44"/>
    </row>
    <row r="26" spans="1:20" x14ac:dyDescent="0.25">
      <c r="A26">
        <v>25</v>
      </c>
      <c r="B26" t="s">
        <v>671</v>
      </c>
      <c r="C26" s="63" t="str" cm="1">
        <f t="array" ref="C26">_xlfn.IFS(kmudhaliyar[[#This Row],[OCTOBER]]="M","M",kmudhaliyar[[#This Row],[OCTOBER]]="A","A",kmudhaliyar[[#This Row],[OCTOBER]]="","",kmudhaliyar[[#This Row],[OCTOBER]]&gt;100,"P")</f>
        <v/>
      </c>
      <c r="D26" t="s">
        <v>35</v>
      </c>
      <c r="E26" s="44" t="s">
        <v>1166</v>
      </c>
      <c r="F26" s="44" t="s">
        <v>1167</v>
      </c>
      <c r="G26" s="61"/>
      <c r="K26" s="16"/>
      <c r="L26" s="17"/>
      <c r="M26" s="17"/>
      <c r="Q26" s="61"/>
      <c r="R26"/>
      <c r="T26" s="44"/>
    </row>
    <row r="27" spans="1:20" x14ac:dyDescent="0.25">
      <c r="A27">
        <v>26</v>
      </c>
      <c r="B27" t="s">
        <v>663</v>
      </c>
      <c r="C27" s="63" t="str" cm="1">
        <f t="array" ref="C27">_xlfn.IFS(kmudhaliyar[[#This Row],[OCTOBER]]="M","M",kmudhaliyar[[#This Row],[OCTOBER]]="A","A",kmudhaliyar[[#This Row],[OCTOBER]]="","",kmudhaliyar[[#This Row],[OCTOBER]]&gt;100,"P")</f>
        <v/>
      </c>
      <c r="D27" t="s">
        <v>21</v>
      </c>
      <c r="E27" s="44" t="s">
        <v>1168</v>
      </c>
      <c r="F27" s="44" t="s">
        <v>1169</v>
      </c>
      <c r="G27" s="61"/>
      <c r="K27" s="16"/>
      <c r="L27" s="17"/>
      <c r="M27" s="17"/>
      <c r="Q27" s="61"/>
      <c r="R27"/>
      <c r="T27" s="44"/>
    </row>
    <row r="28" spans="1:20" x14ac:dyDescent="0.25">
      <c r="A28">
        <v>27</v>
      </c>
      <c r="B28" t="s">
        <v>1170</v>
      </c>
      <c r="C28" s="63" t="str" cm="1">
        <f t="array" ref="C28">_xlfn.IFS(kmudhaliyar[[#This Row],[OCTOBER]]="M","M",kmudhaliyar[[#This Row],[OCTOBER]]="A","A",kmudhaliyar[[#This Row],[OCTOBER]]="","",kmudhaliyar[[#This Row],[OCTOBER]]&gt;100,"P")</f>
        <v>P</v>
      </c>
      <c r="D28" t="s">
        <v>21</v>
      </c>
      <c r="E28" s="44" t="s">
        <v>1171</v>
      </c>
      <c r="F28" s="44" t="s">
        <v>1172</v>
      </c>
      <c r="G28" s="61"/>
      <c r="K28" s="16"/>
      <c r="L28" s="17"/>
      <c r="M28" s="17"/>
      <c r="O28" s="17" t="s">
        <v>909</v>
      </c>
      <c r="P28" s="17" t="s">
        <v>909</v>
      </c>
      <c r="Q28" s="17" t="s">
        <v>909</v>
      </c>
      <c r="R28" s="17" t="s">
        <v>909</v>
      </c>
      <c r="T28" s="44"/>
    </row>
    <row r="29" spans="1:20" x14ac:dyDescent="0.25">
      <c r="A29">
        <v>28</v>
      </c>
      <c r="B29" t="s">
        <v>640</v>
      </c>
      <c r="C29" s="63" t="str" cm="1">
        <f t="array" ref="C29">_xlfn.IFS(kmudhaliyar[[#This Row],[OCTOBER]]="M","M",kmudhaliyar[[#This Row],[OCTOBER]]="A","A",kmudhaliyar[[#This Row],[OCTOBER]]="","",kmudhaliyar[[#This Row],[OCTOBER]]&gt;100,"P")</f>
        <v/>
      </c>
      <c r="D29" t="s">
        <v>141</v>
      </c>
      <c r="E29" s="44" t="s">
        <v>1173</v>
      </c>
      <c r="F29" s="44" t="s">
        <v>1174</v>
      </c>
      <c r="G29" s="61"/>
      <c r="K29" s="16"/>
      <c r="L29" s="17"/>
      <c r="M29" s="17"/>
      <c r="T29" s="44"/>
    </row>
    <row r="30" spans="1:20" s="33" customFormat="1" x14ac:dyDescent="0.25">
      <c r="A30" s="33" t="s">
        <v>298</v>
      </c>
      <c r="D30" s="33">
        <f>SUBTOTAL(103,kmudhaliyar[Package])</f>
        <v>26</v>
      </c>
      <c r="E30" s="33">
        <f>SUBTOTAL(103,kmudhaliyar[Box No])</f>
        <v>28</v>
      </c>
      <c r="F30" s="33">
        <f>SUBTOTAL(103,kmudhaliyar[CAF_ID])</f>
        <v>28</v>
      </c>
      <c r="G30" s="34">
        <f>SUBTOTAL(109,kmudhaliyar[JANUARY])</f>
        <v>0</v>
      </c>
      <c r="H30" s="34">
        <f>SUBTOTAL(109,kmudhaliyar[FEBEUARY])</f>
        <v>0</v>
      </c>
      <c r="I30" s="34">
        <f>SUBTOTAL(109,kmudhaliyar[MARCH])</f>
        <v>0</v>
      </c>
      <c r="J30" s="34">
        <f>SUBTOTAL(109,kmudhaliyar[APRIL])</f>
        <v>0</v>
      </c>
      <c r="K30" s="34">
        <f>SUBTOTAL(109,kmudhaliyar[MAY])</f>
        <v>0</v>
      </c>
      <c r="L30" s="34">
        <f>SUBTOTAL(109,kmudhaliyar[JUNE])</f>
        <v>0</v>
      </c>
      <c r="M30" s="34">
        <f>SUBTOTAL(109,kmudhaliyar[JULY])</f>
        <v>0</v>
      </c>
      <c r="N30" s="34">
        <f>SUBTOTAL(109,kmudhaliyar[AUGUST])</f>
        <v>0</v>
      </c>
      <c r="O30" s="34">
        <f>SUBTOTAL(109,kmudhaliyar[SEPTEMBER])</f>
        <v>3670</v>
      </c>
      <c r="P30" s="34">
        <f>SUBTOTAL(109,kmudhaliyar[OCTOBER])</f>
        <v>0</v>
      </c>
      <c r="Q30" s="34">
        <f>SUBTOTAL(109,kmudhaliyar[NOVEMBER])</f>
        <v>0</v>
      </c>
      <c r="R30" s="34">
        <f>SUBTOTAL(109,kmudhaliyar[DECEMBER])</f>
        <v>0</v>
      </c>
      <c r="S30" s="34">
        <f>SUBTOTAL(109,kmudhaliyar[BALANCE])</f>
        <v>0</v>
      </c>
      <c r="T30" s="38"/>
    </row>
    <row r="31" spans="1:20" x14ac:dyDescent="0.25">
      <c r="E31" s="44"/>
      <c r="F31" s="44"/>
      <c r="H31" s="52"/>
    </row>
    <row r="33" spans="2:5" x14ac:dyDescent="0.25">
      <c r="B33" s="39" t="s">
        <v>299</v>
      </c>
      <c r="C33" s="39">
        <f>COUNTIF(kmudhaliyar[PAID],"P")</f>
        <v>1</v>
      </c>
    </row>
    <row r="34" spans="2:5" x14ac:dyDescent="0.25">
      <c r="B34" s="33"/>
      <c r="C34" s="33"/>
    </row>
    <row r="35" spans="2:5" x14ac:dyDescent="0.25">
      <c r="B35" s="35" t="s">
        <v>300</v>
      </c>
      <c r="C35" s="43">
        <f>COUNTIF(C2:C29,"P")</f>
        <v>1</v>
      </c>
      <c r="D35">
        <v>3</v>
      </c>
    </row>
    <row r="36" spans="2:5" x14ac:dyDescent="0.25">
      <c r="B36" s="36" t="s">
        <v>301</v>
      </c>
      <c r="C36" s="42">
        <f>COUNTIF(C2:C29,"NP")</f>
        <v>0</v>
      </c>
    </row>
    <row r="37" spans="2:5" x14ac:dyDescent="0.25">
      <c r="B37" s="33"/>
      <c r="C37" s="33"/>
      <c r="E37" s="16"/>
    </row>
    <row r="38" spans="2:5" x14ac:dyDescent="0.25">
      <c r="B38" s="39" t="s">
        <v>302</v>
      </c>
      <c r="C38" s="39">
        <f>C35+C36</f>
        <v>1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T46"/>
  <sheetViews>
    <sheetView zoomScale="115" zoomScaleNormal="115" workbookViewId="0">
      <selection activeCell="D16" sqref="D16"/>
    </sheetView>
  </sheetViews>
  <sheetFormatPr defaultRowHeight="15" x14ac:dyDescent="0.25"/>
  <cols>
    <col min="1" max="1" width="6.42578125" style="61" customWidth="1"/>
    <col min="2" max="2" width="23.140625" style="61" customWidth="1"/>
    <col min="3" max="3" width="7.28515625" style="61" customWidth="1"/>
    <col min="4" max="4" width="30.85546875" style="61" customWidth="1"/>
    <col min="5" max="5" width="24.5703125" style="61" customWidth="1"/>
    <col min="6" max="6" width="11.7109375" style="61" customWidth="1"/>
    <col min="7" max="7" width="11.7109375" style="44" hidden="1" customWidth="1"/>
    <col min="8" max="14" width="11.7109375" style="52" hidden="1" customWidth="1"/>
    <col min="15" max="18" width="11.7109375" style="52" customWidth="1"/>
    <col min="19" max="19" width="11.7109375" customWidth="1"/>
    <col min="20" max="20" width="36.140625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44" t="s">
        <v>19</v>
      </c>
    </row>
    <row r="2" spans="1:20" x14ac:dyDescent="0.25">
      <c r="A2">
        <v>1</v>
      </c>
      <c r="B2" t="s">
        <v>1175</v>
      </c>
      <c r="C2" s="63" t="str" cm="1">
        <f t="array" ref="C2">_xlfn.IFS(mariamman[[#This Row],[OCTOBER]]="M","M",mariamman[[#This Row],[OCTOBER]]="A","A",mariamman[[#This Row],[OCTOBER]]="","",mariamman[[#This Row],[OCTOBER]]&gt;100,"P")</f>
        <v/>
      </c>
      <c r="E2" s="44"/>
      <c r="G2" s="52"/>
      <c r="Q2"/>
      <c r="R2"/>
      <c r="S2" s="52"/>
      <c r="T2" s="44"/>
    </row>
    <row r="3" spans="1:20" x14ac:dyDescent="0.25">
      <c r="A3">
        <v>2</v>
      </c>
      <c r="B3" t="s">
        <v>1176</v>
      </c>
      <c r="C3" s="63" t="str" cm="1">
        <f t="array" ref="C3">_xlfn.IFS(mariamman[[#This Row],[OCTOBER]]="M","M",mariamman[[#This Row],[OCTOBER]]="A","A",mariamman[[#This Row],[OCTOBER]]="","",mariamman[[#This Row],[OCTOBER]]&gt;100,"P")</f>
        <v/>
      </c>
      <c r="D3" t="s">
        <v>78</v>
      </c>
      <c r="E3" s="44" t="s">
        <v>1177</v>
      </c>
      <c r="F3" s="44" t="s">
        <v>1178</v>
      </c>
      <c r="G3" s="52"/>
      <c r="O3" s="52">
        <v>200</v>
      </c>
      <c r="Q3"/>
      <c r="R3"/>
      <c r="S3" s="52"/>
      <c r="T3" s="44"/>
    </row>
    <row r="4" spans="1:20" x14ac:dyDescent="0.25">
      <c r="A4">
        <v>3</v>
      </c>
      <c r="B4" t="s">
        <v>1179</v>
      </c>
      <c r="C4" s="63" t="str" cm="1">
        <f t="array" ref="C4">_xlfn.IFS(mariamman[[#This Row],[OCTOBER]]="M","M",mariamman[[#This Row],[OCTOBER]]="A","A",mariamman[[#This Row],[OCTOBER]]="","",mariamman[[#This Row],[OCTOBER]]&gt;100,"P")</f>
        <v/>
      </c>
      <c r="D4" t="s">
        <v>25</v>
      </c>
      <c r="E4" s="44" t="s">
        <v>1180</v>
      </c>
      <c r="F4" t="s">
        <v>1181</v>
      </c>
      <c r="G4" s="52"/>
      <c r="O4" s="52">
        <v>220</v>
      </c>
      <c r="Q4"/>
      <c r="R4"/>
      <c r="S4" s="52"/>
      <c r="T4" s="44"/>
    </row>
    <row r="5" spans="1:20" x14ac:dyDescent="0.25">
      <c r="A5">
        <v>4</v>
      </c>
      <c r="B5" t="s">
        <v>309</v>
      </c>
      <c r="C5" s="63" t="str" cm="1">
        <f t="array" ref="C5">_xlfn.IFS(mariamman[[#This Row],[OCTOBER]]="M","M",mariamman[[#This Row],[OCTOBER]]="A","A",mariamman[[#This Row],[OCTOBER]]="","",mariamman[[#This Row],[OCTOBER]]&gt;100,"P")</f>
        <v/>
      </c>
      <c r="D5" t="s">
        <v>78</v>
      </c>
      <c r="E5" s="44" t="s">
        <v>1182</v>
      </c>
      <c r="F5" t="s">
        <v>1183</v>
      </c>
      <c r="G5" s="52"/>
      <c r="O5" s="52">
        <v>200</v>
      </c>
      <c r="Q5"/>
      <c r="R5"/>
      <c r="S5" s="52"/>
      <c r="T5" s="44"/>
    </row>
    <row r="6" spans="1:20" x14ac:dyDescent="0.25">
      <c r="A6">
        <v>5</v>
      </c>
      <c r="B6" t="s">
        <v>1184</v>
      </c>
      <c r="C6" s="63" t="str" cm="1">
        <f t="array" ref="C6">_xlfn.IFS(mariamman[[#This Row],[OCTOBER]]="M","M",mariamman[[#This Row],[OCTOBER]]="A","A",mariamman[[#This Row],[OCTOBER]]="","",mariamman[[#This Row],[OCTOBER]]&gt;100,"P")</f>
        <v/>
      </c>
      <c r="D6" t="s">
        <v>21</v>
      </c>
      <c r="E6" s="44" t="s">
        <v>1185</v>
      </c>
      <c r="F6" t="s">
        <v>1186</v>
      </c>
      <c r="G6" s="52"/>
      <c r="O6" s="52">
        <v>250</v>
      </c>
      <c r="Q6"/>
      <c r="R6"/>
      <c r="S6" s="52"/>
      <c r="T6" s="44"/>
    </row>
    <row r="7" spans="1:20" x14ac:dyDescent="0.25">
      <c r="A7">
        <v>6</v>
      </c>
      <c r="B7" t="s">
        <v>1187</v>
      </c>
      <c r="C7" s="63" t="str" cm="1">
        <f t="array" ref="C7">_xlfn.IFS(mariamman[[#This Row],[OCTOBER]]="M","M",mariamman[[#This Row],[OCTOBER]]="A","A",mariamman[[#This Row],[OCTOBER]]="","",mariamman[[#This Row],[OCTOBER]]&gt;100,"P")</f>
        <v/>
      </c>
      <c r="D7" t="s">
        <v>21</v>
      </c>
      <c r="E7" s="44" t="s">
        <v>1188</v>
      </c>
      <c r="F7" s="44" t="s">
        <v>1189</v>
      </c>
      <c r="G7" s="52"/>
      <c r="O7" s="52">
        <v>200</v>
      </c>
      <c r="Q7"/>
      <c r="R7"/>
      <c r="S7" s="52"/>
      <c r="T7" s="44"/>
    </row>
    <row r="8" spans="1:20" x14ac:dyDescent="0.25">
      <c r="A8">
        <v>7</v>
      </c>
      <c r="B8" t="s">
        <v>1190</v>
      </c>
      <c r="C8" s="63" t="str" cm="1">
        <f t="array" ref="C8">_xlfn.IFS(mariamman[[#This Row],[OCTOBER]]="M","M",mariamman[[#This Row],[OCTOBER]]="A","A",mariamman[[#This Row],[OCTOBER]]="","",mariamman[[#This Row],[OCTOBER]]&gt;100,"P")</f>
        <v/>
      </c>
      <c r="D8" t="s">
        <v>78</v>
      </c>
      <c r="E8" s="44" t="s">
        <v>1191</v>
      </c>
      <c r="F8" t="s">
        <v>1192</v>
      </c>
      <c r="G8" s="52"/>
      <c r="O8" s="52">
        <v>300</v>
      </c>
      <c r="Q8"/>
      <c r="R8"/>
      <c r="S8" s="52"/>
      <c r="T8" s="44"/>
    </row>
    <row r="9" spans="1:20" x14ac:dyDescent="0.25">
      <c r="A9">
        <v>8</v>
      </c>
      <c r="B9" t="s">
        <v>1193</v>
      </c>
      <c r="C9" s="63" t="str" cm="1">
        <f t="array" ref="C9">_xlfn.IFS(mariamman[[#This Row],[OCTOBER]]="M","M",mariamman[[#This Row],[OCTOBER]]="A","A",mariamman[[#This Row],[OCTOBER]]="","",mariamman[[#This Row],[OCTOBER]]&gt;100,"P")</f>
        <v/>
      </c>
      <c r="D9" t="s">
        <v>25</v>
      </c>
      <c r="E9" s="44" t="s">
        <v>1194</v>
      </c>
      <c r="F9" t="s">
        <v>1195</v>
      </c>
      <c r="G9" s="52"/>
      <c r="O9" s="52" t="s">
        <v>1196</v>
      </c>
      <c r="Q9"/>
      <c r="R9"/>
      <c r="S9" s="52"/>
      <c r="T9" s="44" t="s">
        <v>2402</v>
      </c>
    </row>
    <row r="10" spans="1:20" x14ac:dyDescent="0.25">
      <c r="A10">
        <v>9</v>
      </c>
      <c r="B10" t="s">
        <v>364</v>
      </c>
      <c r="C10" s="63" t="str" cm="1">
        <f t="array" ref="C10">_xlfn.IFS(mariamman[[#This Row],[OCTOBER]]="M","M",mariamman[[#This Row],[OCTOBER]]="A","A",mariamman[[#This Row],[OCTOBER]]="","",mariamman[[#This Row],[OCTOBER]]&gt;100,"P")</f>
        <v/>
      </c>
      <c r="D10" s="71" t="s">
        <v>78</v>
      </c>
      <c r="E10" s="44" t="s">
        <v>1197</v>
      </c>
      <c r="F10" t="s">
        <v>1198</v>
      </c>
      <c r="G10" s="52"/>
      <c r="O10" s="52" t="s">
        <v>2403</v>
      </c>
      <c r="Q10"/>
      <c r="R10"/>
      <c r="S10" s="52"/>
      <c r="T10" s="44"/>
    </row>
    <row r="11" spans="1:20" x14ac:dyDescent="0.25">
      <c r="A11">
        <v>10</v>
      </c>
      <c r="B11" t="s">
        <v>1199</v>
      </c>
      <c r="C11" s="63" t="str" cm="1">
        <f t="array" ref="C11">_xlfn.IFS(mariamman[[#This Row],[OCTOBER]]="M","M",mariamman[[#This Row],[OCTOBER]]="A","A",mariamman[[#This Row],[OCTOBER]]="","",mariamman[[#This Row],[OCTOBER]]&gt;100,"P")</f>
        <v/>
      </c>
      <c r="D11" t="s">
        <v>21</v>
      </c>
      <c r="E11" s="44" t="s">
        <v>1200</v>
      </c>
      <c r="F11" t="s">
        <v>1201</v>
      </c>
      <c r="G11" s="52"/>
      <c r="O11" s="52">
        <v>200</v>
      </c>
      <c r="Q11"/>
      <c r="R11"/>
      <c r="S11" s="52"/>
      <c r="T11" s="44"/>
    </row>
    <row r="12" spans="1:20" x14ac:dyDescent="0.25">
      <c r="A12">
        <v>11</v>
      </c>
      <c r="B12" t="s">
        <v>1202</v>
      </c>
      <c r="C12" s="63" t="str" cm="1">
        <f t="array" ref="C12">_xlfn.IFS(mariamman[[#This Row],[OCTOBER]]="M","M",mariamman[[#This Row],[OCTOBER]]="A","A",mariamman[[#This Row],[OCTOBER]]="","",mariamman[[#This Row],[OCTOBER]]&gt;100,"P")</f>
        <v/>
      </c>
      <c r="D12" t="s">
        <v>25</v>
      </c>
      <c r="E12" s="44" t="s">
        <v>1203</v>
      </c>
      <c r="F12" t="s">
        <v>1204</v>
      </c>
      <c r="G12" s="52"/>
      <c r="O12" s="52">
        <v>400</v>
      </c>
      <c r="Q12"/>
      <c r="R12"/>
      <c r="S12" s="52"/>
      <c r="T12" s="44"/>
    </row>
    <row r="13" spans="1:20" x14ac:dyDescent="0.25">
      <c r="A13">
        <v>12</v>
      </c>
      <c r="B13" t="s">
        <v>1205</v>
      </c>
      <c r="C13" s="63" t="str" cm="1">
        <f t="array" ref="C13">_xlfn.IFS(mariamman[[#This Row],[OCTOBER]]="M","M",mariamman[[#This Row],[OCTOBER]]="A","A",mariamman[[#This Row],[OCTOBER]]="","",mariamman[[#This Row],[OCTOBER]]&gt;100,"P")</f>
        <v/>
      </c>
      <c r="D13" t="s">
        <v>1206</v>
      </c>
      <c r="E13" s="44" t="s">
        <v>1207</v>
      </c>
      <c r="F13" t="s">
        <v>1208</v>
      </c>
      <c r="G13" s="52"/>
      <c r="O13" s="52">
        <v>400</v>
      </c>
      <c r="Q13"/>
      <c r="R13"/>
      <c r="S13" s="52"/>
      <c r="T13" s="44"/>
    </row>
    <row r="14" spans="1:20" x14ac:dyDescent="0.25">
      <c r="A14">
        <v>13</v>
      </c>
      <c r="B14" t="s">
        <v>1209</v>
      </c>
      <c r="C14" s="63" t="str" cm="1">
        <f t="array" ref="C14">_xlfn.IFS(mariamman[[#This Row],[OCTOBER]]="M","M",mariamman[[#This Row],[OCTOBER]]="A","A",mariamman[[#This Row],[OCTOBER]]="","",mariamman[[#This Row],[OCTOBER]]&gt;100,"P")</f>
        <v/>
      </c>
      <c r="D14" t="s">
        <v>25</v>
      </c>
      <c r="E14" s="44" t="s">
        <v>1210</v>
      </c>
      <c r="F14" t="s">
        <v>1211</v>
      </c>
      <c r="G14" s="52"/>
      <c r="O14" s="52">
        <v>440</v>
      </c>
      <c r="Q14"/>
      <c r="R14"/>
      <c r="S14" s="52"/>
      <c r="T14" s="44"/>
    </row>
    <row r="15" spans="1:20" x14ac:dyDescent="0.25">
      <c r="A15">
        <v>14</v>
      </c>
      <c r="B15" t="s">
        <v>1212</v>
      </c>
      <c r="C15" s="63" t="str" cm="1">
        <f t="array" ref="C15">_xlfn.IFS(mariamman[[#This Row],[OCTOBER]]="M","M",mariamman[[#This Row],[OCTOBER]]="A","A",mariamman[[#This Row],[OCTOBER]]="","",mariamman[[#This Row],[OCTOBER]]&gt;100,"P")</f>
        <v/>
      </c>
      <c r="D15" t="s">
        <v>21</v>
      </c>
      <c r="E15" s="44" t="s">
        <v>1213</v>
      </c>
      <c r="F15" t="s">
        <v>1214</v>
      </c>
      <c r="G15" s="52"/>
      <c r="N15" s="52" t="s">
        <v>1215</v>
      </c>
      <c r="Q15"/>
      <c r="R15"/>
      <c r="S15" s="52"/>
      <c r="T15" s="44"/>
    </row>
    <row r="16" spans="1:20" x14ac:dyDescent="0.25">
      <c r="A16">
        <v>15</v>
      </c>
      <c r="B16" t="s">
        <v>1216</v>
      </c>
      <c r="C16" s="63" t="str" cm="1">
        <f t="array" ref="C16">_xlfn.IFS(mariamman[[#This Row],[OCTOBER]]="M","M",mariamman[[#This Row],[OCTOBER]]="A","A",mariamman[[#This Row],[OCTOBER]]="","",mariamman[[#This Row],[OCTOBER]]&gt;100,"P")</f>
        <v/>
      </c>
      <c r="D16" t="s">
        <v>35</v>
      </c>
      <c r="E16" s="44" t="s">
        <v>1217</v>
      </c>
      <c r="F16" s="44" t="s">
        <v>1218</v>
      </c>
      <c r="G16" s="52"/>
      <c r="O16" s="52">
        <v>200</v>
      </c>
      <c r="Q16"/>
      <c r="R16"/>
      <c r="S16" s="52"/>
      <c r="T16" s="44"/>
    </row>
    <row r="17" spans="1:20" x14ac:dyDescent="0.25">
      <c r="A17">
        <v>15</v>
      </c>
      <c r="B17" t="s">
        <v>1219</v>
      </c>
      <c r="C17" s="63" t="str" cm="1">
        <f t="array" ref="C17">_xlfn.IFS(mariamman[[#This Row],[OCTOBER]]="M","M",mariamman[[#This Row],[OCTOBER]]="A","A",mariamman[[#This Row],[OCTOBER]]="","",mariamman[[#This Row],[OCTOBER]]&gt;100,"P")</f>
        <v/>
      </c>
      <c r="D17" t="s">
        <v>25</v>
      </c>
      <c r="E17" s="44" t="s">
        <v>1220</v>
      </c>
      <c r="F17" t="s">
        <v>1221</v>
      </c>
      <c r="G17" s="52"/>
      <c r="N17" s="52" t="s">
        <v>1222</v>
      </c>
      <c r="Q17"/>
      <c r="R17"/>
      <c r="S17" s="52"/>
      <c r="T17" s="44"/>
    </row>
    <row r="18" spans="1:20" x14ac:dyDescent="0.25">
      <c r="A18">
        <v>16</v>
      </c>
      <c r="B18" t="s">
        <v>1223</v>
      </c>
      <c r="C18" s="63" t="str" cm="1">
        <f t="array" ref="C18">_xlfn.IFS(mariamman[[#This Row],[OCTOBER]]="M","M",mariamman[[#This Row],[OCTOBER]]="A","A",mariamman[[#This Row],[OCTOBER]]="","",mariamman[[#This Row],[OCTOBER]]&gt;100,"P")</f>
        <v/>
      </c>
      <c r="E18" s="44"/>
      <c r="G18" s="52"/>
      <c r="Q18"/>
      <c r="R18"/>
      <c r="S18" s="52"/>
      <c r="T18" s="44"/>
    </row>
    <row r="19" spans="1:20" x14ac:dyDescent="0.25">
      <c r="A19">
        <v>17</v>
      </c>
      <c r="B19" t="s">
        <v>764</v>
      </c>
      <c r="C19" s="63" t="str" cm="1">
        <f t="array" ref="C19">_xlfn.IFS(mariamman[[#This Row],[OCTOBER]]="M","M",mariamman[[#This Row],[OCTOBER]]="A","A",mariamman[[#This Row],[OCTOBER]]="","",mariamman[[#This Row],[OCTOBER]]&gt;100,"P")</f>
        <v/>
      </c>
      <c r="D19" t="s">
        <v>25</v>
      </c>
      <c r="E19" s="44" t="s">
        <v>1224</v>
      </c>
      <c r="F19" t="s">
        <v>1225</v>
      </c>
      <c r="G19" s="52"/>
      <c r="O19" s="52">
        <v>200</v>
      </c>
      <c r="Q19"/>
      <c r="R19"/>
      <c r="S19" s="52"/>
      <c r="T19" s="44"/>
    </row>
    <row r="20" spans="1:20" x14ac:dyDescent="0.25">
      <c r="A20">
        <v>18</v>
      </c>
      <c r="B20" t="s">
        <v>1226</v>
      </c>
      <c r="C20" s="63" t="str" cm="1">
        <f t="array" ref="C20">_xlfn.IFS(mariamman[[#This Row],[OCTOBER]]="M","M",mariamman[[#This Row],[OCTOBER]]="A","A",mariamman[[#This Row],[OCTOBER]]="","",mariamman[[#This Row],[OCTOBER]]&gt;100,"P")</f>
        <v/>
      </c>
      <c r="D20" t="s">
        <v>78</v>
      </c>
      <c r="E20" s="44" t="s">
        <v>1227</v>
      </c>
      <c r="F20" t="s">
        <v>1228</v>
      </c>
      <c r="G20" s="52"/>
      <c r="O20" s="52">
        <v>200</v>
      </c>
      <c r="Q20"/>
      <c r="R20"/>
      <c r="S20" s="52"/>
      <c r="T20" s="44"/>
    </row>
    <row r="21" spans="1:20" x14ac:dyDescent="0.25">
      <c r="A21">
        <v>19</v>
      </c>
      <c r="B21" t="s">
        <v>1229</v>
      </c>
      <c r="C21" s="63" t="str" cm="1">
        <f t="array" ref="C21">_xlfn.IFS(mariamman[[#This Row],[OCTOBER]]="M","M",mariamman[[#This Row],[OCTOBER]]="A","A",mariamman[[#This Row],[OCTOBER]]="","",mariamman[[#This Row],[OCTOBER]]&gt;100,"P")</f>
        <v/>
      </c>
      <c r="D21" t="s">
        <v>21</v>
      </c>
      <c r="E21" s="44" t="s">
        <v>1230</v>
      </c>
      <c r="F21" t="s">
        <v>1231</v>
      </c>
      <c r="G21" s="52"/>
      <c r="O21" s="52">
        <v>200</v>
      </c>
      <c r="Q21"/>
      <c r="R21"/>
      <c r="S21" s="52"/>
      <c r="T21" s="44"/>
    </row>
    <row r="22" spans="1:20" x14ac:dyDescent="0.25">
      <c r="A22">
        <v>20</v>
      </c>
      <c r="B22" t="s">
        <v>630</v>
      </c>
      <c r="C22" s="63" t="str" cm="1">
        <f t="array" ref="C22">_xlfn.IFS(mariamman[[#This Row],[OCTOBER]]="M","M",mariamman[[#This Row],[OCTOBER]]="A","A",mariamman[[#This Row],[OCTOBER]]="","",mariamman[[#This Row],[OCTOBER]]&gt;100,"P")</f>
        <v/>
      </c>
      <c r="D22" t="s">
        <v>78</v>
      </c>
      <c r="E22" s="44" t="s">
        <v>1232</v>
      </c>
      <c r="F22" t="s">
        <v>1233</v>
      </c>
      <c r="G22" s="52"/>
      <c r="O22" s="52">
        <v>200</v>
      </c>
      <c r="Q22"/>
      <c r="R22"/>
      <c r="S22" s="52"/>
      <c r="T22" s="44"/>
    </row>
    <row r="23" spans="1:20" x14ac:dyDescent="0.25">
      <c r="A23">
        <v>21</v>
      </c>
      <c r="B23" t="s">
        <v>1234</v>
      </c>
      <c r="C23" s="63" t="str" cm="1">
        <f t="array" ref="C23">_xlfn.IFS(mariamman[[#This Row],[OCTOBER]]="M","M",mariamman[[#This Row],[OCTOBER]]="A","A",mariamman[[#This Row],[OCTOBER]]="","",mariamman[[#This Row],[OCTOBER]]&gt;100,"P")</f>
        <v/>
      </c>
      <c r="D23" t="s">
        <v>25</v>
      </c>
      <c r="E23" s="44" t="s">
        <v>1235</v>
      </c>
      <c r="F23" t="s">
        <v>1236</v>
      </c>
      <c r="G23" s="52"/>
      <c r="O23" s="52">
        <v>220</v>
      </c>
      <c r="Q23"/>
      <c r="R23"/>
      <c r="S23" s="52"/>
      <c r="T23" s="44"/>
    </row>
    <row r="24" spans="1:20" x14ac:dyDescent="0.25">
      <c r="A24">
        <v>22</v>
      </c>
      <c r="B24" t="s">
        <v>1237</v>
      </c>
      <c r="C24" s="63" t="str" cm="1">
        <f t="array" ref="C24">_xlfn.IFS(mariamman[[#This Row],[OCTOBER]]="M","M",mariamman[[#This Row],[OCTOBER]]="A","A",mariamman[[#This Row],[OCTOBER]]="","",mariamman[[#This Row],[OCTOBER]]&gt;100,"P")</f>
        <v/>
      </c>
      <c r="D24" t="s">
        <v>25</v>
      </c>
      <c r="E24" s="44" t="s">
        <v>1238</v>
      </c>
      <c r="F24" t="s">
        <v>1239</v>
      </c>
      <c r="G24" s="52"/>
      <c r="O24" s="52" t="s">
        <v>321</v>
      </c>
      <c r="Q24"/>
      <c r="R24"/>
      <c r="S24" s="52"/>
      <c r="T24" s="44"/>
    </row>
    <row r="25" spans="1:20" x14ac:dyDescent="0.25">
      <c r="A25">
        <v>23</v>
      </c>
      <c r="B25" t="s">
        <v>896</v>
      </c>
      <c r="C25" s="63" t="str" cm="1">
        <f t="array" ref="C25">_xlfn.IFS(mariamman[[#This Row],[OCTOBER]]="M","M",mariamman[[#This Row],[OCTOBER]]="A","A",mariamman[[#This Row],[OCTOBER]]="","",mariamman[[#This Row],[OCTOBER]]&gt;100,"P")</f>
        <v/>
      </c>
      <c r="D25" t="s">
        <v>78</v>
      </c>
      <c r="E25" s="44" t="s">
        <v>1240</v>
      </c>
      <c r="F25" t="s">
        <v>1241</v>
      </c>
      <c r="G25" s="52"/>
      <c r="O25" s="52">
        <v>200</v>
      </c>
      <c r="Q25"/>
      <c r="R25"/>
      <c r="S25" s="52"/>
      <c r="T25" s="44"/>
    </row>
    <row r="26" spans="1:20" x14ac:dyDescent="0.25">
      <c r="A26">
        <v>24</v>
      </c>
      <c r="B26" t="s">
        <v>1242</v>
      </c>
      <c r="C26" s="63" t="str" cm="1">
        <f t="array" ref="C26">_xlfn.IFS(mariamman[[#This Row],[OCTOBER]]="M","M",mariamman[[#This Row],[OCTOBER]]="A","A",mariamman[[#This Row],[OCTOBER]]="","",mariamman[[#This Row],[OCTOBER]]&gt;100,"P")</f>
        <v/>
      </c>
      <c r="D26" t="s">
        <v>21</v>
      </c>
      <c r="E26" s="44" t="s">
        <v>1243</v>
      </c>
      <c r="F26" t="s">
        <v>1244</v>
      </c>
      <c r="G26" s="52"/>
      <c r="O26" s="52">
        <v>200</v>
      </c>
      <c r="Q26"/>
      <c r="R26"/>
      <c r="S26" s="52"/>
      <c r="T26" s="44"/>
    </row>
    <row r="27" spans="1:20" x14ac:dyDescent="0.25">
      <c r="A27">
        <v>25</v>
      </c>
      <c r="B27" t="s">
        <v>156</v>
      </c>
      <c r="C27" s="63" t="str" cm="1">
        <f t="array" ref="C27">_xlfn.IFS(mariamman[[#This Row],[OCTOBER]]="M","M",mariamman[[#This Row],[OCTOBER]]="A","A",mariamman[[#This Row],[OCTOBER]]="","",mariamman[[#This Row],[OCTOBER]]&gt;100,"P")</f>
        <v/>
      </c>
      <c r="D27" t="s">
        <v>25</v>
      </c>
      <c r="E27" s="44" t="s">
        <v>1245</v>
      </c>
      <c r="F27" t="s">
        <v>1246</v>
      </c>
      <c r="G27" s="52"/>
      <c r="O27" s="52">
        <v>230</v>
      </c>
      <c r="Q27"/>
      <c r="R27"/>
      <c r="S27" s="52"/>
      <c r="T27" s="44"/>
    </row>
    <row r="28" spans="1:20" x14ac:dyDescent="0.25">
      <c r="A28">
        <v>26</v>
      </c>
      <c r="B28" t="s">
        <v>1247</v>
      </c>
      <c r="C28" s="63" t="str" cm="1">
        <f t="array" ref="C28">_xlfn.IFS(mariamman[[#This Row],[OCTOBER]]="M","M",mariamman[[#This Row],[OCTOBER]]="A","A",mariamman[[#This Row],[OCTOBER]]="","",mariamman[[#This Row],[OCTOBER]]&gt;100,"P")</f>
        <v/>
      </c>
      <c r="D28" t="s">
        <v>25</v>
      </c>
      <c r="E28" s="44" t="s">
        <v>1248</v>
      </c>
      <c r="F28" t="s">
        <v>1249</v>
      </c>
      <c r="G28" s="52"/>
      <c r="N28" s="52" t="s">
        <v>1222</v>
      </c>
      <c r="O28" s="52">
        <v>200</v>
      </c>
      <c r="Q28"/>
      <c r="R28"/>
      <c r="S28" s="52"/>
      <c r="T28" s="44"/>
    </row>
    <row r="29" spans="1:20" x14ac:dyDescent="0.25">
      <c r="A29">
        <v>27</v>
      </c>
      <c r="B29" t="s">
        <v>1250</v>
      </c>
      <c r="C29" s="63" t="str" cm="1">
        <f t="array" ref="C29">_xlfn.IFS(mariamman[[#This Row],[OCTOBER]]="M","M",mariamman[[#This Row],[OCTOBER]]="A","A",mariamman[[#This Row],[OCTOBER]]="","",mariamman[[#This Row],[OCTOBER]]&gt;100,"P")</f>
        <v/>
      </c>
      <c r="D29" t="s">
        <v>78</v>
      </c>
      <c r="E29" s="44" t="s">
        <v>1251</v>
      </c>
      <c r="F29" t="s">
        <v>1252</v>
      </c>
      <c r="G29" s="52"/>
      <c r="O29" s="52">
        <v>200</v>
      </c>
      <c r="Q29"/>
      <c r="R29"/>
      <c r="S29" s="52"/>
      <c r="T29" s="44"/>
    </row>
    <row r="30" spans="1:20" x14ac:dyDescent="0.25">
      <c r="A30">
        <v>28</v>
      </c>
      <c r="B30" t="s">
        <v>685</v>
      </c>
      <c r="C30" s="63" t="str" cm="1">
        <f t="array" ref="C30">_xlfn.IFS(mariamman[[#This Row],[OCTOBER]]="M","M",mariamman[[#This Row],[OCTOBER]]="A","A",mariamman[[#This Row],[OCTOBER]]="","",mariamman[[#This Row],[OCTOBER]]&gt;100,"P")</f>
        <v/>
      </c>
      <c r="D30" t="s">
        <v>78</v>
      </c>
      <c r="E30" s="44" t="s">
        <v>1253</v>
      </c>
      <c r="F30" s="44" t="s">
        <v>1254</v>
      </c>
      <c r="G30" s="52"/>
      <c r="O30" s="52">
        <v>200</v>
      </c>
      <c r="Q30"/>
      <c r="R30"/>
      <c r="S30" s="52"/>
      <c r="T30" s="44"/>
    </row>
    <row r="31" spans="1:20" x14ac:dyDescent="0.25">
      <c r="A31">
        <v>29</v>
      </c>
      <c r="B31" t="s">
        <v>1255</v>
      </c>
      <c r="C31" s="63" t="str" cm="1">
        <f t="array" ref="C31">_xlfn.IFS(mariamman[[#This Row],[OCTOBER]]="M","M",mariamman[[#This Row],[OCTOBER]]="A","A",mariamman[[#This Row],[OCTOBER]]="","",mariamman[[#This Row],[OCTOBER]]&gt;100,"P")</f>
        <v/>
      </c>
      <c r="D31" t="s">
        <v>35</v>
      </c>
      <c r="E31" s="44" t="s">
        <v>1256</v>
      </c>
      <c r="F31" t="s">
        <v>1257</v>
      </c>
      <c r="G31" s="52"/>
      <c r="O31" s="52">
        <v>200</v>
      </c>
      <c r="Q31"/>
      <c r="R31"/>
      <c r="S31" s="52"/>
      <c r="T31" s="44"/>
    </row>
    <row r="32" spans="1:20" x14ac:dyDescent="0.25">
      <c r="A32">
        <v>30</v>
      </c>
      <c r="B32" t="s">
        <v>255</v>
      </c>
      <c r="C32" s="63" t="str" cm="1">
        <f t="array" ref="C32">_xlfn.IFS(mariamman[[#This Row],[OCTOBER]]="M","M",mariamman[[#This Row],[OCTOBER]]="A","A",mariamman[[#This Row],[OCTOBER]]="","",mariamman[[#This Row],[OCTOBER]]&gt;100,"P")</f>
        <v/>
      </c>
      <c r="D32" t="s">
        <v>35</v>
      </c>
      <c r="E32" s="44" t="s">
        <v>1258</v>
      </c>
      <c r="F32" t="s">
        <v>1259</v>
      </c>
      <c r="G32" s="52"/>
      <c r="O32" s="52">
        <v>200</v>
      </c>
      <c r="Q32"/>
      <c r="R32"/>
      <c r="S32" s="52"/>
      <c r="T32" s="44"/>
    </row>
    <row r="33" spans="1:20" x14ac:dyDescent="0.25">
      <c r="A33">
        <v>31</v>
      </c>
      <c r="B33" t="s">
        <v>156</v>
      </c>
      <c r="C33" s="63" t="str" cm="1">
        <f t="array" ref="C33">_xlfn.IFS(mariamman[[#This Row],[OCTOBER]]="M","M",mariamman[[#This Row],[OCTOBER]]="A","A",mariamman[[#This Row],[OCTOBER]]="","",mariamman[[#This Row],[OCTOBER]]&gt;100,"P")</f>
        <v/>
      </c>
      <c r="E33" s="44" t="s">
        <v>1260</v>
      </c>
      <c r="G33" s="52"/>
      <c r="Q33"/>
      <c r="R33"/>
      <c r="S33" s="52"/>
      <c r="T33" s="44"/>
    </row>
    <row r="34" spans="1:20" x14ac:dyDescent="0.25">
      <c r="A34">
        <v>32</v>
      </c>
      <c r="B34" t="s">
        <v>1261</v>
      </c>
      <c r="C34" s="63" t="str" cm="1">
        <f t="array" ref="C34">_xlfn.IFS(mariamman[[#This Row],[OCTOBER]]="M","M",mariamman[[#This Row],[OCTOBER]]="A","A",mariamman[[#This Row],[OCTOBER]]="","",mariamman[[#This Row],[OCTOBER]]&gt;100,"P")</f>
        <v/>
      </c>
      <c r="D34" t="s">
        <v>35</v>
      </c>
      <c r="E34" s="44" t="s">
        <v>1262</v>
      </c>
      <c r="F34" t="s">
        <v>1263</v>
      </c>
      <c r="G34" s="52"/>
      <c r="O34" s="52">
        <v>200</v>
      </c>
      <c r="Q34"/>
      <c r="R34"/>
      <c r="S34" s="52"/>
      <c r="T34" s="44"/>
    </row>
    <row r="35" spans="1:20" x14ac:dyDescent="0.25">
      <c r="A35">
        <v>33</v>
      </c>
      <c r="B35" t="s">
        <v>499</v>
      </c>
      <c r="C35" s="63" t="str" cm="1">
        <f t="array" ref="C35">_xlfn.IFS(mariamman[[#This Row],[OCTOBER]]="M","M",mariamman[[#This Row],[OCTOBER]]="A","A",mariamman[[#This Row],[OCTOBER]]="","",mariamman[[#This Row],[OCTOBER]]&gt;100,"P")</f>
        <v/>
      </c>
      <c r="D35" t="s">
        <v>78</v>
      </c>
      <c r="E35" s="44" t="s">
        <v>1264</v>
      </c>
      <c r="F35" t="s">
        <v>1265</v>
      </c>
      <c r="G35" s="52"/>
      <c r="O35" s="52">
        <v>175</v>
      </c>
      <c r="Q35"/>
      <c r="R35"/>
      <c r="S35" s="52"/>
      <c r="T35" s="44"/>
    </row>
    <row r="36" spans="1:20" x14ac:dyDescent="0.25">
      <c r="A36">
        <v>34</v>
      </c>
      <c r="B36" t="s">
        <v>472</v>
      </c>
      <c r="C36" s="63" t="str" cm="1">
        <f t="array" ref="C36">_xlfn.IFS(mariamman[[#This Row],[OCTOBER]]="M","M",mariamman[[#This Row],[OCTOBER]]="A","A",mariamman[[#This Row],[OCTOBER]]="","",mariamman[[#This Row],[OCTOBER]]&gt;100,"P")</f>
        <v/>
      </c>
      <c r="D36" t="s">
        <v>35</v>
      </c>
      <c r="E36" s="44" t="s">
        <v>1266</v>
      </c>
      <c r="F36" t="s">
        <v>1267</v>
      </c>
      <c r="G36" s="52"/>
      <c r="O36" s="52">
        <v>175</v>
      </c>
      <c r="Q36"/>
      <c r="R36"/>
      <c r="S36" s="52"/>
      <c r="T36" s="44"/>
    </row>
    <row r="37" spans="1:20" x14ac:dyDescent="0.25">
      <c r="A37">
        <v>35</v>
      </c>
      <c r="B37" t="s">
        <v>702</v>
      </c>
      <c r="C37" s="63" t="str" cm="1">
        <f t="array" ref="C37">_xlfn.IFS(mariamman[[#This Row],[OCTOBER]]="M","M",mariamman[[#This Row],[OCTOBER]]="A","A",mariamman[[#This Row],[OCTOBER]]="","",mariamman[[#This Row],[OCTOBER]]&gt;100,"P")</f>
        <v/>
      </c>
      <c r="D37" t="s">
        <v>242</v>
      </c>
      <c r="E37" s="44" t="s">
        <v>1268</v>
      </c>
      <c r="F37" s="44" t="s">
        <v>1269</v>
      </c>
      <c r="G37" s="52"/>
      <c r="O37" s="52" t="s">
        <v>1271</v>
      </c>
      <c r="Q37"/>
      <c r="R37"/>
      <c r="S37" s="52"/>
      <c r="T37" s="44" t="s">
        <v>1270</v>
      </c>
    </row>
    <row r="38" spans="1:20" x14ac:dyDescent="0.25">
      <c r="A38">
        <v>36</v>
      </c>
      <c r="B38" t="s">
        <v>1272</v>
      </c>
      <c r="C38" s="63" t="str" cm="1">
        <f t="array" ref="C38">_xlfn.IFS(mariamman[[#This Row],[OCTOBER]]="M","M",mariamman[[#This Row],[OCTOBER]]="A","A",mariamman[[#This Row],[OCTOBER]]="","",mariamman[[#This Row],[OCTOBER]]&gt;100,"P")</f>
        <v/>
      </c>
      <c r="D38" t="s">
        <v>21</v>
      </c>
      <c r="E38" s="44" t="s">
        <v>1273</v>
      </c>
      <c r="F38" s="44" t="s">
        <v>1274</v>
      </c>
      <c r="G38" s="52"/>
      <c r="Q38"/>
      <c r="R38"/>
      <c r="S38" s="52"/>
      <c r="T38" s="44"/>
    </row>
    <row r="39" spans="1:20" s="33" customFormat="1" x14ac:dyDescent="0.25">
      <c r="A39" s="33" t="s">
        <v>298</v>
      </c>
      <c r="C39" s="33">
        <f>SUBTOTAL(103,mariamman[PAID])</f>
        <v>37</v>
      </c>
      <c r="D39" s="33">
        <f>SUBTOTAL(103,mariamman[Package])</f>
        <v>34</v>
      </c>
      <c r="E39" s="33">
        <f>SUBTOTAL(103,mariamman[Box No])</f>
        <v>35</v>
      </c>
      <c r="F39" s="33">
        <f>SUBTOTAL(103,mariamman[CAF_ID])</f>
        <v>34</v>
      </c>
      <c r="G39" s="34">
        <f>SUBTOTAL(109,mariamman[JANUARY])</f>
        <v>0</v>
      </c>
      <c r="H39" s="34">
        <f>SUBTOTAL(109,mariamman[FEBEUARY])</f>
        <v>0</v>
      </c>
      <c r="I39" s="34">
        <f>SUBTOTAL(109,mariamman[MARCH])</f>
        <v>0</v>
      </c>
      <c r="J39" s="34">
        <f>SUBTOTAL(109,mariamman[APRIL])</f>
        <v>0</v>
      </c>
      <c r="K39" s="34">
        <f>SUBTOTAL(109,mariamman[MAY])</f>
        <v>0</v>
      </c>
      <c r="L39" s="34">
        <f>SUBTOTAL(109,mariamman[JUNE])</f>
        <v>0</v>
      </c>
      <c r="M39" s="34">
        <f>SUBTOTAL(109,mariamman[JULY])</f>
        <v>0</v>
      </c>
      <c r="N39" s="34">
        <f>SUBTOTAL(109,mariamman[AUGUST])</f>
        <v>0</v>
      </c>
      <c r="O39" s="34">
        <f>SUBTOTAL(109,mariamman[SEPTEMBER])</f>
        <v>6210</v>
      </c>
      <c r="P39" s="34">
        <f>SUBTOTAL(109,mariamman[OCTOBER])</f>
        <v>0</v>
      </c>
      <c r="Q39" s="34">
        <f>SUBTOTAL(109,mariamman[NOVEMBER])</f>
        <v>0</v>
      </c>
      <c r="R39" s="34">
        <f>SUBTOTAL(109,mariamman[DECEMBER])</f>
        <v>0</v>
      </c>
      <c r="S39" s="34">
        <f>SUBTOTAL(109,mariamman[BALANCE])</f>
        <v>0</v>
      </c>
      <c r="T39" s="38"/>
    </row>
    <row r="41" spans="1:20" x14ac:dyDescent="0.25">
      <c r="B41" s="39" t="s">
        <v>299</v>
      </c>
      <c r="C41" s="39">
        <f>COUNTIF(C2:C37,"P")</f>
        <v>0</v>
      </c>
    </row>
    <row r="42" spans="1:20" x14ac:dyDescent="0.25">
      <c r="B42" s="33"/>
      <c r="C42" s="33"/>
    </row>
    <row r="43" spans="1:20" x14ac:dyDescent="0.25">
      <c r="B43" s="35" t="s">
        <v>300</v>
      </c>
      <c r="C43" s="43">
        <f>COUNTIF(C2:C38,"P")</f>
        <v>0</v>
      </c>
    </row>
    <row r="44" spans="1:20" x14ac:dyDescent="0.25">
      <c r="B44" s="36" t="s">
        <v>301</v>
      </c>
      <c r="C44" s="42">
        <f>COUNTIF(C2:C38,"NP")</f>
        <v>0</v>
      </c>
    </row>
    <row r="45" spans="1:20" x14ac:dyDescent="0.25">
      <c r="B45" s="33"/>
      <c r="C45" s="33"/>
    </row>
    <row r="46" spans="1:20" x14ac:dyDescent="0.25">
      <c r="B46" s="39" t="s">
        <v>302</v>
      </c>
      <c r="C46" s="39">
        <f>C43+C44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T73"/>
  <sheetViews>
    <sheetView topLeftCell="A50" zoomScale="115" zoomScaleNormal="115" workbookViewId="0">
      <selection activeCell="P63" sqref="P63"/>
    </sheetView>
  </sheetViews>
  <sheetFormatPr defaultRowHeight="15" x14ac:dyDescent="0.25"/>
  <cols>
    <col min="1" max="1" width="6" style="61" customWidth="1"/>
    <col min="2" max="2" width="18.7109375" style="61" customWidth="1"/>
    <col min="3" max="3" width="6.7109375" style="61" customWidth="1"/>
    <col min="4" max="4" width="29" style="61" customWidth="1"/>
    <col min="5" max="5" width="21" style="61" customWidth="1"/>
    <col min="7" max="14" width="11.5703125" style="52" hidden="1" customWidth="1"/>
    <col min="15" max="18" width="11.5703125" style="52" customWidth="1"/>
    <col min="19" max="19" width="11.5703125" style="61" customWidth="1"/>
    <col min="20" max="20" width="35.42578125" style="61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44" t="s">
        <v>19</v>
      </c>
    </row>
    <row r="2" spans="1:20" x14ac:dyDescent="0.25">
      <c r="A2">
        <v>1</v>
      </c>
      <c r="B2" t="s">
        <v>1275</v>
      </c>
      <c r="C2" t="str" cm="1">
        <f t="array" ref="C2">_xlfn.IFS(acolony[[#This Row],[OCTOBER]]="M","M",acolony[[#This Row],[OCTOBER]]="A","A",acolony[[#This Row],[OCTOBER]]="","",acolony[[#This Row],[OCTOBER]]&gt;100,"P")</f>
        <v/>
      </c>
      <c r="E2" s="44"/>
      <c r="F2" s="44"/>
      <c r="S2" s="52"/>
      <c r="T2" s="44"/>
    </row>
    <row r="3" spans="1:20" x14ac:dyDescent="0.25">
      <c r="A3">
        <v>2</v>
      </c>
      <c r="B3" t="s">
        <v>255</v>
      </c>
      <c r="C3" s="63" t="str" cm="1">
        <f t="array" ref="C3">_xlfn.IFS(acolony[[#This Row],[OCTOBER]]="M","M",acolony[[#This Row],[OCTOBER]]="A","A",acolony[[#This Row],[OCTOBER]]="","",acolony[[#This Row],[OCTOBER]]&gt;100,"P")</f>
        <v/>
      </c>
      <c r="E3" s="44"/>
      <c r="F3" s="44"/>
      <c r="S3" s="52"/>
      <c r="T3" s="44"/>
    </row>
    <row r="4" spans="1:20" x14ac:dyDescent="0.25">
      <c r="A4">
        <v>3</v>
      </c>
      <c r="B4" t="s">
        <v>1276</v>
      </c>
      <c r="C4" s="63" t="str" cm="1">
        <f t="array" ref="C4">_xlfn.IFS(acolony[[#This Row],[OCTOBER]]="M","M",acolony[[#This Row],[OCTOBER]]="A","A",acolony[[#This Row],[OCTOBER]]="","",acolony[[#This Row],[OCTOBER]]&gt;100,"P")</f>
        <v/>
      </c>
      <c r="D4" t="s">
        <v>25</v>
      </c>
      <c r="E4" s="44" t="s">
        <v>1277</v>
      </c>
      <c r="F4" s="44" t="s">
        <v>1278</v>
      </c>
      <c r="N4" s="52">
        <v>300</v>
      </c>
      <c r="O4" s="52">
        <v>300</v>
      </c>
      <c r="S4" s="52">
        <v>700</v>
      </c>
      <c r="T4" s="44"/>
    </row>
    <row r="5" spans="1:20" x14ac:dyDescent="0.25">
      <c r="A5">
        <v>4</v>
      </c>
      <c r="B5" t="s">
        <v>1279</v>
      </c>
      <c r="C5" s="63" t="str" cm="1">
        <f t="array" ref="C5">_xlfn.IFS(acolony[[#This Row],[OCTOBER]]="M","M",acolony[[#This Row],[OCTOBER]]="A","A",acolony[[#This Row],[OCTOBER]]="","",acolony[[#This Row],[OCTOBER]]&gt;100,"P")</f>
        <v/>
      </c>
      <c r="D5" t="s">
        <v>21</v>
      </c>
      <c r="E5" s="44" t="s">
        <v>1280</v>
      </c>
      <c r="F5" s="44" t="s">
        <v>1281</v>
      </c>
      <c r="M5" s="52" t="s">
        <v>321</v>
      </c>
      <c r="N5" s="52">
        <v>440</v>
      </c>
      <c r="O5" s="52">
        <v>220</v>
      </c>
      <c r="S5" s="52"/>
      <c r="T5" s="44"/>
    </row>
    <row r="6" spans="1:20" x14ac:dyDescent="0.25">
      <c r="A6">
        <v>5</v>
      </c>
      <c r="B6" t="s">
        <v>1282</v>
      </c>
      <c r="C6" s="63" t="str" cm="1">
        <f t="array" ref="C6">_xlfn.IFS(acolony[[#This Row],[OCTOBER]]="M","M",acolony[[#This Row],[OCTOBER]]="A","A",acolony[[#This Row],[OCTOBER]]="","",acolony[[#This Row],[OCTOBER]]&gt;100,"P")</f>
        <v/>
      </c>
      <c r="E6" s="44"/>
      <c r="F6" s="44"/>
      <c r="S6" s="52"/>
      <c r="T6" s="44"/>
    </row>
    <row r="7" spans="1:20" x14ac:dyDescent="0.25">
      <c r="A7">
        <v>6</v>
      </c>
      <c r="B7" t="s">
        <v>1283</v>
      </c>
      <c r="C7" s="63" t="str" cm="1">
        <f t="array" ref="C7">_xlfn.IFS(acolony[[#This Row],[OCTOBER]]="M","M",acolony[[#This Row],[OCTOBER]]="A","A",acolony[[#This Row],[OCTOBER]]="","",acolony[[#This Row],[OCTOBER]]&gt;100,"P")</f>
        <v/>
      </c>
      <c r="D7" t="s">
        <v>21</v>
      </c>
      <c r="E7" s="44" t="s">
        <v>1284</v>
      </c>
      <c r="F7" s="44" t="s">
        <v>1285</v>
      </c>
      <c r="M7" s="52">
        <v>220</v>
      </c>
      <c r="O7" s="52">
        <v>460</v>
      </c>
      <c r="S7" s="52"/>
      <c r="T7" s="44"/>
    </row>
    <row r="8" spans="1:20" x14ac:dyDescent="0.25">
      <c r="A8">
        <v>7</v>
      </c>
      <c r="B8" t="s">
        <v>1286</v>
      </c>
      <c r="C8" s="63" t="str" cm="1">
        <f t="array" ref="C8">_xlfn.IFS(acolony[[#This Row],[OCTOBER]]="M","M",acolony[[#This Row],[OCTOBER]]="A","A",acolony[[#This Row],[OCTOBER]]="","",acolony[[#This Row],[OCTOBER]]&gt;100,"P")</f>
        <v/>
      </c>
      <c r="E8" s="44"/>
      <c r="F8" s="44"/>
      <c r="S8" s="52"/>
      <c r="T8" s="44"/>
    </row>
    <row r="9" spans="1:20" x14ac:dyDescent="0.25">
      <c r="A9">
        <v>8</v>
      </c>
      <c r="B9" t="s">
        <v>1287</v>
      </c>
      <c r="C9" s="63" t="str" cm="1">
        <f t="array" ref="C9">_xlfn.IFS(acolony[[#This Row],[OCTOBER]]="M","M",acolony[[#This Row],[OCTOBER]]="A","A",acolony[[#This Row],[OCTOBER]]="","",acolony[[#This Row],[OCTOBER]]&gt;100,"P")</f>
        <v/>
      </c>
      <c r="E9" s="44"/>
      <c r="F9" s="44"/>
      <c r="S9" s="52"/>
      <c r="T9" s="44"/>
    </row>
    <row r="10" spans="1:20" x14ac:dyDescent="0.25">
      <c r="A10">
        <v>9</v>
      </c>
      <c r="B10" t="s">
        <v>1288</v>
      </c>
      <c r="C10" s="63" t="str" cm="1">
        <f t="array" ref="C10">_xlfn.IFS(acolony[[#This Row],[OCTOBER]]="M","M",acolony[[#This Row],[OCTOBER]]="A","A",acolony[[#This Row],[OCTOBER]]="","",acolony[[#This Row],[OCTOBER]]&gt;100,"P")</f>
        <v/>
      </c>
      <c r="D10" t="s">
        <v>21</v>
      </c>
      <c r="E10" s="44" t="s">
        <v>1289</v>
      </c>
      <c r="F10" s="44" t="s">
        <v>1290</v>
      </c>
      <c r="M10" s="52">
        <v>220</v>
      </c>
      <c r="N10" s="52">
        <v>220</v>
      </c>
      <c r="O10" s="52">
        <v>200</v>
      </c>
      <c r="S10" s="52"/>
      <c r="T10" s="44"/>
    </row>
    <row r="11" spans="1:20" x14ac:dyDescent="0.25">
      <c r="A11">
        <v>10</v>
      </c>
      <c r="B11" t="s">
        <v>1291</v>
      </c>
      <c r="C11" s="63" t="str" cm="1">
        <f t="array" ref="C11">_xlfn.IFS(acolony[[#This Row],[OCTOBER]]="M","M",acolony[[#This Row],[OCTOBER]]="A","A",acolony[[#This Row],[OCTOBER]]="","",acolony[[#This Row],[OCTOBER]]&gt;100,"P")</f>
        <v/>
      </c>
      <c r="D11" t="s">
        <v>25</v>
      </c>
      <c r="E11" s="44" t="s">
        <v>1292</v>
      </c>
      <c r="F11" s="44" t="s">
        <v>1293</v>
      </c>
      <c r="N11" s="52">
        <v>120</v>
      </c>
      <c r="O11" s="52">
        <v>300</v>
      </c>
      <c r="S11" s="52"/>
      <c r="T11" s="44"/>
    </row>
    <row r="12" spans="1:20" x14ac:dyDescent="0.25">
      <c r="A12">
        <v>11</v>
      </c>
      <c r="B12" t="s">
        <v>1294</v>
      </c>
      <c r="C12" s="63" t="str" cm="1">
        <f t="array" ref="C12">_xlfn.IFS(acolony[[#This Row],[OCTOBER]]="M","M",acolony[[#This Row],[OCTOBER]]="A","A",acolony[[#This Row],[OCTOBER]]="","",acolony[[#This Row],[OCTOBER]]&gt;100,"P")</f>
        <v/>
      </c>
      <c r="E12" s="44"/>
      <c r="F12" s="44"/>
      <c r="S12" s="52"/>
      <c r="T12" s="44"/>
    </row>
    <row r="13" spans="1:20" x14ac:dyDescent="0.25">
      <c r="A13">
        <v>12</v>
      </c>
      <c r="B13" t="s">
        <v>1255</v>
      </c>
      <c r="C13" s="63" t="str" cm="1">
        <f t="array" ref="C13">_xlfn.IFS(acolony[[#This Row],[OCTOBER]]="M","M",acolony[[#This Row],[OCTOBER]]="A","A",acolony[[#This Row],[OCTOBER]]="","",acolony[[#This Row],[OCTOBER]]&gt;100,"P")</f>
        <v/>
      </c>
      <c r="E13" s="44"/>
      <c r="F13" s="44"/>
      <c r="S13" s="52"/>
      <c r="T13" s="44"/>
    </row>
    <row r="14" spans="1:20" x14ac:dyDescent="0.25">
      <c r="A14">
        <v>13</v>
      </c>
      <c r="B14" t="s">
        <v>1295</v>
      </c>
      <c r="C14" s="63" t="str" cm="1">
        <f t="array" ref="C14">_xlfn.IFS(acolony[[#This Row],[OCTOBER]]="M","M",acolony[[#This Row],[OCTOBER]]="A","A",acolony[[#This Row],[OCTOBER]]="","",acolony[[#This Row],[OCTOBER]]&gt;100,"P")</f>
        <v/>
      </c>
      <c r="D14" t="s">
        <v>35</v>
      </c>
      <c r="E14" s="44" t="s">
        <v>1296</v>
      </c>
      <c r="F14" s="44" t="s">
        <v>1297</v>
      </c>
      <c r="M14" s="52">
        <v>200</v>
      </c>
      <c r="N14" s="52">
        <v>200</v>
      </c>
      <c r="O14" s="52">
        <v>200</v>
      </c>
      <c r="S14" s="52"/>
      <c r="T14" s="44"/>
    </row>
    <row r="15" spans="1:20" x14ac:dyDescent="0.25">
      <c r="A15">
        <v>14</v>
      </c>
      <c r="B15" t="s">
        <v>156</v>
      </c>
      <c r="C15" s="63" t="str" cm="1">
        <f t="array" ref="C15">_xlfn.IFS(acolony[[#This Row],[OCTOBER]]="M","M",acolony[[#This Row],[OCTOBER]]="A","A",acolony[[#This Row],[OCTOBER]]="","",acolony[[#This Row],[OCTOBER]]&gt;100,"P")</f>
        <v/>
      </c>
      <c r="D15" t="s">
        <v>78</v>
      </c>
      <c r="E15" s="44" t="s">
        <v>1298</v>
      </c>
      <c r="F15" s="44" t="s">
        <v>1299</v>
      </c>
      <c r="M15" s="52">
        <v>200</v>
      </c>
      <c r="N15" s="52">
        <v>200</v>
      </c>
      <c r="O15" s="52">
        <v>200</v>
      </c>
      <c r="S15" s="52"/>
      <c r="T15" s="44"/>
    </row>
    <row r="16" spans="1:20" x14ac:dyDescent="0.25">
      <c r="A16">
        <v>15</v>
      </c>
      <c r="B16" t="s">
        <v>1300</v>
      </c>
      <c r="C16" s="63" t="str" cm="1">
        <f t="array" ref="C16">_xlfn.IFS(acolony[[#This Row],[OCTOBER]]="M","M",acolony[[#This Row],[OCTOBER]]="A","A",acolony[[#This Row],[OCTOBER]]="","",acolony[[#This Row],[OCTOBER]]&gt;100,"P")</f>
        <v/>
      </c>
      <c r="D16" t="s">
        <v>25</v>
      </c>
      <c r="E16" s="44" t="s">
        <v>1301</v>
      </c>
      <c r="F16" s="44" t="s">
        <v>1302</v>
      </c>
      <c r="M16" s="52">
        <v>320</v>
      </c>
      <c r="N16" s="52">
        <v>320</v>
      </c>
      <c r="O16" s="52">
        <v>220</v>
      </c>
      <c r="S16" s="52"/>
      <c r="T16" s="44"/>
    </row>
    <row r="17" spans="1:20" x14ac:dyDescent="0.25">
      <c r="A17">
        <v>16</v>
      </c>
      <c r="B17" t="s">
        <v>1303</v>
      </c>
      <c r="C17" s="63" t="str" cm="1">
        <f t="array" ref="C17">_xlfn.IFS(acolony[[#This Row],[OCTOBER]]="M","M",acolony[[#This Row],[OCTOBER]]="A","A",acolony[[#This Row],[OCTOBER]]="","",acolony[[#This Row],[OCTOBER]]&gt;100,"P")</f>
        <v/>
      </c>
      <c r="D17" t="s">
        <v>21</v>
      </c>
      <c r="E17" s="44" t="s">
        <v>1304</v>
      </c>
      <c r="F17" s="44" t="s">
        <v>1305</v>
      </c>
      <c r="M17" s="52">
        <v>400</v>
      </c>
      <c r="N17" s="52">
        <v>200</v>
      </c>
      <c r="O17" s="52">
        <v>200</v>
      </c>
      <c r="S17" s="52"/>
      <c r="T17" s="44"/>
    </row>
    <row r="18" spans="1:20" x14ac:dyDescent="0.25">
      <c r="A18">
        <v>17</v>
      </c>
      <c r="B18" t="s">
        <v>1030</v>
      </c>
      <c r="C18" s="63" t="str" cm="1">
        <f t="array" ref="C18">_xlfn.IFS(acolony[[#This Row],[OCTOBER]]="M","M",acolony[[#This Row],[OCTOBER]]="A","A",acolony[[#This Row],[OCTOBER]]="","",acolony[[#This Row],[OCTOBER]]&gt;100,"P")</f>
        <v/>
      </c>
      <c r="D18" t="s">
        <v>35</v>
      </c>
      <c r="E18" s="44" t="s">
        <v>1306</v>
      </c>
      <c r="F18" s="44" t="s">
        <v>1307</v>
      </c>
      <c r="M18" s="52">
        <v>220</v>
      </c>
      <c r="O18" s="52">
        <v>200</v>
      </c>
      <c r="S18" s="52"/>
      <c r="T18" s="44"/>
    </row>
    <row r="19" spans="1:20" x14ac:dyDescent="0.25">
      <c r="A19">
        <v>18</v>
      </c>
      <c r="B19" t="s">
        <v>1308</v>
      </c>
      <c r="C19" s="63" t="str" cm="1">
        <f t="array" ref="C19">_xlfn.IFS(acolony[[#This Row],[OCTOBER]]="M","M",acolony[[#This Row],[OCTOBER]]="A","A",acolony[[#This Row],[OCTOBER]]="","",acolony[[#This Row],[OCTOBER]]&gt;100,"P")</f>
        <v/>
      </c>
      <c r="D19" t="s">
        <v>21</v>
      </c>
      <c r="E19" s="44" t="s">
        <v>1309</v>
      </c>
      <c r="F19" s="44" t="s">
        <v>1310</v>
      </c>
      <c r="N19" s="52">
        <v>200</v>
      </c>
      <c r="O19" s="52">
        <v>200</v>
      </c>
      <c r="S19" s="52"/>
      <c r="T19" s="44"/>
    </row>
    <row r="20" spans="1:20" x14ac:dyDescent="0.25">
      <c r="A20">
        <v>19</v>
      </c>
      <c r="B20" t="s">
        <v>164</v>
      </c>
      <c r="C20" s="63" t="str" cm="1">
        <f t="array" ref="C20">_xlfn.IFS(acolony[[#This Row],[OCTOBER]]="M","M",acolony[[#This Row],[OCTOBER]]="A","A",acolony[[#This Row],[OCTOBER]]="","",acolony[[#This Row],[OCTOBER]]&gt;100,"P")</f>
        <v/>
      </c>
      <c r="D20" t="s">
        <v>21</v>
      </c>
      <c r="E20" s="44" t="s">
        <v>1311</v>
      </c>
      <c r="F20" s="44" t="s">
        <v>1312</v>
      </c>
      <c r="N20" s="52">
        <v>300</v>
      </c>
      <c r="O20" s="52">
        <v>200</v>
      </c>
      <c r="S20" s="52">
        <v>740</v>
      </c>
      <c r="T20" s="44"/>
    </row>
    <row r="21" spans="1:20" x14ac:dyDescent="0.25">
      <c r="A21">
        <v>20</v>
      </c>
      <c r="B21" t="s">
        <v>1313</v>
      </c>
      <c r="C21" s="63" t="str" cm="1">
        <f t="array" ref="C21">_xlfn.IFS(acolony[[#This Row],[OCTOBER]]="M","M",acolony[[#This Row],[OCTOBER]]="A","A",acolony[[#This Row],[OCTOBER]]="","",acolony[[#This Row],[OCTOBER]]&gt;100,"P")</f>
        <v/>
      </c>
      <c r="E21" s="44"/>
      <c r="F21" s="44"/>
      <c r="S21" s="52"/>
      <c r="T21" s="44"/>
    </row>
    <row r="22" spans="1:20" x14ac:dyDescent="0.25">
      <c r="A22">
        <v>21</v>
      </c>
      <c r="B22" t="s">
        <v>1314</v>
      </c>
      <c r="C22" s="63" t="str" cm="1">
        <f t="array" ref="C22">_xlfn.IFS(acolony[[#This Row],[OCTOBER]]="M","M",acolony[[#This Row],[OCTOBER]]="A","A",acolony[[#This Row],[OCTOBER]]="","",acolony[[#This Row],[OCTOBER]]&gt;100,"P")</f>
        <v/>
      </c>
      <c r="D22" t="s">
        <v>78</v>
      </c>
      <c r="E22" s="44" t="s">
        <v>1315</v>
      </c>
      <c r="F22" s="44" t="s">
        <v>1316</v>
      </c>
      <c r="M22" s="52">
        <v>200</v>
      </c>
      <c r="N22" s="52">
        <v>200</v>
      </c>
      <c r="O22" s="52">
        <v>300</v>
      </c>
      <c r="S22" s="52"/>
      <c r="T22" s="44"/>
    </row>
    <row r="23" spans="1:20" x14ac:dyDescent="0.25">
      <c r="A23">
        <v>22</v>
      </c>
      <c r="B23" t="s">
        <v>1317</v>
      </c>
      <c r="C23" s="63" t="str" cm="1">
        <f t="array" ref="C23">_xlfn.IFS(acolony[[#This Row],[OCTOBER]]="M","M",acolony[[#This Row],[OCTOBER]]="A","A",acolony[[#This Row],[OCTOBER]]="","",acolony[[#This Row],[OCTOBER]]&gt;100,"P")</f>
        <v/>
      </c>
      <c r="D23" t="s">
        <v>25</v>
      </c>
      <c r="E23" s="44" t="s">
        <v>1318</v>
      </c>
      <c r="F23" s="44" t="s">
        <v>1319</v>
      </c>
      <c r="M23" s="52">
        <v>200</v>
      </c>
      <c r="N23" s="52">
        <v>200</v>
      </c>
      <c r="O23" s="52">
        <v>200</v>
      </c>
      <c r="S23" s="52"/>
      <c r="T23" s="44"/>
    </row>
    <row r="24" spans="1:20" x14ac:dyDescent="0.25">
      <c r="A24">
        <v>23</v>
      </c>
      <c r="B24" t="s">
        <v>1320</v>
      </c>
      <c r="C24" s="63" t="str" cm="1">
        <f t="array" ref="C24">_xlfn.IFS(acolony[[#This Row],[OCTOBER]]="M","M",acolony[[#This Row],[OCTOBER]]="A","A",acolony[[#This Row],[OCTOBER]]="","",acolony[[#This Row],[OCTOBER]]&gt;100,"P")</f>
        <v/>
      </c>
      <c r="D24" t="s">
        <v>1206</v>
      </c>
      <c r="E24" s="44" t="s">
        <v>1321</v>
      </c>
      <c r="F24" s="44" t="s">
        <v>1322</v>
      </c>
      <c r="N24" s="52">
        <v>200</v>
      </c>
      <c r="O24" s="52">
        <v>200</v>
      </c>
      <c r="S24" s="52"/>
      <c r="T24" s="44"/>
    </row>
    <row r="25" spans="1:20" x14ac:dyDescent="0.25">
      <c r="A25">
        <v>24</v>
      </c>
      <c r="B25" t="s">
        <v>1104</v>
      </c>
      <c r="C25" s="63" t="str" cm="1">
        <f t="array" ref="C25">_xlfn.IFS(acolony[[#This Row],[OCTOBER]]="M","M",acolony[[#This Row],[OCTOBER]]="A","A",acolony[[#This Row],[OCTOBER]]="","",acolony[[#This Row],[OCTOBER]]&gt;100,"P")</f>
        <v/>
      </c>
      <c r="D25" t="s">
        <v>21</v>
      </c>
      <c r="E25" s="44" t="s">
        <v>1323</v>
      </c>
      <c r="F25" s="44" t="s">
        <v>1324</v>
      </c>
      <c r="N25" s="52">
        <v>220</v>
      </c>
      <c r="S25" s="52"/>
      <c r="T25" s="44"/>
    </row>
    <row r="26" spans="1:20" x14ac:dyDescent="0.25">
      <c r="A26">
        <v>25</v>
      </c>
      <c r="B26" t="s">
        <v>1325</v>
      </c>
      <c r="C26" s="63" t="str" cm="1">
        <f t="array" ref="C26">_xlfn.IFS(acolony[[#This Row],[OCTOBER]]="M","M",acolony[[#This Row],[OCTOBER]]="A","A",acolony[[#This Row],[OCTOBER]]="","",acolony[[#This Row],[OCTOBER]]&gt;100,"P")</f>
        <v/>
      </c>
      <c r="D26" t="s">
        <v>25</v>
      </c>
      <c r="E26" s="44" t="s">
        <v>1326</v>
      </c>
      <c r="F26" s="44" t="s">
        <v>1327</v>
      </c>
      <c r="M26" s="52">
        <v>200</v>
      </c>
      <c r="N26" s="52">
        <v>200</v>
      </c>
      <c r="O26" s="52">
        <v>200</v>
      </c>
      <c r="S26" s="52"/>
      <c r="T26" s="44"/>
    </row>
    <row r="27" spans="1:20" x14ac:dyDescent="0.25">
      <c r="A27">
        <v>26</v>
      </c>
      <c r="B27" t="s">
        <v>1328</v>
      </c>
      <c r="C27" s="63" t="str" cm="1">
        <f t="array" ref="C27">_xlfn.IFS(acolony[[#This Row],[OCTOBER]]="M","M",acolony[[#This Row],[OCTOBER]]="A","A",acolony[[#This Row],[OCTOBER]]="","",acolony[[#This Row],[OCTOBER]]&gt;100,"P")</f>
        <v/>
      </c>
      <c r="D27" t="s">
        <v>21</v>
      </c>
      <c r="E27" s="44" t="s">
        <v>1329</v>
      </c>
      <c r="F27" s="44" t="s">
        <v>1330</v>
      </c>
      <c r="M27" s="52" t="s">
        <v>321</v>
      </c>
      <c r="N27" s="52">
        <v>100</v>
      </c>
      <c r="O27" s="52">
        <v>200</v>
      </c>
      <c r="S27" s="52"/>
      <c r="T27" s="44"/>
    </row>
    <row r="28" spans="1:20" x14ac:dyDescent="0.25">
      <c r="A28">
        <v>27</v>
      </c>
      <c r="B28" t="s">
        <v>1331</v>
      </c>
      <c r="C28" s="63" t="str" cm="1">
        <f t="array" ref="C28">_xlfn.IFS(acolony[[#This Row],[OCTOBER]]="M","M",acolony[[#This Row],[OCTOBER]]="A","A",acolony[[#This Row],[OCTOBER]]="","",acolony[[#This Row],[OCTOBER]]&gt;100,"P")</f>
        <v/>
      </c>
      <c r="E28" s="44"/>
      <c r="F28" s="44"/>
      <c r="S28" s="52"/>
      <c r="T28" s="44"/>
    </row>
    <row r="29" spans="1:20" x14ac:dyDescent="0.25">
      <c r="A29">
        <v>28</v>
      </c>
      <c r="B29" t="s">
        <v>676</v>
      </c>
      <c r="C29" s="63" t="str" cm="1">
        <f t="array" ref="C29">_xlfn.IFS(acolony[[#This Row],[OCTOBER]]="M","M",acolony[[#This Row],[OCTOBER]]="A","A",acolony[[#This Row],[OCTOBER]]="","",acolony[[#This Row],[OCTOBER]]&gt;100,"P")</f>
        <v/>
      </c>
      <c r="D29" t="s">
        <v>25</v>
      </c>
      <c r="E29" s="44" t="s">
        <v>1332</v>
      </c>
      <c r="F29" s="44" t="s">
        <v>1333</v>
      </c>
      <c r="M29" s="52">
        <v>200</v>
      </c>
      <c r="N29" s="52">
        <v>200</v>
      </c>
      <c r="O29" s="52">
        <v>150</v>
      </c>
      <c r="S29" s="52"/>
      <c r="T29" s="44"/>
    </row>
    <row r="30" spans="1:20" x14ac:dyDescent="0.25">
      <c r="A30">
        <v>29</v>
      </c>
      <c r="B30" t="s">
        <v>1334</v>
      </c>
      <c r="C30" s="63" t="str" cm="1">
        <f t="array" ref="C30">_xlfn.IFS(acolony[[#This Row],[OCTOBER]]="M","M",acolony[[#This Row],[OCTOBER]]="A","A",acolony[[#This Row],[OCTOBER]]="","",acolony[[#This Row],[OCTOBER]]&gt;100,"P")</f>
        <v/>
      </c>
      <c r="E30" s="44"/>
      <c r="F30" s="44"/>
      <c r="S30" s="52"/>
      <c r="T30" s="44"/>
    </row>
    <row r="31" spans="1:20" x14ac:dyDescent="0.25">
      <c r="A31">
        <v>30</v>
      </c>
      <c r="B31" t="s">
        <v>1335</v>
      </c>
      <c r="C31" s="63" t="str" cm="1">
        <f t="array" ref="C31">_xlfn.IFS(acolony[[#This Row],[OCTOBER]]="M","M",acolony[[#This Row],[OCTOBER]]="A","A",acolony[[#This Row],[OCTOBER]]="","",acolony[[#This Row],[OCTOBER]]&gt;100,"P")</f>
        <v/>
      </c>
      <c r="E31" s="44"/>
      <c r="F31" s="44"/>
      <c r="S31" s="52"/>
      <c r="T31" s="44"/>
    </row>
    <row r="32" spans="1:20" x14ac:dyDescent="0.25">
      <c r="A32">
        <v>31</v>
      </c>
      <c r="B32" t="s">
        <v>967</v>
      </c>
      <c r="C32" s="63" t="str" cm="1">
        <f t="array" ref="C32">_xlfn.IFS(acolony[[#This Row],[OCTOBER]]="M","M",acolony[[#This Row],[OCTOBER]]="A","A",acolony[[#This Row],[OCTOBER]]="","",acolony[[#This Row],[OCTOBER]]&gt;100,"P")</f>
        <v/>
      </c>
      <c r="E32" s="44"/>
      <c r="F32" s="44"/>
      <c r="S32" s="52"/>
      <c r="T32" s="44"/>
    </row>
    <row r="33" spans="1:20" x14ac:dyDescent="0.25">
      <c r="A33">
        <v>32</v>
      </c>
      <c r="B33" t="s">
        <v>1092</v>
      </c>
      <c r="C33" s="63" t="str" cm="1">
        <f t="array" ref="C33">_xlfn.IFS(acolony[[#This Row],[OCTOBER]]="M","M",acolony[[#This Row],[OCTOBER]]="A","A",acolony[[#This Row],[OCTOBER]]="","",acolony[[#This Row],[OCTOBER]]&gt;100,"P")</f>
        <v/>
      </c>
      <c r="E33" s="44"/>
      <c r="F33" s="44"/>
      <c r="S33" s="52"/>
      <c r="T33" s="44"/>
    </row>
    <row r="34" spans="1:20" x14ac:dyDescent="0.25">
      <c r="A34">
        <v>33</v>
      </c>
      <c r="B34" t="s">
        <v>1336</v>
      </c>
      <c r="C34" s="63" t="str" cm="1">
        <f t="array" ref="C34">_xlfn.IFS(acolony[[#This Row],[OCTOBER]]="M","M",acolony[[#This Row],[OCTOBER]]="A","A",acolony[[#This Row],[OCTOBER]]="","",acolony[[#This Row],[OCTOBER]]&gt;100,"P")</f>
        <v/>
      </c>
      <c r="E34" s="44"/>
      <c r="F34" s="44"/>
      <c r="S34" s="52"/>
      <c r="T34" s="44"/>
    </row>
    <row r="35" spans="1:20" x14ac:dyDescent="0.25">
      <c r="A35">
        <v>34</v>
      </c>
      <c r="B35" t="s">
        <v>44</v>
      </c>
      <c r="C35" s="63" t="str" cm="1">
        <f t="array" ref="C35">_xlfn.IFS(acolony[[#This Row],[OCTOBER]]="M","M",acolony[[#This Row],[OCTOBER]]="A","A",acolony[[#This Row],[OCTOBER]]="","",acolony[[#This Row],[OCTOBER]]&gt;100,"P")</f>
        <v/>
      </c>
      <c r="D35" t="s">
        <v>21</v>
      </c>
      <c r="E35" s="44" t="s">
        <v>1337</v>
      </c>
      <c r="F35" s="44" t="s">
        <v>1338</v>
      </c>
      <c r="N35" s="52">
        <v>200</v>
      </c>
      <c r="O35" s="52">
        <v>200</v>
      </c>
      <c r="S35" s="52"/>
      <c r="T35" s="44"/>
    </row>
    <row r="36" spans="1:20" x14ac:dyDescent="0.25">
      <c r="A36">
        <v>35</v>
      </c>
      <c r="B36" t="s">
        <v>654</v>
      </c>
      <c r="C36" s="63" t="str" cm="1">
        <f t="array" ref="C36">_xlfn.IFS(acolony[[#This Row],[OCTOBER]]="M","M",acolony[[#This Row],[OCTOBER]]="A","A",acolony[[#This Row],[OCTOBER]]="","",acolony[[#This Row],[OCTOBER]]&gt;100,"P")</f>
        <v/>
      </c>
      <c r="D36" t="s">
        <v>78</v>
      </c>
      <c r="E36" s="44" t="s">
        <v>1339</v>
      </c>
      <c r="F36" s="44" t="s">
        <v>1340</v>
      </c>
      <c r="M36" s="52">
        <v>200</v>
      </c>
      <c r="N36" s="52">
        <v>200</v>
      </c>
      <c r="O36" s="52">
        <v>200</v>
      </c>
      <c r="S36" s="52">
        <v>1200</v>
      </c>
      <c r="T36" s="44"/>
    </row>
    <row r="37" spans="1:20" x14ac:dyDescent="0.25">
      <c r="A37">
        <v>36</v>
      </c>
      <c r="B37" t="s">
        <v>1341</v>
      </c>
      <c r="C37" s="63" t="str" cm="1">
        <f t="array" ref="C37">_xlfn.IFS(acolony[[#This Row],[OCTOBER]]="M","M",acolony[[#This Row],[OCTOBER]]="A","A",acolony[[#This Row],[OCTOBER]]="","",acolony[[#This Row],[OCTOBER]]&gt;100,"P")</f>
        <v/>
      </c>
      <c r="D37" t="s">
        <v>35</v>
      </c>
      <c r="E37" s="44" t="s">
        <v>1342</v>
      </c>
      <c r="F37" s="44" t="s">
        <v>1343</v>
      </c>
      <c r="M37" s="52">
        <v>200</v>
      </c>
      <c r="O37" s="52">
        <v>200</v>
      </c>
      <c r="S37" s="52"/>
      <c r="T37" s="44"/>
    </row>
    <row r="38" spans="1:20" x14ac:dyDescent="0.25">
      <c r="A38">
        <v>37</v>
      </c>
      <c r="B38" t="s">
        <v>1344</v>
      </c>
      <c r="C38" s="63" t="str" cm="1">
        <f t="array" ref="C38">_xlfn.IFS(acolony[[#This Row],[OCTOBER]]="M","M",acolony[[#This Row],[OCTOBER]]="A","A",acolony[[#This Row],[OCTOBER]]="","",acolony[[#This Row],[OCTOBER]]&gt;100,"P")</f>
        <v/>
      </c>
      <c r="E38" s="44"/>
      <c r="F38" s="44"/>
      <c r="S38" s="52"/>
      <c r="T38" s="44"/>
    </row>
    <row r="39" spans="1:20" x14ac:dyDescent="0.25">
      <c r="A39">
        <v>38</v>
      </c>
      <c r="B39" t="s">
        <v>1345</v>
      </c>
      <c r="C39" s="63" t="str" cm="1">
        <f t="array" ref="C39">_xlfn.IFS(acolony[[#This Row],[OCTOBER]]="M","M",acolony[[#This Row],[OCTOBER]]="A","A",acolony[[#This Row],[OCTOBER]]="","",acolony[[#This Row],[OCTOBER]]&gt;100,"P")</f>
        <v/>
      </c>
      <c r="D39" t="s">
        <v>25</v>
      </c>
      <c r="E39" s="44" t="s">
        <v>1346</v>
      </c>
      <c r="F39" s="44" t="s">
        <v>1347</v>
      </c>
      <c r="N39" s="52">
        <v>220</v>
      </c>
      <c r="O39" s="52">
        <v>220</v>
      </c>
      <c r="S39" s="52"/>
      <c r="T39" s="44"/>
    </row>
    <row r="40" spans="1:20" x14ac:dyDescent="0.25">
      <c r="A40">
        <v>39</v>
      </c>
      <c r="B40" t="s">
        <v>1348</v>
      </c>
      <c r="C40" s="63" t="str" cm="1">
        <f t="array" ref="C40">_xlfn.IFS(acolony[[#This Row],[OCTOBER]]="M","M",acolony[[#This Row],[OCTOBER]]="A","A",acolony[[#This Row],[OCTOBER]]="","",acolony[[#This Row],[OCTOBER]]&gt;100,"P")</f>
        <v/>
      </c>
      <c r="E40" s="44"/>
      <c r="F40" s="44"/>
      <c r="S40" s="52"/>
      <c r="T40" s="44"/>
    </row>
    <row r="41" spans="1:20" x14ac:dyDescent="0.25">
      <c r="A41">
        <v>40</v>
      </c>
      <c r="B41" t="s">
        <v>1349</v>
      </c>
      <c r="C41" s="63" t="str" cm="1">
        <f t="array" ref="C41">_xlfn.IFS(acolony[[#This Row],[OCTOBER]]="M","M",acolony[[#This Row],[OCTOBER]]="A","A",acolony[[#This Row],[OCTOBER]]="","",acolony[[#This Row],[OCTOBER]]&gt;100,"P")</f>
        <v/>
      </c>
      <c r="E41" s="44"/>
      <c r="F41" s="44"/>
      <c r="S41" s="52"/>
      <c r="T41" s="44"/>
    </row>
    <row r="42" spans="1:20" x14ac:dyDescent="0.25">
      <c r="A42">
        <v>41</v>
      </c>
      <c r="B42" t="s">
        <v>312</v>
      </c>
      <c r="C42" s="63" t="str" cm="1">
        <f t="array" ref="C42">_xlfn.IFS(acolony[[#This Row],[OCTOBER]]="M","M",acolony[[#This Row],[OCTOBER]]="A","A",acolony[[#This Row],[OCTOBER]]="","",acolony[[#This Row],[OCTOBER]]&gt;100,"P")</f>
        <v/>
      </c>
      <c r="E42" s="44"/>
      <c r="F42" s="44"/>
      <c r="N42" s="52">
        <v>200</v>
      </c>
      <c r="S42" s="52"/>
      <c r="T42" s="44"/>
    </row>
    <row r="43" spans="1:20" x14ac:dyDescent="0.25">
      <c r="A43">
        <v>42</v>
      </c>
      <c r="B43" t="s">
        <v>494</v>
      </c>
      <c r="C43" s="63" t="str" cm="1">
        <f t="array" ref="C43">_xlfn.IFS(acolony[[#This Row],[OCTOBER]]="M","M",acolony[[#This Row],[OCTOBER]]="A","A",acolony[[#This Row],[OCTOBER]]="","",acolony[[#This Row],[OCTOBER]]&gt;100,"P")</f>
        <v/>
      </c>
      <c r="D43" t="s">
        <v>78</v>
      </c>
      <c r="E43" s="44" t="s">
        <v>1350</v>
      </c>
      <c r="F43" s="44" t="s">
        <v>1351</v>
      </c>
      <c r="O43" s="52">
        <v>200</v>
      </c>
      <c r="S43" s="52"/>
      <c r="T43" s="44"/>
    </row>
    <row r="44" spans="1:20" x14ac:dyDescent="0.25">
      <c r="A44">
        <v>43</v>
      </c>
      <c r="B44" t="s">
        <v>833</v>
      </c>
      <c r="C44" s="63" t="str" cm="1">
        <f t="array" ref="C44">_xlfn.IFS(acolony[[#This Row],[OCTOBER]]="M","M",acolony[[#This Row],[OCTOBER]]="A","A",acolony[[#This Row],[OCTOBER]]="","",acolony[[#This Row],[OCTOBER]]&gt;100,"P")</f>
        <v/>
      </c>
      <c r="E44" s="44"/>
      <c r="F44" s="44"/>
      <c r="S44" s="52"/>
      <c r="T44" s="44"/>
    </row>
    <row r="45" spans="1:20" x14ac:dyDescent="0.25">
      <c r="A45">
        <v>44</v>
      </c>
      <c r="B45" t="s">
        <v>1352</v>
      </c>
      <c r="C45" s="63" t="str" cm="1">
        <f t="array" ref="C45">_xlfn.IFS(acolony[[#This Row],[OCTOBER]]="M","M",acolony[[#This Row],[OCTOBER]]="A","A",acolony[[#This Row],[OCTOBER]]="","",acolony[[#This Row],[OCTOBER]]&gt;100,"P")</f>
        <v/>
      </c>
      <c r="D45" t="s">
        <v>78</v>
      </c>
      <c r="E45" s="44" t="s">
        <v>406</v>
      </c>
      <c r="F45" s="44" t="s">
        <v>407</v>
      </c>
      <c r="M45" s="52">
        <v>150</v>
      </c>
      <c r="O45" s="52">
        <v>300</v>
      </c>
      <c r="S45" s="52"/>
      <c r="T45" s="44"/>
    </row>
    <row r="46" spans="1:20" x14ac:dyDescent="0.25">
      <c r="A46">
        <v>45</v>
      </c>
      <c r="B46" t="s">
        <v>1353</v>
      </c>
      <c r="C46" s="63" t="str" cm="1">
        <f t="array" ref="C46">_xlfn.IFS(acolony[[#This Row],[OCTOBER]]="M","M",acolony[[#This Row],[OCTOBER]]="A","A",acolony[[#This Row],[OCTOBER]]="","",acolony[[#This Row],[OCTOBER]]&gt;100,"P")</f>
        <v/>
      </c>
      <c r="D46" t="s">
        <v>78</v>
      </c>
      <c r="E46" s="44" t="s">
        <v>1354</v>
      </c>
      <c r="F46" s="44" t="s">
        <v>1355</v>
      </c>
      <c r="M46" s="52">
        <v>200</v>
      </c>
      <c r="N46" s="52">
        <v>200</v>
      </c>
      <c r="O46" s="52">
        <v>200</v>
      </c>
      <c r="S46" s="52"/>
      <c r="T46" s="44"/>
    </row>
    <row r="47" spans="1:20" x14ac:dyDescent="0.25">
      <c r="A47">
        <v>46</v>
      </c>
      <c r="B47" t="s">
        <v>1356</v>
      </c>
      <c r="C47" s="63" t="str" cm="1">
        <f t="array" ref="C47">_xlfn.IFS(acolony[[#This Row],[OCTOBER]]="M","M",acolony[[#This Row],[OCTOBER]]="A","A",acolony[[#This Row],[OCTOBER]]="","",acolony[[#This Row],[OCTOBER]]&gt;100,"P")</f>
        <v/>
      </c>
      <c r="D47" t="s">
        <v>21</v>
      </c>
      <c r="E47" s="44" t="s">
        <v>1357</v>
      </c>
      <c r="F47" s="44" t="s">
        <v>1358</v>
      </c>
      <c r="M47" s="52">
        <v>200</v>
      </c>
      <c r="N47" s="52">
        <v>200</v>
      </c>
      <c r="O47" s="52">
        <v>200</v>
      </c>
      <c r="S47" s="52"/>
      <c r="T47" s="44"/>
    </row>
    <row r="48" spans="1:20" x14ac:dyDescent="0.25">
      <c r="A48">
        <v>47</v>
      </c>
      <c r="B48" t="s">
        <v>117</v>
      </c>
      <c r="C48" s="63" t="str" cm="1">
        <f t="array" ref="C48">_xlfn.IFS(acolony[[#This Row],[OCTOBER]]="M","M",acolony[[#This Row],[OCTOBER]]="A","A",acolony[[#This Row],[OCTOBER]]="","",acolony[[#This Row],[OCTOBER]]&gt;100,"P")</f>
        <v/>
      </c>
      <c r="D48" t="s">
        <v>78</v>
      </c>
      <c r="E48" s="44" t="s">
        <v>1359</v>
      </c>
      <c r="F48" s="44" t="s">
        <v>1360</v>
      </c>
      <c r="M48" s="52">
        <v>500</v>
      </c>
      <c r="N48" s="52">
        <v>200</v>
      </c>
      <c r="O48" s="52" t="s">
        <v>321</v>
      </c>
      <c r="S48" s="52"/>
      <c r="T48" s="44"/>
    </row>
    <row r="49" spans="1:20" x14ac:dyDescent="0.25">
      <c r="A49">
        <v>48</v>
      </c>
      <c r="B49" t="s">
        <v>1361</v>
      </c>
      <c r="C49" s="63" t="str" cm="1">
        <f t="array" ref="C49">_xlfn.IFS(acolony[[#This Row],[OCTOBER]]="M","M",acolony[[#This Row],[OCTOBER]]="A","A",acolony[[#This Row],[OCTOBER]]="","",acolony[[#This Row],[OCTOBER]]&gt;100,"P")</f>
        <v/>
      </c>
      <c r="D49" t="s">
        <v>25</v>
      </c>
      <c r="E49" s="44" t="s">
        <v>1362</v>
      </c>
      <c r="F49" s="44" t="s">
        <v>1363</v>
      </c>
      <c r="N49" s="52">
        <v>200</v>
      </c>
      <c r="O49" s="52">
        <v>200</v>
      </c>
      <c r="S49" s="52"/>
      <c r="T49" s="44"/>
    </row>
    <row r="50" spans="1:20" x14ac:dyDescent="0.25">
      <c r="A50">
        <v>49</v>
      </c>
      <c r="B50" t="s">
        <v>1364</v>
      </c>
      <c r="C50" s="63" t="str" cm="1">
        <f t="array" ref="C50">_xlfn.IFS(acolony[[#This Row],[OCTOBER]]="M","M",acolony[[#This Row],[OCTOBER]]="A","A",acolony[[#This Row],[OCTOBER]]="","",acolony[[#This Row],[OCTOBER]]&gt;100,"P")</f>
        <v/>
      </c>
      <c r="D50" t="s">
        <v>25</v>
      </c>
      <c r="E50" s="44" t="s">
        <v>1365</v>
      </c>
      <c r="F50" s="44" t="s">
        <v>1366</v>
      </c>
      <c r="M50" s="52">
        <v>200</v>
      </c>
      <c r="N50" s="52">
        <v>300</v>
      </c>
      <c r="O50" s="52">
        <v>200</v>
      </c>
      <c r="S50" s="52"/>
      <c r="T50" s="44"/>
    </row>
    <row r="51" spans="1:20" x14ac:dyDescent="0.25">
      <c r="A51">
        <v>50</v>
      </c>
      <c r="B51" t="s">
        <v>893</v>
      </c>
      <c r="C51" s="63" t="str" cm="1">
        <f t="array" ref="C51">_xlfn.IFS(acolony[[#This Row],[OCTOBER]]="M","M",acolony[[#This Row],[OCTOBER]]="A","A",acolony[[#This Row],[OCTOBER]]="","",acolony[[#This Row],[OCTOBER]]&gt;100,"P")</f>
        <v/>
      </c>
      <c r="E51" s="44"/>
      <c r="F51" s="44"/>
      <c r="S51" s="52"/>
      <c r="T51" s="44"/>
    </row>
    <row r="52" spans="1:20" x14ac:dyDescent="0.25">
      <c r="A52">
        <v>51</v>
      </c>
      <c r="B52" t="s">
        <v>646</v>
      </c>
      <c r="C52" s="63" t="str" cm="1">
        <f t="array" ref="C52">_xlfn.IFS(acolony[[#This Row],[OCTOBER]]="M","M",acolony[[#This Row],[OCTOBER]]="A","A",acolony[[#This Row],[OCTOBER]]="","",acolony[[#This Row],[OCTOBER]]&gt;100,"P")</f>
        <v/>
      </c>
      <c r="E52" s="44"/>
      <c r="F52" s="44"/>
      <c r="S52" s="52"/>
      <c r="T52" s="44"/>
    </row>
    <row r="53" spans="1:20" x14ac:dyDescent="0.25">
      <c r="A53">
        <v>52</v>
      </c>
      <c r="B53" t="s">
        <v>1367</v>
      </c>
      <c r="C53" s="63" t="str" cm="1">
        <f t="array" ref="C53">_xlfn.IFS(acolony[[#This Row],[OCTOBER]]="M","M",acolony[[#This Row],[OCTOBER]]="A","A",acolony[[#This Row],[OCTOBER]]="","",acolony[[#This Row],[OCTOBER]]&gt;100,"P")</f>
        <v/>
      </c>
      <c r="D53" t="s">
        <v>25</v>
      </c>
      <c r="E53" s="44" t="s">
        <v>1368</v>
      </c>
      <c r="F53" s="44" t="s">
        <v>1369</v>
      </c>
      <c r="M53" s="52" t="s">
        <v>321</v>
      </c>
      <c r="N53" s="52" t="s">
        <v>138</v>
      </c>
      <c r="O53" s="52">
        <v>220</v>
      </c>
      <c r="S53" s="52"/>
      <c r="T53" s="44"/>
    </row>
    <row r="54" spans="1:20" x14ac:dyDescent="0.25">
      <c r="A54">
        <v>53</v>
      </c>
      <c r="B54" t="s">
        <v>1370</v>
      </c>
      <c r="C54" s="63" t="str" cm="1">
        <f t="array" ref="C54">_xlfn.IFS(acolony[[#This Row],[OCTOBER]]="M","M",acolony[[#This Row],[OCTOBER]]="A","A",acolony[[#This Row],[OCTOBER]]="","",acolony[[#This Row],[OCTOBER]]&gt;100,"P")</f>
        <v/>
      </c>
      <c r="D54" t="s">
        <v>78</v>
      </c>
      <c r="E54" s="44" t="s">
        <v>1371</v>
      </c>
      <c r="F54" s="44" t="s">
        <v>1372</v>
      </c>
      <c r="M54" s="52">
        <v>200</v>
      </c>
      <c r="N54" s="52" t="s">
        <v>138</v>
      </c>
      <c r="O54" s="52">
        <v>200</v>
      </c>
      <c r="S54" s="52"/>
      <c r="T54" s="44"/>
    </row>
    <row r="55" spans="1:20" x14ac:dyDescent="0.25">
      <c r="A55">
        <v>54</v>
      </c>
      <c r="B55" t="s">
        <v>1373</v>
      </c>
      <c r="C55" s="63" t="str" cm="1">
        <f t="array" ref="C55">_xlfn.IFS(acolony[[#This Row],[OCTOBER]]="M","M",acolony[[#This Row],[OCTOBER]]="A","A",acolony[[#This Row],[OCTOBER]]="","",acolony[[#This Row],[OCTOBER]]&gt;100,"P")</f>
        <v/>
      </c>
      <c r="E55" s="44"/>
      <c r="F55" s="44"/>
      <c r="S55" s="52"/>
      <c r="T55" s="44"/>
    </row>
    <row r="56" spans="1:20" x14ac:dyDescent="0.25">
      <c r="A56">
        <v>55</v>
      </c>
      <c r="B56" t="s">
        <v>1374</v>
      </c>
      <c r="C56" s="63" t="str" cm="1">
        <f t="array" ref="C56">_xlfn.IFS(acolony[[#This Row],[OCTOBER]]="M","M",acolony[[#This Row],[OCTOBER]]="A","A",acolony[[#This Row],[OCTOBER]]="","",acolony[[#This Row],[OCTOBER]]&gt;100,"P")</f>
        <v/>
      </c>
      <c r="E56" s="44"/>
      <c r="F56" s="44"/>
      <c r="S56" s="52"/>
      <c r="T56" s="44"/>
    </row>
    <row r="57" spans="1:20" x14ac:dyDescent="0.25">
      <c r="A57">
        <v>56</v>
      </c>
      <c r="B57" t="s">
        <v>1375</v>
      </c>
      <c r="C57" s="63" t="str" cm="1">
        <f t="array" ref="C57">_xlfn.IFS(acolony[[#This Row],[OCTOBER]]="M","M",acolony[[#This Row],[OCTOBER]]="A","A",acolony[[#This Row],[OCTOBER]]="","",acolony[[#This Row],[OCTOBER]]&gt;100,"P")</f>
        <v/>
      </c>
      <c r="D57" t="s">
        <v>35</v>
      </c>
      <c r="E57" s="44" t="s">
        <v>1376</v>
      </c>
      <c r="F57" s="44" t="s">
        <v>1377</v>
      </c>
      <c r="M57" s="52">
        <v>200</v>
      </c>
      <c r="N57" s="52">
        <v>200</v>
      </c>
      <c r="O57" s="52">
        <v>200</v>
      </c>
      <c r="S57" s="52"/>
      <c r="T57" s="44"/>
    </row>
    <row r="58" spans="1:20" x14ac:dyDescent="0.25">
      <c r="A58">
        <v>57</v>
      </c>
      <c r="B58" t="s">
        <v>1378</v>
      </c>
      <c r="C58" s="63" t="str" cm="1">
        <f t="array" ref="C58">_xlfn.IFS(acolony[[#This Row],[OCTOBER]]="M","M",acolony[[#This Row],[OCTOBER]]="A","A",acolony[[#This Row],[OCTOBER]]="","",acolony[[#This Row],[OCTOBER]]&gt;100,"P")</f>
        <v/>
      </c>
      <c r="D58" t="s">
        <v>21</v>
      </c>
      <c r="E58" s="44" t="s">
        <v>1379</v>
      </c>
      <c r="F58" s="44" t="s">
        <v>1380</v>
      </c>
      <c r="M58" s="52">
        <v>200</v>
      </c>
      <c r="N58" s="52">
        <v>200</v>
      </c>
      <c r="O58" s="52">
        <v>200</v>
      </c>
      <c r="S58" s="52"/>
      <c r="T58" s="44"/>
    </row>
    <row r="59" spans="1:20" x14ac:dyDescent="0.25">
      <c r="A59">
        <v>58</v>
      </c>
      <c r="B59" t="s">
        <v>280</v>
      </c>
      <c r="C59" s="63" t="str" cm="1">
        <f t="array" ref="C59">_xlfn.IFS(acolony[[#This Row],[OCTOBER]]="M","M",acolony[[#This Row],[OCTOBER]]="A","A",acolony[[#This Row],[OCTOBER]]="","",acolony[[#This Row],[OCTOBER]]&gt;100,"P")</f>
        <v/>
      </c>
      <c r="E59" s="44"/>
      <c r="F59" s="44"/>
      <c r="S59" s="52"/>
      <c r="T59" s="44"/>
    </row>
    <row r="60" spans="1:20" x14ac:dyDescent="0.25">
      <c r="A60">
        <v>59</v>
      </c>
      <c r="B60" t="s">
        <v>1381</v>
      </c>
      <c r="C60" s="63" t="str" cm="1">
        <f t="array" ref="C60">_xlfn.IFS(acolony[[#This Row],[OCTOBER]]="M","M",acolony[[#This Row],[OCTOBER]]="A","A",acolony[[#This Row],[OCTOBER]]="","",acolony[[#This Row],[OCTOBER]]&gt;100,"P")</f>
        <v/>
      </c>
      <c r="E60" s="44"/>
      <c r="F60" s="44"/>
      <c r="S60" s="52"/>
      <c r="T60" s="44"/>
    </row>
    <row r="61" spans="1:20" x14ac:dyDescent="0.25">
      <c r="A61">
        <v>60</v>
      </c>
      <c r="B61" t="s">
        <v>120</v>
      </c>
      <c r="C61" s="63" t="str" cm="1">
        <f t="array" ref="C61">_xlfn.IFS(acolony[[#This Row],[OCTOBER]]="M","M",acolony[[#This Row],[OCTOBER]]="A","A",acolony[[#This Row],[OCTOBER]]="","",acolony[[#This Row],[OCTOBER]]&gt;100,"P")</f>
        <v/>
      </c>
      <c r="E61" s="44" t="s">
        <v>1382</v>
      </c>
      <c r="F61" s="44" t="s">
        <v>1383</v>
      </c>
      <c r="S61" s="52"/>
      <c r="T61" s="44"/>
    </row>
    <row r="62" spans="1:20" x14ac:dyDescent="0.25">
      <c r="A62">
        <v>61</v>
      </c>
      <c r="C62" s="63" t="str" cm="1">
        <f t="array" ref="C62">_xlfn.IFS(acolony[[#This Row],[OCTOBER]]="M","M",acolony[[#This Row],[OCTOBER]]="A","A",acolony[[#This Row],[OCTOBER]]="","",acolony[[#This Row],[OCTOBER]]&gt;100,"P")</f>
        <v/>
      </c>
      <c r="E62" s="44"/>
      <c r="F62" s="44"/>
      <c r="S62" s="52"/>
      <c r="T62" s="44"/>
    </row>
    <row r="63" spans="1:20" x14ac:dyDescent="0.25">
      <c r="A63">
        <v>62</v>
      </c>
      <c r="B63" t="s">
        <v>233</v>
      </c>
      <c r="C63" s="63" t="str" cm="1">
        <f t="array" ref="C63">_xlfn.IFS(acolony[[#This Row],[OCTOBER]]="M","M",acolony[[#This Row],[OCTOBER]]="A","A",acolony[[#This Row],[OCTOBER]]="","",acolony[[#This Row],[OCTOBER]]&gt;100,"P")</f>
        <v/>
      </c>
      <c r="D63" t="s">
        <v>78</v>
      </c>
      <c r="E63" s="44" t="s">
        <v>1384</v>
      </c>
      <c r="F63" s="44" t="s">
        <v>1385</v>
      </c>
      <c r="M63" s="52" t="s">
        <v>321</v>
      </c>
      <c r="N63" s="52">
        <v>100</v>
      </c>
      <c r="O63" s="52">
        <v>200</v>
      </c>
      <c r="S63" s="52"/>
      <c r="T63" s="44"/>
    </row>
    <row r="64" spans="1:20" x14ac:dyDescent="0.25">
      <c r="A64">
        <v>63</v>
      </c>
      <c r="B64" t="s">
        <v>1386</v>
      </c>
      <c r="C64" s="63" t="str" cm="1">
        <f t="array" ref="C64">_xlfn.IFS(acolony[[#This Row],[OCTOBER]]="M","M",acolony[[#This Row],[OCTOBER]]="A","A",acolony[[#This Row],[OCTOBER]]="","",acolony[[#This Row],[OCTOBER]]&gt;100,"P")</f>
        <v/>
      </c>
      <c r="D64" t="s">
        <v>35</v>
      </c>
      <c r="E64" s="44" t="s">
        <v>1387</v>
      </c>
      <c r="F64" s="44" t="s">
        <v>1388</v>
      </c>
      <c r="M64" s="52">
        <v>200</v>
      </c>
      <c r="O64" s="52">
        <v>400</v>
      </c>
      <c r="S64" s="52"/>
      <c r="T64" s="44"/>
    </row>
    <row r="65" spans="1:20" x14ac:dyDescent="0.25">
      <c r="A65">
        <v>64</v>
      </c>
      <c r="B65" t="s">
        <v>1389</v>
      </c>
      <c r="C65" s="63" t="str" cm="1">
        <f t="array" ref="C65">_xlfn.IFS(acolony[[#This Row],[OCTOBER]]="M","M",acolony[[#This Row],[OCTOBER]]="A","A",acolony[[#This Row],[OCTOBER]]="","",acolony[[#This Row],[OCTOBER]]&gt;100,"P")</f>
        <v/>
      </c>
      <c r="D65" t="s">
        <v>25</v>
      </c>
      <c r="E65" s="44" t="s">
        <v>1390</v>
      </c>
      <c r="F65" s="44" t="s">
        <v>1391</v>
      </c>
      <c r="S65" s="52"/>
      <c r="T65" s="44" t="s">
        <v>1392</v>
      </c>
    </row>
    <row r="66" spans="1:20" s="33" customFormat="1" x14ac:dyDescent="0.25">
      <c r="A66" s="33" t="s">
        <v>298</v>
      </c>
      <c r="D66" s="33">
        <f>SUBTOTAL(103,acolony[Package])</f>
        <v>37</v>
      </c>
      <c r="E66" s="33">
        <f>SUBTOTAL(103,acolony[Box No])</f>
        <v>38</v>
      </c>
      <c r="F66" s="33">
        <f>SUBTOTAL(103,acolony[CAF_ID])</f>
        <v>38</v>
      </c>
      <c r="G66" s="34">
        <f>SUBTOTAL(109,acolony[JANUARY])</f>
        <v>0</v>
      </c>
      <c r="H66" s="34">
        <f>SUBTOTAL(109,acolony[FEBEUARY])</f>
        <v>0</v>
      </c>
      <c r="I66" s="34">
        <f>SUBTOTAL(109,acolony[MARCH])</f>
        <v>0</v>
      </c>
      <c r="J66" s="34">
        <f>SUBTOTAL(109,acolony[APRIL])</f>
        <v>0</v>
      </c>
      <c r="K66" s="34">
        <f>SUBTOTAL(109,acolony[MAY])</f>
        <v>0</v>
      </c>
      <c r="L66" s="34">
        <f>SUBTOTAL(109,acolony[JUNE])</f>
        <v>0</v>
      </c>
      <c r="M66" s="34">
        <f>SUBTOTAL(109,acolony[JULY])</f>
        <v>5030</v>
      </c>
      <c r="N66" s="34">
        <f>SUBTOTAL(109,acolony[AUGUST])</f>
        <v>6240</v>
      </c>
      <c r="O66" s="34">
        <f>SUBTOTAL(109,acolony[SEPTEMBER])</f>
        <v>7690</v>
      </c>
      <c r="P66" s="34">
        <f>SUBTOTAL(109,acolony[OCTOBER])</f>
        <v>0</v>
      </c>
      <c r="Q66" s="34">
        <f>SUBTOTAL(109,acolony[NOVEMBER])</f>
        <v>0</v>
      </c>
      <c r="R66" s="34">
        <f>SUBTOTAL(109,acolony[DECEMBER])</f>
        <v>0</v>
      </c>
      <c r="S66" s="34">
        <f>SUBTOTAL(109,acolony[BALANCE])</f>
        <v>2640</v>
      </c>
      <c r="T66" s="34"/>
    </row>
    <row r="68" spans="1:20" x14ac:dyDescent="0.25">
      <c r="B68" s="39" t="s">
        <v>299</v>
      </c>
      <c r="C68" s="39">
        <f>COUNTIF(acolony[PAID],"P")</f>
        <v>0</v>
      </c>
    </row>
    <row r="69" spans="1:20" x14ac:dyDescent="0.25">
      <c r="B69" s="33"/>
      <c r="C69" s="33"/>
    </row>
    <row r="70" spans="1:20" x14ac:dyDescent="0.25">
      <c r="B70" s="35" t="s">
        <v>300</v>
      </c>
      <c r="C70" s="43">
        <f>COUNTIF(C2:C65,"P")</f>
        <v>0</v>
      </c>
      <c r="D70"/>
    </row>
    <row r="71" spans="1:20" x14ac:dyDescent="0.25">
      <c r="B71" s="36" t="s">
        <v>301</v>
      </c>
      <c r="C71" s="42">
        <f>COUNTIF(C2:C65,"NP")</f>
        <v>0</v>
      </c>
    </row>
    <row r="72" spans="1:20" x14ac:dyDescent="0.25">
      <c r="B72" s="33"/>
      <c r="C72" s="33"/>
    </row>
    <row r="73" spans="1:20" x14ac:dyDescent="0.25">
      <c r="B73" s="39" t="s">
        <v>302</v>
      </c>
      <c r="C73" s="39">
        <f>C70+C71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61" customWidth="1"/>
    <col min="2" max="2" width="28.140625" style="61" bestFit="1" customWidth="1"/>
    <col min="4" max="4" width="32" style="44" customWidth="1"/>
    <col min="5" max="5" width="20.42578125" style="44" customWidth="1"/>
    <col min="6" max="6" width="11.28515625" style="61" customWidth="1"/>
    <col min="7" max="8" width="12" style="61" customWidth="1"/>
    <col min="9" max="9" width="11.7109375" style="61" customWidth="1"/>
    <col min="10" max="10" width="9.7109375" style="61" customWidth="1"/>
    <col min="11" max="11" width="15.140625" style="61" customWidth="1"/>
    <col min="13" max="13" width="13.5703125" style="61" customWidth="1"/>
    <col min="15" max="15" width="12.5703125" style="61" customWidth="1"/>
    <col min="17" max="17" width="13" style="61" customWidth="1"/>
    <col min="19" max="19" width="12.42578125" style="61" customWidth="1"/>
    <col min="20" max="20" width="10.28515625" style="61" customWidth="1"/>
    <col min="21" max="21" width="12.42578125" style="61" customWidth="1"/>
    <col min="22" max="22" width="11.42578125" style="61" customWidth="1"/>
    <col min="23" max="23" width="12.140625" style="61" customWidth="1"/>
    <col min="24" max="24" width="13.28515625" style="61" customWidth="1"/>
    <col min="25" max="25" width="12.7109375" style="61" customWidth="1"/>
    <col min="26" max="26" width="12.5703125" style="61" customWidth="1"/>
    <col min="27" max="27" width="12" style="61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s="44" t="s">
        <v>4</v>
      </c>
      <c r="F1" s="44" t="s">
        <v>5</v>
      </c>
      <c r="G1" t="s">
        <v>6</v>
      </c>
      <c r="H1" t="s">
        <v>1393</v>
      </c>
      <c r="I1" t="s">
        <v>7</v>
      </c>
      <c r="J1" t="s">
        <v>1394</v>
      </c>
      <c r="K1" t="s">
        <v>8</v>
      </c>
      <c r="L1" t="s">
        <v>1395</v>
      </c>
      <c r="M1" t="s">
        <v>9</v>
      </c>
      <c r="N1" t="s">
        <v>1396</v>
      </c>
      <c r="O1" t="s">
        <v>10</v>
      </c>
      <c r="P1" t="s">
        <v>1397</v>
      </c>
      <c r="Q1" t="s">
        <v>11</v>
      </c>
      <c r="R1" t="s">
        <v>1398</v>
      </c>
      <c r="S1" t="s">
        <v>12</v>
      </c>
      <c r="T1" t="s">
        <v>1399</v>
      </c>
      <c r="U1" t="s">
        <v>13</v>
      </c>
      <c r="V1" t="s">
        <v>1400</v>
      </c>
      <c r="W1" t="s">
        <v>15</v>
      </c>
      <c r="X1" t="s">
        <v>1401</v>
      </c>
      <c r="Y1" t="s">
        <v>16</v>
      </c>
      <c r="Z1" t="s">
        <v>1402</v>
      </c>
      <c r="AA1" t="s">
        <v>17</v>
      </c>
      <c r="AB1" t="s">
        <v>1403</v>
      </c>
      <c r="AC1" t="s">
        <v>299</v>
      </c>
    </row>
    <row r="2" spans="1:29" x14ac:dyDescent="0.25">
      <c r="A2">
        <v>1</v>
      </c>
      <c r="B2" t="s">
        <v>1404</v>
      </c>
      <c r="E2" s="44" t="s">
        <v>1405</v>
      </c>
      <c r="F2" s="44" t="s">
        <v>1406</v>
      </c>
    </row>
    <row r="3" spans="1:29" x14ac:dyDescent="0.25">
      <c r="A3">
        <v>2</v>
      </c>
      <c r="B3" t="s">
        <v>1407</v>
      </c>
      <c r="E3" s="44" t="s">
        <v>1408</v>
      </c>
      <c r="F3" s="44" t="s">
        <v>1409</v>
      </c>
    </row>
    <row r="4" spans="1:29" x14ac:dyDescent="0.25">
      <c r="A4">
        <v>3</v>
      </c>
      <c r="B4" t="s">
        <v>1410</v>
      </c>
      <c r="E4" s="44" t="s">
        <v>1277</v>
      </c>
      <c r="F4" s="44" t="s">
        <v>1278</v>
      </c>
    </row>
    <row r="5" spans="1:29" x14ac:dyDescent="0.25">
      <c r="A5">
        <v>4</v>
      </c>
      <c r="B5" t="s">
        <v>1411</v>
      </c>
      <c r="E5" s="44" t="s">
        <v>1280</v>
      </c>
      <c r="F5" s="44" t="s">
        <v>1281</v>
      </c>
    </row>
    <row r="6" spans="1:29" x14ac:dyDescent="0.25">
      <c r="A6">
        <v>5</v>
      </c>
      <c r="B6" t="s">
        <v>1412</v>
      </c>
      <c r="E6" s="44" t="s">
        <v>1289</v>
      </c>
      <c r="F6" s="44" t="s">
        <v>1290</v>
      </c>
    </row>
    <row r="7" spans="1:29" x14ac:dyDescent="0.25">
      <c r="A7">
        <v>6</v>
      </c>
      <c r="B7" t="s">
        <v>1413</v>
      </c>
      <c r="E7" s="44" t="s">
        <v>1284</v>
      </c>
      <c r="F7" s="44" t="s">
        <v>1285</v>
      </c>
    </row>
    <row r="8" spans="1:29" x14ac:dyDescent="0.25">
      <c r="A8">
        <v>7</v>
      </c>
      <c r="B8" t="s">
        <v>1414</v>
      </c>
      <c r="E8" s="44" t="s">
        <v>1292</v>
      </c>
      <c r="F8" s="44" t="s">
        <v>1293</v>
      </c>
    </row>
    <row r="9" spans="1:29" x14ac:dyDescent="0.25">
      <c r="A9">
        <v>8</v>
      </c>
      <c r="B9" t="s">
        <v>1415</v>
      </c>
      <c r="E9" s="44" t="s">
        <v>1416</v>
      </c>
      <c r="F9" s="44" t="s">
        <v>1417</v>
      </c>
    </row>
    <row r="10" spans="1:29" x14ac:dyDescent="0.25">
      <c r="A10">
        <v>9</v>
      </c>
      <c r="B10" t="s">
        <v>1418</v>
      </c>
      <c r="E10" s="44" t="s">
        <v>1298</v>
      </c>
      <c r="F10" s="44" t="s">
        <v>1299</v>
      </c>
    </row>
    <row r="11" spans="1:29" x14ac:dyDescent="0.25">
      <c r="A11">
        <v>10</v>
      </c>
      <c r="B11" t="s">
        <v>1419</v>
      </c>
      <c r="E11" s="44" t="s">
        <v>1301</v>
      </c>
      <c r="F11" s="44" t="s">
        <v>1302</v>
      </c>
    </row>
    <row r="12" spans="1:29" x14ac:dyDescent="0.25">
      <c r="A12">
        <v>11</v>
      </c>
      <c r="B12" t="s">
        <v>1420</v>
      </c>
      <c r="E12" s="44" t="s">
        <v>1309</v>
      </c>
      <c r="F12" s="44" t="s">
        <v>1310</v>
      </c>
    </row>
    <row r="13" spans="1:29" x14ac:dyDescent="0.25">
      <c r="A13">
        <v>12</v>
      </c>
      <c r="B13" t="s">
        <v>1421</v>
      </c>
      <c r="E13" s="44" t="s">
        <v>1311</v>
      </c>
      <c r="F13" s="44" t="s">
        <v>1312</v>
      </c>
    </row>
    <row r="14" spans="1:29" x14ac:dyDescent="0.25">
      <c r="A14">
        <v>13</v>
      </c>
      <c r="B14" t="s">
        <v>1422</v>
      </c>
      <c r="E14" s="44" t="s">
        <v>1315</v>
      </c>
      <c r="F14" s="44" t="s">
        <v>1316</v>
      </c>
    </row>
    <row r="15" spans="1:29" x14ac:dyDescent="0.25">
      <c r="A15">
        <v>14</v>
      </c>
      <c r="B15" t="s">
        <v>1423</v>
      </c>
      <c r="E15" s="44" t="s">
        <v>1318</v>
      </c>
      <c r="F15" s="44" t="s">
        <v>1319</v>
      </c>
    </row>
    <row r="16" spans="1:29" x14ac:dyDescent="0.25">
      <c r="A16">
        <v>15</v>
      </c>
      <c r="B16" t="s">
        <v>1424</v>
      </c>
      <c r="E16" s="44" t="s">
        <v>1323</v>
      </c>
      <c r="F16" s="44" t="s">
        <v>1324</v>
      </c>
    </row>
    <row r="17" spans="1:6" x14ac:dyDescent="0.25">
      <c r="A17">
        <v>16</v>
      </c>
      <c r="B17" t="s">
        <v>1425</v>
      </c>
      <c r="E17" s="44" t="s">
        <v>1326</v>
      </c>
      <c r="F17" s="44" t="s">
        <v>1327</v>
      </c>
    </row>
    <row r="18" spans="1:6" x14ac:dyDescent="0.25">
      <c r="A18">
        <v>17</v>
      </c>
      <c r="B18" t="s">
        <v>1426</v>
      </c>
      <c r="E18" s="44" t="s">
        <v>1329</v>
      </c>
      <c r="F18" s="44" t="s">
        <v>1330</v>
      </c>
    </row>
    <row r="19" spans="1:6" x14ac:dyDescent="0.25">
      <c r="A19">
        <v>18</v>
      </c>
      <c r="B19" t="s">
        <v>1427</v>
      </c>
      <c r="E19" s="44" t="s">
        <v>1332</v>
      </c>
      <c r="F19" s="44" t="s">
        <v>1333</v>
      </c>
    </row>
    <row r="20" spans="1:6" x14ac:dyDescent="0.25">
      <c r="A20">
        <v>19</v>
      </c>
      <c r="B20" t="s">
        <v>1428</v>
      </c>
      <c r="E20" s="44" t="s">
        <v>1337</v>
      </c>
      <c r="F20" s="44" t="s">
        <v>1338</v>
      </c>
    </row>
    <row r="21" spans="1:6" x14ac:dyDescent="0.25">
      <c r="A21">
        <v>20</v>
      </c>
      <c r="B21" t="s">
        <v>1429</v>
      </c>
      <c r="E21" s="44" t="s">
        <v>1339</v>
      </c>
      <c r="F21" s="44" t="s">
        <v>1340</v>
      </c>
    </row>
    <row r="22" spans="1:6" x14ac:dyDescent="0.25">
      <c r="A22">
        <v>21</v>
      </c>
      <c r="B22" t="s">
        <v>1430</v>
      </c>
      <c r="E22" s="44" t="s">
        <v>1342</v>
      </c>
      <c r="F22" s="44" t="s">
        <v>1343</v>
      </c>
    </row>
    <row r="23" spans="1:6" x14ac:dyDescent="0.25">
      <c r="A23">
        <v>22</v>
      </c>
      <c r="B23" t="s">
        <v>1431</v>
      </c>
      <c r="E23" s="44" t="s">
        <v>1346</v>
      </c>
      <c r="F23" s="44" t="s">
        <v>1347</v>
      </c>
    </row>
    <row r="24" spans="1:6" x14ac:dyDescent="0.25">
      <c r="A24">
        <v>23</v>
      </c>
      <c r="B24" t="s">
        <v>1432</v>
      </c>
      <c r="E24" s="44" t="s">
        <v>1433</v>
      </c>
      <c r="F24" s="44" t="s">
        <v>1434</v>
      </c>
    </row>
    <row r="25" spans="1:6" x14ac:dyDescent="0.25">
      <c r="A25">
        <v>24</v>
      </c>
      <c r="B25" t="s">
        <v>1435</v>
      </c>
      <c r="E25" s="44" t="s">
        <v>1354</v>
      </c>
      <c r="F25" s="44" t="s">
        <v>1355</v>
      </c>
    </row>
    <row r="26" spans="1:6" x14ac:dyDescent="0.25">
      <c r="A26">
        <v>25</v>
      </c>
      <c r="B26" t="s">
        <v>1436</v>
      </c>
      <c r="E26" s="44" t="s">
        <v>1359</v>
      </c>
      <c r="F26" s="44" t="s">
        <v>1360</v>
      </c>
    </row>
    <row r="27" spans="1:6" x14ac:dyDescent="0.25">
      <c r="A27">
        <v>26</v>
      </c>
      <c r="B27" t="s">
        <v>1437</v>
      </c>
      <c r="E27" s="44" t="s">
        <v>1438</v>
      </c>
      <c r="F27" s="44" t="s">
        <v>1358</v>
      </c>
    </row>
    <row r="28" spans="1:6" x14ac:dyDescent="0.25">
      <c r="A28">
        <v>27</v>
      </c>
      <c r="B28" t="s">
        <v>1439</v>
      </c>
      <c r="E28" s="44" t="s">
        <v>1440</v>
      </c>
      <c r="F28" s="44" t="s">
        <v>1441</v>
      </c>
    </row>
    <row r="29" spans="1:6" x14ac:dyDescent="0.25">
      <c r="A29">
        <v>28</v>
      </c>
      <c r="B29" t="s">
        <v>1442</v>
      </c>
      <c r="E29" s="44" t="s">
        <v>1443</v>
      </c>
      <c r="F29" s="44" t="s">
        <v>1444</v>
      </c>
    </row>
    <row r="30" spans="1:6" x14ac:dyDescent="0.25">
      <c r="A30">
        <v>29</v>
      </c>
      <c r="B30" t="s">
        <v>1445</v>
      </c>
      <c r="E30" s="44" t="s">
        <v>1446</v>
      </c>
      <c r="F30" s="44" t="s">
        <v>1447</v>
      </c>
    </row>
    <row r="31" spans="1:6" x14ac:dyDescent="0.25">
      <c r="A31">
        <v>30</v>
      </c>
      <c r="B31" t="s">
        <v>1448</v>
      </c>
      <c r="E31" s="44" t="s">
        <v>1376</v>
      </c>
      <c r="F31" s="44" t="s">
        <v>1377</v>
      </c>
    </row>
    <row r="32" spans="1:6" x14ac:dyDescent="0.25">
      <c r="A32">
        <v>31</v>
      </c>
      <c r="B32" t="s">
        <v>1449</v>
      </c>
      <c r="E32" s="44" t="s">
        <v>1450</v>
      </c>
      <c r="F32" s="44" t="s">
        <v>1451</v>
      </c>
    </row>
    <row r="33" spans="1:6" x14ac:dyDescent="0.25">
      <c r="A33">
        <v>32</v>
      </c>
      <c r="B33" t="s">
        <v>1452</v>
      </c>
      <c r="E33" s="44" t="s">
        <v>1453</v>
      </c>
      <c r="F33" s="44" t="s">
        <v>1454</v>
      </c>
    </row>
    <row r="34" spans="1:6" x14ac:dyDescent="0.25">
      <c r="A34">
        <v>33</v>
      </c>
      <c r="B34" t="s">
        <v>1455</v>
      </c>
      <c r="E34" s="44" t="s">
        <v>1365</v>
      </c>
      <c r="F34" s="44" t="s">
        <v>1366</v>
      </c>
    </row>
    <row r="35" spans="1:6" x14ac:dyDescent="0.25">
      <c r="A35">
        <v>34</v>
      </c>
      <c r="B35" t="s">
        <v>1456</v>
      </c>
      <c r="E35" s="44" t="s">
        <v>1304</v>
      </c>
      <c r="F35" s="44" t="s">
        <v>1305</v>
      </c>
    </row>
    <row r="36" spans="1:6" x14ac:dyDescent="0.25">
      <c r="A36">
        <v>35</v>
      </c>
      <c r="B36" t="s">
        <v>1457</v>
      </c>
      <c r="E36" s="44" t="s">
        <v>1321</v>
      </c>
      <c r="F36" s="44" t="s">
        <v>1322</v>
      </c>
    </row>
    <row r="37" spans="1:6" x14ac:dyDescent="0.25">
      <c r="A37">
        <v>36</v>
      </c>
      <c r="B37" t="s">
        <v>1458</v>
      </c>
      <c r="E37" s="44" t="s">
        <v>1390</v>
      </c>
      <c r="F37" s="44" t="s">
        <v>1391</v>
      </c>
    </row>
    <row r="38" spans="1:6" x14ac:dyDescent="0.25">
      <c r="A38">
        <v>37</v>
      </c>
      <c r="B38" t="s">
        <v>1459</v>
      </c>
      <c r="E38" s="44" t="s">
        <v>1368</v>
      </c>
      <c r="F38" s="44" t="s">
        <v>1369</v>
      </c>
    </row>
    <row r="39" spans="1:6" x14ac:dyDescent="0.25">
      <c r="A39">
        <v>38</v>
      </c>
      <c r="B39" t="s">
        <v>1460</v>
      </c>
      <c r="E39" s="44" t="s">
        <v>1362</v>
      </c>
      <c r="F39" s="44" t="s">
        <v>1363</v>
      </c>
    </row>
    <row r="40" spans="1:6" x14ac:dyDescent="0.25">
      <c r="A40">
        <v>39</v>
      </c>
      <c r="B40" t="s">
        <v>1461</v>
      </c>
      <c r="E40" s="44" t="s">
        <v>1462</v>
      </c>
      <c r="F40" s="44" t="s">
        <v>1463</v>
      </c>
    </row>
    <row r="41" spans="1:6" x14ac:dyDescent="0.25">
      <c r="A41">
        <v>40</v>
      </c>
      <c r="B41" t="s">
        <v>1464</v>
      </c>
      <c r="E41" s="44" t="s">
        <v>1465</v>
      </c>
      <c r="F41" s="44" t="s">
        <v>1466</v>
      </c>
    </row>
    <row r="42" spans="1:6" x14ac:dyDescent="0.25">
      <c r="A42">
        <v>41</v>
      </c>
      <c r="B42" t="s">
        <v>1467</v>
      </c>
      <c r="E42" s="44" t="s">
        <v>1468</v>
      </c>
      <c r="F42" s="44" t="s">
        <v>1469</v>
      </c>
    </row>
    <row r="43" spans="1:6" x14ac:dyDescent="0.25">
      <c r="A43">
        <v>42</v>
      </c>
      <c r="B43" t="s">
        <v>1470</v>
      </c>
      <c r="F43" s="44"/>
    </row>
    <row r="44" spans="1:6" x14ac:dyDescent="0.25">
      <c r="A44">
        <v>43</v>
      </c>
      <c r="B44" t="s">
        <v>312</v>
      </c>
      <c r="F44" s="44"/>
    </row>
    <row r="45" spans="1:6" x14ac:dyDescent="0.25">
      <c r="A45">
        <v>44</v>
      </c>
      <c r="B45" t="s">
        <v>318</v>
      </c>
      <c r="F45" s="44"/>
    </row>
    <row r="50" spans="2:3" x14ac:dyDescent="0.25">
      <c r="B50" s="13" t="s">
        <v>300</v>
      </c>
      <c r="C50">
        <f>COUNTIF(C2:C46,"Y")</f>
        <v>0</v>
      </c>
    </row>
    <row r="51" spans="2:3" x14ac:dyDescent="0.25">
      <c r="B51" s="14" t="s">
        <v>301</v>
      </c>
      <c r="C51">
        <f>COUNTIF(C2:C45,"AY")</f>
        <v>0</v>
      </c>
    </row>
    <row r="53" spans="2:3" x14ac:dyDescent="0.25">
      <c r="B53" s="39" t="s">
        <v>302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T43"/>
  <sheetViews>
    <sheetView topLeftCell="A29" zoomScale="115" zoomScaleNormal="115" workbookViewId="0">
      <selection activeCell="O28" sqref="O28"/>
    </sheetView>
  </sheetViews>
  <sheetFormatPr defaultRowHeight="15" x14ac:dyDescent="0.25"/>
  <cols>
    <col min="1" max="1" width="6" style="61" customWidth="1"/>
    <col min="2" max="2" width="22.85546875" style="61" customWidth="1"/>
    <col min="3" max="3" width="7.7109375" style="61" customWidth="1"/>
    <col min="4" max="4" width="31.5703125" style="61" customWidth="1"/>
    <col min="5" max="5" width="21.42578125" style="61" customWidth="1"/>
    <col min="6" max="6" width="9.140625" style="61" customWidth="1"/>
    <col min="7" max="7" width="11.28515625" style="61" hidden="1" customWidth="1"/>
    <col min="8" max="14" width="11.28515625" style="52" hidden="1" customWidth="1"/>
    <col min="15" max="19" width="11.28515625" style="52" customWidth="1"/>
    <col min="20" max="20" width="35.85546875" style="52" customWidth="1"/>
    <col min="21" max="21" width="9.140625" style="61" customWidth="1"/>
    <col min="22" max="16384" width="9.140625" style="6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44" t="s">
        <v>19</v>
      </c>
    </row>
    <row r="2" spans="1:20" x14ac:dyDescent="0.25">
      <c r="A2">
        <v>1</v>
      </c>
      <c r="B2" t="s">
        <v>156</v>
      </c>
      <c r="C2" s="63" t="str" cm="1">
        <f t="array" ref="C2">_xlfn.IFS(mainroad29[[#This Row],[OCTOBER]]="M","M",mainroad29[[#This Row],[OCTOBER]]="A","A",mainroad29[[#This Row],[OCTOBER]]="","",mainroad29[[#This Row],[OCTOBER]]&gt;100,"P")</f>
        <v/>
      </c>
      <c r="D2" t="s">
        <v>21</v>
      </c>
      <c r="E2" s="44" t="s">
        <v>1471</v>
      </c>
      <c r="F2" s="44" t="s">
        <v>1472</v>
      </c>
      <c r="G2" s="52"/>
      <c r="M2" s="52">
        <v>230</v>
      </c>
      <c r="N2" s="52">
        <v>230</v>
      </c>
      <c r="O2" s="52" t="s">
        <v>1473</v>
      </c>
      <c r="T2" s="44"/>
    </row>
    <row r="3" spans="1:20" x14ac:dyDescent="0.25">
      <c r="A3">
        <v>2</v>
      </c>
      <c r="B3" t="s">
        <v>1474</v>
      </c>
      <c r="C3" s="63" t="str" cm="1">
        <f t="array" ref="C3">_xlfn.IFS(mainroad29[[#This Row],[OCTOBER]]="M","M",mainroad29[[#This Row],[OCTOBER]]="A","A",mainroad29[[#This Row],[OCTOBER]]="","",mainroad29[[#This Row],[OCTOBER]]&gt;100,"P")</f>
        <v/>
      </c>
      <c r="D3" t="s">
        <v>21</v>
      </c>
      <c r="E3" s="44" t="s">
        <v>1475</v>
      </c>
      <c r="F3" s="44" t="s">
        <v>1476</v>
      </c>
      <c r="G3" s="52"/>
      <c r="O3" s="52" t="s">
        <v>321</v>
      </c>
      <c r="T3" s="44" t="s">
        <v>1477</v>
      </c>
    </row>
    <row r="4" spans="1:20" x14ac:dyDescent="0.25">
      <c r="A4">
        <v>3</v>
      </c>
      <c r="B4" t="s">
        <v>1478</v>
      </c>
      <c r="C4" s="63" t="str" cm="1">
        <f t="array" ref="C4">_xlfn.IFS(mainroad29[[#This Row],[OCTOBER]]="M","M",mainroad29[[#This Row],[OCTOBER]]="A","A",mainroad29[[#This Row],[OCTOBER]]="","",mainroad29[[#This Row],[OCTOBER]]&gt;100,"P")</f>
        <v/>
      </c>
      <c r="D4" t="s">
        <v>21</v>
      </c>
      <c r="E4" s="44" t="s">
        <v>1479</v>
      </c>
      <c r="F4" s="44" t="s">
        <v>1480</v>
      </c>
      <c r="G4" s="52"/>
      <c r="M4" s="52">
        <v>200</v>
      </c>
      <c r="N4" s="52">
        <v>200</v>
      </c>
      <c r="O4" s="52">
        <v>200</v>
      </c>
      <c r="T4" s="44"/>
    </row>
    <row r="5" spans="1:20" x14ac:dyDescent="0.25">
      <c r="A5">
        <v>4</v>
      </c>
      <c r="B5" t="s">
        <v>1481</v>
      </c>
      <c r="C5" s="63" t="str" cm="1">
        <f t="array" ref="C5">_xlfn.IFS(mainroad29[[#This Row],[OCTOBER]]="M","M",mainroad29[[#This Row],[OCTOBER]]="A","A",mainroad29[[#This Row],[OCTOBER]]="","",mainroad29[[#This Row],[OCTOBER]]&gt;100,"P")</f>
        <v/>
      </c>
      <c r="D5" t="s">
        <v>25</v>
      </c>
      <c r="E5" s="44" t="s">
        <v>1482</v>
      </c>
      <c r="F5" s="44" t="s">
        <v>1483</v>
      </c>
      <c r="G5" s="52"/>
      <c r="M5" s="52">
        <v>200</v>
      </c>
      <c r="N5" s="52">
        <v>200</v>
      </c>
      <c r="O5" s="52">
        <v>200</v>
      </c>
      <c r="T5" s="44"/>
    </row>
    <row r="6" spans="1:20" x14ac:dyDescent="0.25">
      <c r="A6">
        <v>5</v>
      </c>
      <c r="B6" t="s">
        <v>1484</v>
      </c>
      <c r="C6" s="63" t="str" cm="1">
        <f t="array" ref="C6">_xlfn.IFS(mainroad29[[#This Row],[OCTOBER]]="M","M",mainroad29[[#This Row],[OCTOBER]]="A","A",mainroad29[[#This Row],[OCTOBER]]="","",mainroad29[[#This Row],[OCTOBER]]&gt;100,"P")</f>
        <v/>
      </c>
      <c r="D6" t="s">
        <v>35</v>
      </c>
      <c r="E6" s="44" t="s">
        <v>1485</v>
      </c>
      <c r="F6" s="44" t="s">
        <v>1486</v>
      </c>
      <c r="G6" s="52"/>
      <c r="M6" s="52">
        <v>200</v>
      </c>
      <c r="N6" s="52">
        <v>200</v>
      </c>
      <c r="O6" s="52">
        <v>200</v>
      </c>
      <c r="T6" s="44"/>
    </row>
    <row r="7" spans="1:20" x14ac:dyDescent="0.25">
      <c r="A7">
        <v>6</v>
      </c>
      <c r="B7" t="s">
        <v>751</v>
      </c>
      <c r="C7" s="63" t="str" cm="1">
        <f t="array" ref="C7">_xlfn.IFS(mainroad29[[#This Row],[OCTOBER]]="M","M",mainroad29[[#This Row],[OCTOBER]]="A","A",mainroad29[[#This Row],[OCTOBER]]="","",mainroad29[[#This Row],[OCTOBER]]&gt;100,"P")</f>
        <v/>
      </c>
      <c r="D7" t="s">
        <v>35</v>
      </c>
      <c r="E7" s="44" t="s">
        <v>1487</v>
      </c>
      <c r="F7" s="44" t="s">
        <v>1488</v>
      </c>
      <c r="G7" s="52"/>
      <c r="M7" s="52" t="s">
        <v>321</v>
      </c>
      <c r="N7" s="52" t="s">
        <v>321</v>
      </c>
      <c r="O7" s="52">
        <v>200</v>
      </c>
      <c r="T7" s="44"/>
    </row>
    <row r="8" spans="1:20" x14ac:dyDescent="0.25">
      <c r="A8">
        <v>7</v>
      </c>
      <c r="B8" t="s">
        <v>350</v>
      </c>
      <c r="C8" s="63" t="str" cm="1">
        <f t="array" ref="C8">_xlfn.IFS(mainroad29[[#This Row],[OCTOBER]]="M","M",mainroad29[[#This Row],[OCTOBER]]="A","A",mainroad29[[#This Row],[OCTOBER]]="","",mainroad29[[#This Row],[OCTOBER]]&gt;100,"P")</f>
        <v/>
      </c>
      <c r="D8" t="s">
        <v>25</v>
      </c>
      <c r="E8" s="44" t="s">
        <v>1489</v>
      </c>
      <c r="F8" s="44" t="s">
        <v>1490</v>
      </c>
      <c r="G8" s="52"/>
      <c r="M8" s="52">
        <v>220</v>
      </c>
      <c r="N8" s="52">
        <v>220</v>
      </c>
      <c r="O8" s="52">
        <v>220</v>
      </c>
      <c r="T8" s="44"/>
    </row>
    <row r="9" spans="1:20" x14ac:dyDescent="0.25">
      <c r="A9">
        <v>8</v>
      </c>
      <c r="B9" t="s">
        <v>1389</v>
      </c>
      <c r="C9" s="63" t="str" cm="1">
        <f t="array" ref="C9">_xlfn.IFS(mainroad29[[#This Row],[OCTOBER]]="M","M",mainroad29[[#This Row],[OCTOBER]]="A","A",mainroad29[[#This Row],[OCTOBER]]="","",mainroad29[[#This Row],[OCTOBER]]&gt;100,"P")</f>
        <v/>
      </c>
      <c r="D9" t="s">
        <v>25</v>
      </c>
      <c r="E9" s="44" t="s">
        <v>1491</v>
      </c>
      <c r="F9" s="44" t="s">
        <v>1492</v>
      </c>
      <c r="G9" s="52"/>
      <c r="M9" s="52">
        <v>400</v>
      </c>
      <c r="N9" s="52">
        <v>200</v>
      </c>
      <c r="O9" s="52">
        <v>200</v>
      </c>
      <c r="T9" s="44"/>
    </row>
    <row r="10" spans="1:20" x14ac:dyDescent="0.25">
      <c r="A10">
        <v>9</v>
      </c>
      <c r="B10" t="s">
        <v>1061</v>
      </c>
      <c r="C10" s="63" t="str" cm="1">
        <f t="array" ref="C10">_xlfn.IFS(mainroad29[[#This Row],[OCTOBER]]="M","M",mainroad29[[#This Row],[OCTOBER]]="A","A",mainroad29[[#This Row],[OCTOBER]]="","",mainroad29[[#This Row],[OCTOBER]]&gt;100,"P")</f>
        <v/>
      </c>
      <c r="D10" t="s">
        <v>25</v>
      </c>
      <c r="E10" s="44" t="s">
        <v>1493</v>
      </c>
      <c r="F10" s="44" t="s">
        <v>1494</v>
      </c>
      <c r="G10" s="52"/>
      <c r="M10" s="52">
        <v>220</v>
      </c>
      <c r="N10" s="52">
        <v>220</v>
      </c>
      <c r="O10" s="52">
        <v>200</v>
      </c>
      <c r="T10" s="44"/>
    </row>
    <row r="11" spans="1:20" x14ac:dyDescent="0.25">
      <c r="A11">
        <v>10</v>
      </c>
      <c r="B11" t="s">
        <v>728</v>
      </c>
      <c r="C11" s="63" t="str" cm="1">
        <f t="array" ref="C11">_xlfn.IFS(mainroad29[[#This Row],[OCTOBER]]="M","M",mainroad29[[#This Row],[OCTOBER]]="A","A",mainroad29[[#This Row],[OCTOBER]]="","",mainroad29[[#This Row],[OCTOBER]]&gt;100,"P")</f>
        <v/>
      </c>
      <c r="D11" t="s">
        <v>21</v>
      </c>
      <c r="E11" s="44" t="s">
        <v>1495</v>
      </c>
      <c r="F11" s="44" t="s">
        <v>1496</v>
      </c>
      <c r="G11" s="52"/>
      <c r="M11" s="52">
        <v>250</v>
      </c>
      <c r="N11" s="52">
        <v>200</v>
      </c>
      <c r="T11" s="44"/>
    </row>
    <row r="12" spans="1:20" x14ac:dyDescent="0.25">
      <c r="A12">
        <v>11</v>
      </c>
      <c r="B12" t="s">
        <v>1497</v>
      </c>
      <c r="C12" s="63" t="str" cm="1">
        <f t="array" ref="C12">_xlfn.IFS(mainroad29[[#This Row],[OCTOBER]]="M","M",mainroad29[[#This Row],[OCTOBER]]="A","A",mainroad29[[#This Row],[OCTOBER]]="","",mainroad29[[#This Row],[OCTOBER]]&gt;100,"P")</f>
        <v/>
      </c>
      <c r="D12" t="s">
        <v>35</v>
      </c>
      <c r="E12" s="44" t="s">
        <v>1498</v>
      </c>
      <c r="F12" s="44" t="s">
        <v>1499</v>
      </c>
      <c r="G12" s="52"/>
      <c r="M12" s="52">
        <v>400</v>
      </c>
      <c r="N12" s="52">
        <v>200</v>
      </c>
      <c r="O12" s="52">
        <v>200</v>
      </c>
      <c r="T12" s="44"/>
    </row>
    <row r="13" spans="1:20" x14ac:dyDescent="0.25">
      <c r="A13">
        <v>12</v>
      </c>
      <c r="B13" t="s">
        <v>1500</v>
      </c>
      <c r="C13" s="63" t="str" cm="1">
        <f t="array" ref="C13">_xlfn.IFS(mainroad29[[#This Row],[OCTOBER]]="M","M",mainroad29[[#This Row],[OCTOBER]]="A","A",mainroad29[[#This Row],[OCTOBER]]="","",mainroad29[[#This Row],[OCTOBER]]&gt;100,"P")</f>
        <v/>
      </c>
      <c r="D13" t="s">
        <v>78</v>
      </c>
      <c r="E13" s="44" t="s">
        <v>1501</v>
      </c>
      <c r="F13" s="44" t="s">
        <v>1502</v>
      </c>
      <c r="G13" s="52"/>
      <c r="M13" s="52" t="s">
        <v>321</v>
      </c>
      <c r="N13" s="52" t="s">
        <v>321</v>
      </c>
      <c r="O13" s="52">
        <v>200</v>
      </c>
      <c r="T13" s="44"/>
    </row>
    <row r="14" spans="1:20" x14ac:dyDescent="0.25">
      <c r="A14">
        <v>13</v>
      </c>
      <c r="B14" s="61" t="s">
        <v>2399</v>
      </c>
      <c r="C14" s="63" t="str" cm="1">
        <f t="array" ref="C14">_xlfn.IFS(mainroad29[[#This Row],[OCTOBER]]="M","M",mainroad29[[#This Row],[OCTOBER]]="A","A",mainroad29[[#This Row],[OCTOBER]]="","",mainroad29[[#This Row],[OCTOBER]]&gt;100,"P")</f>
        <v/>
      </c>
      <c r="E14" s="44"/>
      <c r="F14" s="44"/>
      <c r="G14" s="52"/>
      <c r="T14" s="44"/>
    </row>
    <row r="15" spans="1:20" x14ac:dyDescent="0.25">
      <c r="A15">
        <v>14</v>
      </c>
      <c r="B15" t="s">
        <v>1503</v>
      </c>
      <c r="C15" s="63" t="str" cm="1">
        <f t="array" ref="C15">_xlfn.IFS(mainroad29[[#This Row],[OCTOBER]]="M","M",mainroad29[[#This Row],[OCTOBER]]="A","A",mainroad29[[#This Row],[OCTOBER]]="","",mainroad29[[#This Row],[OCTOBER]]&gt;100,"P")</f>
        <v/>
      </c>
      <c r="D15" t="s">
        <v>78</v>
      </c>
      <c r="E15" s="44" t="s">
        <v>1504</v>
      </c>
      <c r="F15" s="44" t="s">
        <v>1505</v>
      </c>
      <c r="G15" s="52"/>
      <c r="N15" s="52">
        <v>200</v>
      </c>
      <c r="O15" s="52">
        <v>200</v>
      </c>
      <c r="T15" s="44"/>
    </row>
    <row r="16" spans="1:20" x14ac:dyDescent="0.25">
      <c r="A16">
        <v>15</v>
      </c>
      <c r="B16" t="s">
        <v>1506</v>
      </c>
      <c r="C16" s="63" t="str" cm="1">
        <f t="array" ref="C16">_xlfn.IFS(mainroad29[[#This Row],[OCTOBER]]="M","M",mainroad29[[#This Row],[OCTOBER]]="A","A",mainroad29[[#This Row],[OCTOBER]]="","",mainroad29[[#This Row],[OCTOBER]]&gt;100,"P")</f>
        <v/>
      </c>
      <c r="D16" t="s">
        <v>25</v>
      </c>
      <c r="E16" s="44" t="s">
        <v>1507</v>
      </c>
      <c r="F16" s="44" t="s">
        <v>1508</v>
      </c>
      <c r="G16" s="52"/>
      <c r="N16" s="52" t="s">
        <v>321</v>
      </c>
      <c r="O16" s="52" t="s">
        <v>321</v>
      </c>
      <c r="T16" s="44"/>
    </row>
    <row r="17" spans="1:20" x14ac:dyDescent="0.25">
      <c r="A17">
        <v>16</v>
      </c>
      <c r="B17" t="s">
        <v>1509</v>
      </c>
      <c r="C17" s="63" t="str" cm="1">
        <f t="array" ref="C17">_xlfn.IFS(mainroad29[[#This Row],[OCTOBER]]="M","M",mainroad29[[#This Row],[OCTOBER]]="A","A",mainroad29[[#This Row],[OCTOBER]]="","",mainroad29[[#This Row],[OCTOBER]]&gt;100,"P")</f>
        <v/>
      </c>
      <c r="D17" t="s">
        <v>242</v>
      </c>
      <c r="E17" s="44" t="s">
        <v>1510</v>
      </c>
      <c r="F17" s="44" t="s">
        <v>1511</v>
      </c>
      <c r="G17" s="52"/>
      <c r="O17" s="52">
        <v>200</v>
      </c>
      <c r="T17" s="44"/>
    </row>
    <row r="18" spans="1:20" x14ac:dyDescent="0.25">
      <c r="A18">
        <v>17</v>
      </c>
      <c r="B18" t="s">
        <v>1512</v>
      </c>
      <c r="C18" s="63" t="str" cm="1">
        <f t="array" ref="C18">_xlfn.IFS(mainroad29[[#This Row],[OCTOBER]]="M","M",mainroad29[[#This Row],[OCTOBER]]="A","A",mainroad29[[#This Row],[OCTOBER]]="","",mainroad29[[#This Row],[OCTOBER]]&gt;100,"P")</f>
        <v/>
      </c>
      <c r="D18" t="s">
        <v>21</v>
      </c>
      <c r="E18" s="44" t="s">
        <v>1513</v>
      </c>
      <c r="F18" s="44" t="s">
        <v>1514</v>
      </c>
      <c r="G18" s="52"/>
      <c r="M18" s="52">
        <v>220</v>
      </c>
      <c r="N18" s="52">
        <v>220</v>
      </c>
      <c r="O18" s="52">
        <v>220</v>
      </c>
      <c r="T18" s="44"/>
    </row>
    <row r="19" spans="1:20" x14ac:dyDescent="0.25">
      <c r="A19">
        <v>18</v>
      </c>
      <c r="B19" t="s">
        <v>34</v>
      </c>
      <c r="C19" s="63" t="str" cm="1">
        <f t="array" ref="C19">_xlfn.IFS(mainroad29[[#This Row],[OCTOBER]]="M","M",mainroad29[[#This Row],[OCTOBER]]="A","A",mainroad29[[#This Row],[OCTOBER]]="","",mainroad29[[#This Row],[OCTOBER]]&gt;100,"P")</f>
        <v/>
      </c>
      <c r="D19" t="s">
        <v>21</v>
      </c>
      <c r="E19" s="44" t="s">
        <v>1515</v>
      </c>
      <c r="F19" s="44" t="s">
        <v>1516</v>
      </c>
      <c r="G19" s="52"/>
      <c r="N19" s="52" t="s">
        <v>321</v>
      </c>
      <c r="O19" s="52" t="s">
        <v>1517</v>
      </c>
      <c r="T19" s="44"/>
    </row>
    <row r="20" spans="1:20" x14ac:dyDescent="0.25">
      <c r="A20">
        <v>19</v>
      </c>
      <c r="B20" t="s">
        <v>1518</v>
      </c>
      <c r="C20" s="63" t="str" cm="1">
        <f t="array" ref="C20">_xlfn.IFS(mainroad29[[#This Row],[OCTOBER]]="M","M",mainroad29[[#This Row],[OCTOBER]]="A","A",mainroad29[[#This Row],[OCTOBER]]="","",mainroad29[[#This Row],[OCTOBER]]&gt;100,"P")</f>
        <v/>
      </c>
      <c r="D20" t="s">
        <v>35</v>
      </c>
      <c r="E20" s="44" t="s">
        <v>1519</v>
      </c>
      <c r="F20" s="44" t="s">
        <v>1520</v>
      </c>
      <c r="G20" s="52"/>
      <c r="N20" s="52" t="s">
        <v>344</v>
      </c>
      <c r="O20" s="52">
        <v>200</v>
      </c>
      <c r="T20" s="44"/>
    </row>
    <row r="21" spans="1:20" x14ac:dyDescent="0.25">
      <c r="A21">
        <v>20</v>
      </c>
      <c r="B21" t="s">
        <v>1521</v>
      </c>
      <c r="C21" s="63" t="str" cm="1">
        <f t="array" ref="C21">_xlfn.IFS(mainroad29[[#This Row],[OCTOBER]]="M","M",mainroad29[[#This Row],[OCTOBER]]="A","A",mainroad29[[#This Row],[OCTOBER]]="","",mainroad29[[#This Row],[OCTOBER]]&gt;100,"P")</f>
        <v/>
      </c>
      <c r="D21" t="s">
        <v>401</v>
      </c>
      <c r="E21" s="44" t="s">
        <v>402</v>
      </c>
      <c r="F21" s="44" t="s">
        <v>403</v>
      </c>
      <c r="G21" s="52"/>
      <c r="O21" s="52">
        <v>250</v>
      </c>
      <c r="T21" s="44"/>
    </row>
    <row r="22" spans="1:20" x14ac:dyDescent="0.25">
      <c r="A22">
        <v>21</v>
      </c>
      <c r="B22" t="s">
        <v>1522</v>
      </c>
      <c r="C22" s="63" t="str" cm="1">
        <f t="array" ref="C22">_xlfn.IFS(mainroad29[[#This Row],[OCTOBER]]="M","M",mainroad29[[#This Row],[OCTOBER]]="A","A",mainroad29[[#This Row],[OCTOBER]]="","",mainroad29[[#This Row],[OCTOBER]]&gt;100,"P")</f>
        <v/>
      </c>
      <c r="D22" t="s">
        <v>25</v>
      </c>
      <c r="E22" s="44" t="s">
        <v>1523</v>
      </c>
      <c r="F22" s="44" t="s">
        <v>1524</v>
      </c>
      <c r="G22" s="52"/>
      <c r="N22" s="52">
        <v>200</v>
      </c>
      <c r="O22" s="52">
        <v>200</v>
      </c>
      <c r="T22" s="44"/>
    </row>
    <row r="23" spans="1:20" x14ac:dyDescent="0.25">
      <c r="A23">
        <v>22</v>
      </c>
      <c r="B23" t="s">
        <v>1525</v>
      </c>
      <c r="C23" s="63" t="str" cm="1">
        <f t="array" ref="C23">_xlfn.IFS(mainroad29[[#This Row],[OCTOBER]]="M","M",mainroad29[[#This Row],[OCTOBER]]="A","A",mainroad29[[#This Row],[OCTOBER]]="","",mainroad29[[#This Row],[OCTOBER]]&gt;100,"P")</f>
        <v/>
      </c>
      <c r="D23" t="s">
        <v>35</v>
      </c>
      <c r="E23" s="44" t="s">
        <v>1526</v>
      </c>
      <c r="F23" s="44" t="s">
        <v>1527</v>
      </c>
      <c r="G23" s="52"/>
      <c r="M23" s="52">
        <v>200</v>
      </c>
      <c r="N23" s="52">
        <v>200</v>
      </c>
      <c r="O23" s="52">
        <v>200</v>
      </c>
      <c r="T23" s="44"/>
    </row>
    <row r="24" spans="1:20" x14ac:dyDescent="0.25">
      <c r="A24">
        <v>23</v>
      </c>
      <c r="B24" t="s">
        <v>1528</v>
      </c>
      <c r="C24" s="63" t="str" cm="1">
        <f t="array" ref="C24">_xlfn.IFS(mainroad29[[#This Row],[OCTOBER]]="M","M",mainroad29[[#This Row],[OCTOBER]]="A","A",mainroad29[[#This Row],[OCTOBER]]="","",mainroad29[[#This Row],[OCTOBER]]&gt;100,"P")</f>
        <v/>
      </c>
      <c r="D24" t="s">
        <v>25</v>
      </c>
      <c r="E24" s="44" t="s">
        <v>1529</v>
      </c>
      <c r="F24" s="44" t="s">
        <v>1530</v>
      </c>
      <c r="G24" s="52"/>
      <c r="N24" s="52">
        <v>200</v>
      </c>
      <c r="O24" s="52">
        <v>200</v>
      </c>
      <c r="T24" s="44"/>
    </row>
    <row r="25" spans="1:20" x14ac:dyDescent="0.25">
      <c r="A25">
        <v>24</v>
      </c>
      <c r="B25" t="s">
        <v>1531</v>
      </c>
      <c r="C25" s="63" t="str" cm="1">
        <f t="array" ref="C25">_xlfn.IFS(mainroad29[[#This Row],[OCTOBER]]="M","M",mainroad29[[#This Row],[OCTOBER]]="A","A",mainroad29[[#This Row],[OCTOBER]]="","",mainroad29[[#This Row],[OCTOBER]]&gt;100,"P")</f>
        <v/>
      </c>
      <c r="E25" s="44"/>
      <c r="F25" s="44"/>
      <c r="G25" s="52"/>
      <c r="T25" s="44"/>
    </row>
    <row r="26" spans="1:20" x14ac:dyDescent="0.25">
      <c r="A26">
        <v>25</v>
      </c>
      <c r="B26" t="s">
        <v>1532</v>
      </c>
      <c r="C26" s="63" t="str" cm="1">
        <f t="array" ref="C26">_xlfn.IFS(mainroad29[[#This Row],[OCTOBER]]="M","M",mainroad29[[#This Row],[OCTOBER]]="A","A",mainroad29[[#This Row],[OCTOBER]]="","",mainroad29[[#This Row],[OCTOBER]]&gt;100,"P")</f>
        <v/>
      </c>
      <c r="D26" t="s">
        <v>35</v>
      </c>
      <c r="E26" s="44" t="s">
        <v>1533</v>
      </c>
      <c r="F26" s="44" t="s">
        <v>1534</v>
      </c>
      <c r="G26" s="52"/>
      <c r="N26" s="52">
        <v>200</v>
      </c>
      <c r="O26" s="52">
        <v>400</v>
      </c>
      <c r="T26" s="44"/>
    </row>
    <row r="27" spans="1:20" x14ac:dyDescent="0.25">
      <c r="A27">
        <v>26</v>
      </c>
      <c r="B27" t="s">
        <v>1535</v>
      </c>
      <c r="C27" s="63" t="str" cm="1">
        <f t="array" ref="C27">_xlfn.IFS(mainroad29[[#This Row],[OCTOBER]]="M","M",mainroad29[[#This Row],[OCTOBER]]="A","A",mainroad29[[#This Row],[OCTOBER]]="","",mainroad29[[#This Row],[OCTOBER]]&gt;100,"P")</f>
        <v/>
      </c>
      <c r="D27" t="s">
        <v>35</v>
      </c>
      <c r="E27" s="44" t="s">
        <v>1536</v>
      </c>
      <c r="F27" s="44" t="s">
        <v>1537</v>
      </c>
      <c r="G27" s="52"/>
      <c r="N27" s="52">
        <v>200</v>
      </c>
      <c r="O27" s="52" t="s">
        <v>1538</v>
      </c>
      <c r="T27" s="44"/>
    </row>
    <row r="28" spans="1:20" x14ac:dyDescent="0.25">
      <c r="A28">
        <v>27</v>
      </c>
      <c r="B28" t="s">
        <v>1539</v>
      </c>
      <c r="C28" s="63" t="str" cm="1">
        <f t="array" ref="C28">_xlfn.IFS(mainroad29[[#This Row],[OCTOBER]]="M","M",mainroad29[[#This Row],[OCTOBER]]="A","A",mainroad29[[#This Row],[OCTOBER]]="","",mainroad29[[#This Row],[OCTOBER]]&gt;100,"P")</f>
        <v/>
      </c>
      <c r="D28" s="66" t="s">
        <v>21</v>
      </c>
      <c r="E28" s="44" t="s">
        <v>2394</v>
      </c>
      <c r="F28" s="44"/>
      <c r="G28" s="52"/>
      <c r="T28" s="44"/>
    </row>
    <row r="29" spans="1:20" x14ac:dyDescent="0.25">
      <c r="A29">
        <v>28</v>
      </c>
      <c r="B29" t="s">
        <v>1540</v>
      </c>
      <c r="C29" s="63" t="str" cm="1">
        <f t="array" ref="C29">_xlfn.IFS(mainroad29[[#This Row],[OCTOBER]]="M","M",mainroad29[[#This Row],[OCTOBER]]="A","A",mainroad29[[#This Row],[OCTOBER]]="","",mainroad29[[#This Row],[OCTOBER]]&gt;100,"P")</f>
        <v/>
      </c>
      <c r="D29" t="s">
        <v>78</v>
      </c>
      <c r="E29" s="44" t="s">
        <v>1541</v>
      </c>
      <c r="F29" s="44" t="s">
        <v>1542</v>
      </c>
      <c r="G29" s="52"/>
      <c r="T29" s="44"/>
    </row>
    <row r="30" spans="1:20" x14ac:dyDescent="0.25">
      <c r="A30">
        <v>29</v>
      </c>
      <c r="B30" t="s">
        <v>1543</v>
      </c>
      <c r="C30" s="63" t="str" cm="1">
        <f t="array" ref="C30">_xlfn.IFS(mainroad29[[#This Row],[OCTOBER]]="M","M",mainroad29[[#This Row],[OCTOBER]]="A","A",mainroad29[[#This Row],[OCTOBER]]="","",mainroad29[[#This Row],[OCTOBER]]&gt;100,"P")</f>
        <v/>
      </c>
      <c r="D30" t="s">
        <v>78</v>
      </c>
      <c r="E30" s="44" t="s">
        <v>1544</v>
      </c>
      <c r="F30" s="44" t="s">
        <v>1545</v>
      </c>
      <c r="G30" s="52"/>
      <c r="T30" s="44"/>
    </row>
    <row r="31" spans="1:20" x14ac:dyDescent="0.25">
      <c r="A31">
        <v>30</v>
      </c>
      <c r="B31" t="s">
        <v>1546</v>
      </c>
      <c r="C31" s="63" t="str" cm="1">
        <f t="array" ref="C31">_xlfn.IFS(mainroad29[[#This Row],[OCTOBER]]="M","M",mainroad29[[#This Row],[OCTOBER]]="A","A",mainroad29[[#This Row],[OCTOBER]]="","",mainroad29[[#This Row],[OCTOBER]]&gt;100,"P")</f>
        <v/>
      </c>
      <c r="D31" t="s">
        <v>482</v>
      </c>
      <c r="E31" s="44" t="s">
        <v>1547</v>
      </c>
      <c r="F31" s="44" t="s">
        <v>1548</v>
      </c>
      <c r="G31" s="52"/>
      <c r="T31" s="44"/>
    </row>
    <row r="32" spans="1:20" x14ac:dyDescent="0.25">
      <c r="A32">
        <v>31</v>
      </c>
      <c r="B32" t="s">
        <v>1549</v>
      </c>
      <c r="C32" s="63" t="str" cm="1">
        <f t="array" ref="C32">_xlfn.IFS(mainroad29[[#This Row],[OCTOBER]]="M","M",mainroad29[[#This Row],[OCTOBER]]="A","A",mainroad29[[#This Row],[OCTOBER]]="","",mainroad29[[#This Row],[OCTOBER]]&gt;100,"P")</f>
        <v/>
      </c>
      <c r="D32" t="s">
        <v>21</v>
      </c>
      <c r="E32" s="44" t="s">
        <v>1550</v>
      </c>
      <c r="F32" s="44" t="s">
        <v>1221</v>
      </c>
      <c r="G32" s="52"/>
      <c r="T32" s="44"/>
    </row>
    <row r="33" spans="1:20" x14ac:dyDescent="0.25">
      <c r="A33">
        <v>32</v>
      </c>
      <c r="B33" t="s">
        <v>1551</v>
      </c>
      <c r="C33" s="63" t="str" cm="1">
        <f t="array" ref="C33">_xlfn.IFS(mainroad29[[#This Row],[OCTOBER]]="M","M",mainroad29[[#This Row],[OCTOBER]]="A","A",mainroad29[[#This Row],[OCTOBER]]="","",mainroad29[[#This Row],[OCTOBER]]&gt;100,"P")</f>
        <v/>
      </c>
      <c r="D33" t="s">
        <v>35</v>
      </c>
      <c r="E33" s="44" t="s">
        <v>1552</v>
      </c>
      <c r="F33" s="44" t="s">
        <v>1553</v>
      </c>
      <c r="G33" s="52"/>
      <c r="T33" s="44"/>
    </row>
    <row r="34" spans="1:20" x14ac:dyDescent="0.25">
      <c r="A34">
        <v>33</v>
      </c>
      <c r="B34" t="s">
        <v>1554</v>
      </c>
      <c r="C34" s="63" t="str" cm="1">
        <f t="array" ref="C34">_xlfn.IFS(mainroad29[[#This Row],[OCTOBER]]="M","M",mainroad29[[#This Row],[OCTOBER]]="A","A",mainroad29[[#This Row],[OCTOBER]]="","",mainroad29[[#This Row],[OCTOBER]]&gt;100,"P")</f>
        <v/>
      </c>
      <c r="D34" t="s">
        <v>21</v>
      </c>
      <c r="E34" s="44" t="s">
        <v>1555</v>
      </c>
      <c r="F34" s="44" t="s">
        <v>1556</v>
      </c>
      <c r="G34" s="52"/>
      <c r="M34" s="52">
        <v>250</v>
      </c>
      <c r="O34" s="52">
        <v>250</v>
      </c>
      <c r="T34" s="44"/>
    </row>
    <row r="35" spans="1:20" x14ac:dyDescent="0.25">
      <c r="A35">
        <v>34</v>
      </c>
      <c r="B35" t="s">
        <v>1557</v>
      </c>
      <c r="C35" s="63" t="str" cm="1">
        <f t="array" ref="C35">_xlfn.IFS(mainroad29[[#This Row],[OCTOBER]]="M","M",mainroad29[[#This Row],[OCTOBER]]="A","A",mainroad29[[#This Row],[OCTOBER]]="","",mainroad29[[#This Row],[OCTOBER]]&gt;100,"P")</f>
        <v/>
      </c>
      <c r="E35" s="44" t="s">
        <v>1558</v>
      </c>
      <c r="F35" s="44" t="s">
        <v>1559</v>
      </c>
      <c r="G35" s="52"/>
      <c r="N35" s="52">
        <v>220</v>
      </c>
      <c r="T35" s="44"/>
    </row>
    <row r="36" spans="1:20" s="33" customFormat="1" x14ac:dyDescent="0.25">
      <c r="A36" s="33" t="s">
        <v>298</v>
      </c>
      <c r="D36" s="33">
        <f>SUBTOTAL(103,mainroad29[Package])</f>
        <v>31</v>
      </c>
      <c r="E36" s="33">
        <f>SUBTOTAL(103,mainroad29[Box No])</f>
        <v>32</v>
      </c>
      <c r="F36" s="33">
        <f>SUBTOTAL(103,mainroad29[CAF_ID])</f>
        <v>31</v>
      </c>
      <c r="G36" s="34">
        <f>SUBTOTAL(109,mainroad29[JANUARY])</f>
        <v>0</v>
      </c>
      <c r="H36" s="34">
        <f>SUBTOTAL(109,mainroad29[FEBEUARY])</f>
        <v>0</v>
      </c>
      <c r="I36" s="34">
        <f>SUBTOTAL(109,mainroad29[MARCH])</f>
        <v>0</v>
      </c>
      <c r="J36" s="34">
        <f>SUBTOTAL(109,mainroad29[APRIL])</f>
        <v>0</v>
      </c>
      <c r="K36" s="34">
        <f>SUBTOTAL(109,mainroad29[MAY])</f>
        <v>0</v>
      </c>
      <c r="L36" s="34">
        <f>SUBTOTAL(109,mainroad29[JUNE])</f>
        <v>0</v>
      </c>
      <c r="M36" s="34">
        <f>SUBTOTAL(109,mainroad29[JULY])</f>
        <v>2990</v>
      </c>
      <c r="N36" s="34">
        <f>SUBTOTAL(109,mainroad29[AUGUST])</f>
        <v>3510</v>
      </c>
      <c r="O36" s="34">
        <f>SUBTOTAL(109,mainroad29[SEPTEMBER])</f>
        <v>4140</v>
      </c>
      <c r="P36" s="34">
        <f>SUBTOTAL(109,mainroad29[OCTOBER])</f>
        <v>0</v>
      </c>
      <c r="Q36" s="34">
        <f>SUBTOTAL(109,mainroad29[NOVEMBER])</f>
        <v>0</v>
      </c>
      <c r="R36" s="34">
        <f>SUBTOTAL(109,mainroad29[DECEMBER])</f>
        <v>0</v>
      </c>
      <c r="S36" s="34">
        <f>SUBTOTAL(109,mainroad29[BALANCE])</f>
        <v>0</v>
      </c>
    </row>
    <row r="38" spans="1:20" x14ac:dyDescent="0.25">
      <c r="B38" s="39" t="s">
        <v>299</v>
      </c>
      <c r="C38" s="45">
        <f>COUNTIF(C2:C31,"P")</f>
        <v>0</v>
      </c>
    </row>
    <row r="39" spans="1:20" x14ac:dyDescent="0.25">
      <c r="B39" s="33"/>
      <c r="C39" s="33"/>
      <c r="D39"/>
    </row>
    <row r="40" spans="1:20" x14ac:dyDescent="0.25">
      <c r="B40" s="35" t="s">
        <v>300</v>
      </c>
      <c r="C40" s="43">
        <f>COUNTIF(C2:C35,"P")</f>
        <v>0</v>
      </c>
      <c r="D40" s="53"/>
    </row>
    <row r="41" spans="1:20" x14ac:dyDescent="0.25">
      <c r="B41" s="36" t="s">
        <v>301</v>
      </c>
      <c r="C41" s="42">
        <f>COUNTIF(C2:C35,"NP")</f>
        <v>0</v>
      </c>
    </row>
    <row r="42" spans="1:20" x14ac:dyDescent="0.25">
      <c r="B42" s="33"/>
      <c r="C42" s="33"/>
    </row>
    <row r="43" spans="1:20" x14ac:dyDescent="0.25">
      <c r="B43" s="39" t="s">
        <v>302</v>
      </c>
      <c r="C43" s="39">
        <f>C40+C41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T37"/>
  <sheetViews>
    <sheetView topLeftCell="A15" zoomScale="115" zoomScaleNormal="115" workbookViewId="0">
      <selection activeCell="E23" sqref="E23"/>
    </sheetView>
  </sheetViews>
  <sheetFormatPr defaultRowHeight="15" x14ac:dyDescent="0.25"/>
  <cols>
    <col min="1" max="1" width="6.42578125" style="61" customWidth="1"/>
    <col min="2" max="2" width="22" style="61" customWidth="1"/>
    <col min="3" max="3" width="8" style="61" customWidth="1"/>
    <col min="4" max="4" width="29.140625" style="61" customWidth="1"/>
    <col min="5" max="5" width="21.7109375" style="61" customWidth="1"/>
    <col min="6" max="6" width="9.140625" style="61" customWidth="1"/>
    <col min="7" max="14" width="10.42578125" style="17" hidden="1" customWidth="1"/>
    <col min="15" max="18" width="10.42578125" style="17" customWidth="1"/>
    <col min="19" max="19" width="10.42578125" style="61" customWidth="1"/>
    <col min="20" max="20" width="36.42578125" style="61" customWidth="1"/>
    <col min="21" max="16384" width="9.140625" style="6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44" t="s">
        <v>19</v>
      </c>
    </row>
    <row r="2" spans="1:20" x14ac:dyDescent="0.25">
      <c r="A2">
        <v>1</v>
      </c>
      <c r="B2" t="s">
        <v>728</v>
      </c>
      <c r="C2" s="63" t="str" cm="1">
        <f t="array" ref="C2">_xlfn.IFS(bharathipuram130[[#This Row],[OCTOBER]]="M","M",bharathipuram130[[#This Row],[OCTOBER]]="A","A",bharathipuram130[[#This Row],[OCTOBER]]="","",bharathipuram130[[#This Row],[OCTOBER]]&gt;100,"P")</f>
        <v/>
      </c>
      <c r="D2" t="s">
        <v>78</v>
      </c>
      <c r="E2" s="44" t="s">
        <v>1560</v>
      </c>
      <c r="F2" s="44" t="s">
        <v>1561</v>
      </c>
      <c r="M2" s="17">
        <v>200</v>
      </c>
      <c r="N2" s="17">
        <v>200</v>
      </c>
      <c r="O2" s="17">
        <v>200</v>
      </c>
      <c r="S2" s="17"/>
      <c r="T2" s="44"/>
    </row>
    <row r="3" spans="1:20" x14ac:dyDescent="0.25">
      <c r="A3">
        <v>2</v>
      </c>
      <c r="B3" t="s">
        <v>1562</v>
      </c>
      <c r="C3" s="63" t="str" cm="1">
        <f t="array" ref="C3">_xlfn.IFS(bharathipuram130[[#This Row],[OCTOBER]]="M","M",bharathipuram130[[#This Row],[OCTOBER]]="A","A",bharathipuram130[[#This Row],[OCTOBER]]="","",bharathipuram130[[#This Row],[OCTOBER]]&gt;100,"P")</f>
        <v/>
      </c>
      <c r="D3" t="s">
        <v>35</v>
      </c>
      <c r="E3" s="44" t="s">
        <v>1563</v>
      </c>
      <c r="F3" s="44" t="s">
        <v>1564</v>
      </c>
      <c r="M3" s="17">
        <v>200</v>
      </c>
      <c r="N3" s="17">
        <v>200</v>
      </c>
      <c r="S3" s="17"/>
      <c r="T3" s="44"/>
    </row>
    <row r="4" spans="1:20" x14ac:dyDescent="0.25">
      <c r="A4">
        <v>3</v>
      </c>
      <c r="B4" t="s">
        <v>312</v>
      </c>
      <c r="C4" s="63" t="str" cm="1">
        <f t="array" ref="C4">_xlfn.IFS(bharathipuram130[[#This Row],[OCTOBER]]="M","M",bharathipuram130[[#This Row],[OCTOBER]]="A","A",bharathipuram130[[#This Row],[OCTOBER]]="","",bharathipuram130[[#This Row],[OCTOBER]]&gt;100,"P")</f>
        <v/>
      </c>
      <c r="D4" t="s">
        <v>35</v>
      </c>
      <c r="E4" s="44" t="s">
        <v>1565</v>
      </c>
      <c r="F4" s="44" t="s">
        <v>1566</v>
      </c>
      <c r="N4" s="17">
        <v>200</v>
      </c>
      <c r="O4" s="17">
        <v>200</v>
      </c>
      <c r="S4" s="17"/>
      <c r="T4" s="44"/>
    </row>
    <row r="5" spans="1:20" x14ac:dyDescent="0.25">
      <c r="A5">
        <v>4</v>
      </c>
      <c r="B5" t="s">
        <v>156</v>
      </c>
      <c r="C5" s="63" t="str" cm="1">
        <f t="array" ref="C5">_xlfn.IFS(bharathipuram130[[#This Row],[OCTOBER]]="M","M",bharathipuram130[[#This Row],[OCTOBER]]="A","A",bharathipuram130[[#This Row],[OCTOBER]]="","",bharathipuram130[[#This Row],[OCTOBER]]&gt;100,"P")</f>
        <v/>
      </c>
      <c r="D5" t="s">
        <v>35</v>
      </c>
      <c r="E5" s="44" t="s">
        <v>1567</v>
      </c>
      <c r="F5" s="44" t="s">
        <v>1568</v>
      </c>
      <c r="M5" s="17">
        <v>200</v>
      </c>
      <c r="N5" s="17">
        <v>200</v>
      </c>
      <c r="O5" s="17">
        <v>200</v>
      </c>
      <c r="S5" s="17"/>
      <c r="T5" s="44"/>
    </row>
    <row r="6" spans="1:20" x14ac:dyDescent="0.25">
      <c r="A6">
        <v>5</v>
      </c>
      <c r="B6" t="s">
        <v>1229</v>
      </c>
      <c r="C6" s="63" t="str" cm="1">
        <f t="array" ref="C6">_xlfn.IFS(bharathipuram130[[#This Row],[OCTOBER]]="M","M",bharathipuram130[[#This Row],[OCTOBER]]="A","A",bharathipuram130[[#This Row],[OCTOBER]]="","",bharathipuram130[[#This Row],[OCTOBER]]&gt;100,"P")</f>
        <v/>
      </c>
      <c r="D6" t="s">
        <v>78</v>
      </c>
      <c r="E6" s="44" t="s">
        <v>1569</v>
      </c>
      <c r="F6" s="44" t="s">
        <v>1570</v>
      </c>
      <c r="M6" s="17">
        <v>200</v>
      </c>
      <c r="N6" s="17">
        <v>200</v>
      </c>
      <c r="O6" s="17">
        <v>200</v>
      </c>
      <c r="S6" s="17"/>
      <c r="T6" s="44"/>
    </row>
    <row r="7" spans="1:20" x14ac:dyDescent="0.25">
      <c r="A7">
        <v>7</v>
      </c>
      <c r="B7" t="s">
        <v>138</v>
      </c>
      <c r="C7" s="63" t="str" cm="1">
        <f t="array" ref="C7">_xlfn.IFS(bharathipuram130[[#This Row],[OCTOBER]]="M","M",bharathipuram130[[#This Row],[OCTOBER]]="A","A",bharathipuram130[[#This Row],[OCTOBER]]="","",bharathipuram130[[#This Row],[OCTOBER]]&gt;100,"P")</f>
        <v/>
      </c>
      <c r="D7" t="s">
        <v>21</v>
      </c>
      <c r="E7" s="44" t="s">
        <v>1571</v>
      </c>
      <c r="F7" s="44" t="s">
        <v>1572</v>
      </c>
      <c r="M7" s="17">
        <v>200</v>
      </c>
      <c r="N7" s="17">
        <v>200</v>
      </c>
      <c r="O7" s="17">
        <v>200</v>
      </c>
      <c r="S7" s="17"/>
      <c r="T7" s="44"/>
    </row>
    <row r="8" spans="1:20" x14ac:dyDescent="0.25">
      <c r="A8">
        <v>8</v>
      </c>
      <c r="B8" t="s">
        <v>1573</v>
      </c>
      <c r="C8" s="63" t="str" cm="1">
        <f t="array" ref="C8">_xlfn.IFS(bharathipuram130[[#This Row],[OCTOBER]]="M","M",bharathipuram130[[#This Row],[OCTOBER]]="A","A",bharathipuram130[[#This Row],[OCTOBER]]="","",bharathipuram130[[#This Row],[OCTOBER]]&gt;100,"P")</f>
        <v/>
      </c>
      <c r="D8" t="s">
        <v>78</v>
      </c>
      <c r="E8" s="44" t="s">
        <v>1574</v>
      </c>
      <c r="F8" s="44" t="s">
        <v>1575</v>
      </c>
      <c r="M8" s="17">
        <v>200</v>
      </c>
      <c r="N8" s="17">
        <v>200</v>
      </c>
      <c r="O8" s="17">
        <v>200</v>
      </c>
      <c r="S8" s="17"/>
      <c r="T8" s="44"/>
    </row>
    <row r="9" spans="1:20" x14ac:dyDescent="0.25">
      <c r="A9">
        <v>9</v>
      </c>
      <c r="B9" t="s">
        <v>614</v>
      </c>
      <c r="C9" s="63" t="str" cm="1">
        <f t="array" ref="C9">_xlfn.IFS(bharathipuram130[[#This Row],[OCTOBER]]="M","M",bharathipuram130[[#This Row],[OCTOBER]]="A","A",bharathipuram130[[#This Row],[OCTOBER]]="","",bharathipuram130[[#This Row],[OCTOBER]]&gt;100,"P")</f>
        <v/>
      </c>
      <c r="D9" t="s">
        <v>21</v>
      </c>
      <c r="E9" s="44" t="s">
        <v>1576</v>
      </c>
      <c r="F9" s="44" t="s">
        <v>1577</v>
      </c>
      <c r="M9" s="17">
        <v>200</v>
      </c>
      <c r="N9" s="17">
        <v>200</v>
      </c>
      <c r="O9" s="17">
        <v>230</v>
      </c>
      <c r="S9" s="17"/>
      <c r="T9" s="44"/>
    </row>
    <row r="10" spans="1:20" x14ac:dyDescent="0.25">
      <c r="A10">
        <v>10</v>
      </c>
      <c r="B10" t="s">
        <v>1303</v>
      </c>
      <c r="C10" s="63" t="str" cm="1">
        <f t="array" ref="C10">_xlfn.IFS(bharathipuram130[[#This Row],[OCTOBER]]="M","M",bharathipuram130[[#This Row],[OCTOBER]]="A","A",bharathipuram130[[#This Row],[OCTOBER]]="","",bharathipuram130[[#This Row],[OCTOBER]]&gt;100,"P")</f>
        <v/>
      </c>
      <c r="D10" t="s">
        <v>78</v>
      </c>
      <c r="E10" s="44" t="s">
        <v>1578</v>
      </c>
      <c r="F10" s="44" t="s">
        <v>1579</v>
      </c>
      <c r="M10" s="17">
        <v>200</v>
      </c>
      <c r="N10" s="17">
        <v>200</v>
      </c>
      <c r="O10" s="17">
        <v>200</v>
      </c>
      <c r="S10" s="17"/>
      <c r="T10" s="44"/>
    </row>
    <row r="11" spans="1:20" x14ac:dyDescent="0.25">
      <c r="A11">
        <v>11</v>
      </c>
      <c r="B11" t="s">
        <v>1072</v>
      </c>
      <c r="C11" s="63" t="str" cm="1">
        <f t="array" ref="C11">_xlfn.IFS(bharathipuram130[[#This Row],[OCTOBER]]="M","M",bharathipuram130[[#This Row],[OCTOBER]]="A","A",bharathipuram130[[#This Row],[OCTOBER]]="","",bharathipuram130[[#This Row],[OCTOBER]]&gt;100,"P")</f>
        <v/>
      </c>
      <c r="D11" t="s">
        <v>35</v>
      </c>
      <c r="E11" s="44" t="s">
        <v>1580</v>
      </c>
      <c r="F11" s="44" t="s">
        <v>1581</v>
      </c>
      <c r="M11" s="17">
        <v>150</v>
      </c>
      <c r="N11" s="17">
        <v>150</v>
      </c>
      <c r="O11" s="17">
        <v>150</v>
      </c>
      <c r="S11" s="17"/>
      <c r="T11" s="44"/>
    </row>
    <row r="12" spans="1:20" x14ac:dyDescent="0.25">
      <c r="A12">
        <v>12</v>
      </c>
      <c r="B12" t="s">
        <v>816</v>
      </c>
      <c r="C12" s="63" t="str" cm="1">
        <f t="array" ref="C12">_xlfn.IFS(bharathipuram130[[#This Row],[OCTOBER]]="M","M",bharathipuram130[[#This Row],[OCTOBER]]="A","A",bharathipuram130[[#This Row],[OCTOBER]]="","",bharathipuram130[[#This Row],[OCTOBER]]&gt;100,"P")</f>
        <v/>
      </c>
      <c r="D12" t="s">
        <v>78</v>
      </c>
      <c r="E12" s="44" t="s">
        <v>1582</v>
      </c>
      <c r="F12" s="44" t="s">
        <v>1583</v>
      </c>
      <c r="N12" s="17">
        <v>400</v>
      </c>
      <c r="O12" s="17">
        <v>220</v>
      </c>
      <c r="S12" s="17"/>
      <c r="T12" s="44"/>
    </row>
    <row r="13" spans="1:20" x14ac:dyDescent="0.25">
      <c r="A13">
        <v>13</v>
      </c>
      <c r="B13" t="s">
        <v>1584</v>
      </c>
      <c r="C13" s="63" t="str" cm="1">
        <f t="array" ref="C13">_xlfn.IFS(bharathipuram130[[#This Row],[OCTOBER]]="M","M",bharathipuram130[[#This Row],[OCTOBER]]="A","A",bharathipuram130[[#This Row],[OCTOBER]]="","",bharathipuram130[[#This Row],[OCTOBER]]&gt;100,"P")</f>
        <v/>
      </c>
      <c r="D13" t="s">
        <v>78</v>
      </c>
      <c r="E13" s="44" t="s">
        <v>1585</v>
      </c>
      <c r="F13" s="44" t="s">
        <v>1586</v>
      </c>
      <c r="M13" s="17">
        <v>200</v>
      </c>
      <c r="N13" s="17">
        <v>200</v>
      </c>
      <c r="O13" s="17">
        <v>200</v>
      </c>
      <c r="S13" s="17"/>
      <c r="T13" s="44"/>
    </row>
    <row r="14" spans="1:20" x14ac:dyDescent="0.25">
      <c r="A14">
        <v>14</v>
      </c>
      <c r="B14" t="s">
        <v>1587</v>
      </c>
      <c r="C14" s="63" t="str" cm="1">
        <f t="array" ref="C14">_xlfn.IFS(bharathipuram130[[#This Row],[OCTOBER]]="M","M",bharathipuram130[[#This Row],[OCTOBER]]="A","A",bharathipuram130[[#This Row],[OCTOBER]]="","",bharathipuram130[[#This Row],[OCTOBER]]&gt;100,"P")</f>
        <v/>
      </c>
      <c r="D14" t="s">
        <v>35</v>
      </c>
      <c r="E14" s="44" t="s">
        <v>1588</v>
      </c>
      <c r="F14" s="44" t="s">
        <v>1589</v>
      </c>
      <c r="O14" s="17">
        <v>200</v>
      </c>
      <c r="S14" s="17"/>
      <c r="T14" s="44"/>
    </row>
    <row r="15" spans="1:20" x14ac:dyDescent="0.25">
      <c r="A15">
        <v>15</v>
      </c>
      <c r="B15" t="s">
        <v>1590</v>
      </c>
      <c r="C15" s="63" t="str" cm="1">
        <f t="array" ref="C15">_xlfn.IFS(bharathipuram130[[#This Row],[OCTOBER]]="M","M",bharathipuram130[[#This Row],[OCTOBER]]="A","A",bharathipuram130[[#This Row],[OCTOBER]]="","",bharathipuram130[[#This Row],[OCTOBER]]&gt;100,"P")</f>
        <v/>
      </c>
      <c r="D15" t="s">
        <v>35</v>
      </c>
      <c r="E15" s="44" t="s">
        <v>1591</v>
      </c>
      <c r="F15" s="44" t="s">
        <v>1592</v>
      </c>
      <c r="M15" s="17">
        <v>200</v>
      </c>
      <c r="N15" s="17">
        <v>200</v>
      </c>
      <c r="O15" s="17">
        <v>200</v>
      </c>
      <c r="S15" s="17"/>
      <c r="T15" s="44"/>
    </row>
    <row r="16" spans="1:20" x14ac:dyDescent="0.25">
      <c r="A16">
        <v>16</v>
      </c>
      <c r="B16" t="s">
        <v>103</v>
      </c>
      <c r="C16" s="63" t="str" cm="1">
        <f t="array" ref="C16">_xlfn.IFS(bharathipuram130[[#This Row],[OCTOBER]]="M","M",bharathipuram130[[#This Row],[OCTOBER]]="A","A",bharathipuram130[[#This Row],[OCTOBER]]="","",bharathipuram130[[#This Row],[OCTOBER]]&gt;100,"P")</f>
        <v/>
      </c>
      <c r="D16" s="61" t="s">
        <v>35</v>
      </c>
      <c r="E16" s="44" t="s">
        <v>2387</v>
      </c>
      <c r="F16" s="44" t="s">
        <v>1593</v>
      </c>
      <c r="N16" s="17">
        <v>200</v>
      </c>
      <c r="S16" s="17"/>
      <c r="T16" s="44"/>
    </row>
    <row r="17" spans="1:20" x14ac:dyDescent="0.25">
      <c r="A17">
        <v>17</v>
      </c>
      <c r="B17" t="s">
        <v>1594</v>
      </c>
      <c r="C17" s="63" t="str" cm="1">
        <f t="array" ref="C17">_xlfn.IFS(bharathipuram130[[#This Row],[OCTOBER]]="M","M",bharathipuram130[[#This Row],[OCTOBER]]="A","A",bharathipuram130[[#This Row],[OCTOBER]]="","",bharathipuram130[[#This Row],[OCTOBER]]&gt;100,"P")</f>
        <v/>
      </c>
      <c r="D17" t="s">
        <v>1120</v>
      </c>
      <c r="E17" s="44" t="s">
        <v>1595</v>
      </c>
      <c r="F17" s="44" t="s">
        <v>1596</v>
      </c>
      <c r="M17" s="17">
        <v>150</v>
      </c>
      <c r="N17" s="17">
        <v>250</v>
      </c>
      <c r="O17" s="17">
        <v>200</v>
      </c>
      <c r="S17" s="17"/>
      <c r="T17" s="44"/>
    </row>
    <row r="18" spans="1:20" x14ac:dyDescent="0.25">
      <c r="A18">
        <v>19</v>
      </c>
      <c r="B18" t="s">
        <v>1597</v>
      </c>
      <c r="C18" s="63" t="str" cm="1">
        <f t="array" ref="C18">_xlfn.IFS(bharathipuram130[[#This Row],[OCTOBER]]="M","M",bharathipuram130[[#This Row],[OCTOBER]]="A","A",bharathipuram130[[#This Row],[OCTOBER]]="","",bharathipuram130[[#This Row],[OCTOBER]]&gt;100,"P")</f>
        <v/>
      </c>
      <c r="D18" t="s">
        <v>78</v>
      </c>
      <c r="E18" s="44" t="s">
        <v>1598</v>
      </c>
      <c r="F18" s="44" t="s">
        <v>1599</v>
      </c>
      <c r="M18" s="17">
        <v>200</v>
      </c>
      <c r="N18" s="17">
        <v>200</v>
      </c>
      <c r="O18" s="17">
        <v>200</v>
      </c>
      <c r="S18" s="17"/>
      <c r="T18" s="44"/>
    </row>
    <row r="19" spans="1:20" x14ac:dyDescent="0.25">
      <c r="A19">
        <v>20</v>
      </c>
      <c r="B19" t="s">
        <v>676</v>
      </c>
      <c r="C19" s="63" t="str" cm="1">
        <f t="array" ref="C19">_xlfn.IFS(bharathipuram130[[#This Row],[OCTOBER]]="M","M",bharathipuram130[[#This Row],[OCTOBER]]="A","A",bharathipuram130[[#This Row],[OCTOBER]]="","",bharathipuram130[[#This Row],[OCTOBER]]&gt;100,"P")</f>
        <v/>
      </c>
      <c r="D19" t="s">
        <v>35</v>
      </c>
      <c r="E19" s="44" t="s">
        <v>1600</v>
      </c>
      <c r="F19" s="44" t="s">
        <v>1601</v>
      </c>
      <c r="M19" s="17">
        <v>200</v>
      </c>
      <c r="N19" s="17">
        <v>200</v>
      </c>
      <c r="O19" s="17">
        <v>200</v>
      </c>
      <c r="S19" s="17"/>
      <c r="T19" s="44"/>
    </row>
    <row r="20" spans="1:20" x14ac:dyDescent="0.25">
      <c r="A20">
        <v>21</v>
      </c>
      <c r="B20" t="s">
        <v>1602</v>
      </c>
      <c r="C20" s="63" t="str" cm="1">
        <f t="array" ref="C20">_xlfn.IFS(bharathipuram130[[#This Row],[OCTOBER]]="M","M",bharathipuram130[[#This Row],[OCTOBER]]="A","A",bharathipuram130[[#This Row],[OCTOBER]]="","",bharathipuram130[[#This Row],[OCTOBER]]&gt;100,"P")</f>
        <v/>
      </c>
      <c r="D20" t="s">
        <v>35</v>
      </c>
      <c r="E20" s="44" t="s">
        <v>1603</v>
      </c>
      <c r="F20" s="44" t="s">
        <v>1604</v>
      </c>
      <c r="M20" s="17">
        <v>200</v>
      </c>
      <c r="N20" s="17">
        <v>200</v>
      </c>
      <c r="O20" s="17">
        <v>200</v>
      </c>
      <c r="S20" s="17"/>
      <c r="T20" s="44"/>
    </row>
    <row r="21" spans="1:20" x14ac:dyDescent="0.25">
      <c r="A21">
        <v>22</v>
      </c>
      <c r="B21" t="s">
        <v>1605</v>
      </c>
      <c r="C21" s="63" t="str" cm="1">
        <f t="array" ref="C21">_xlfn.IFS(bharathipuram130[[#This Row],[OCTOBER]]="M","M",bharathipuram130[[#This Row],[OCTOBER]]="A","A",bharathipuram130[[#This Row],[OCTOBER]]="","",bharathipuram130[[#This Row],[OCTOBER]]&gt;100,"P")</f>
        <v/>
      </c>
      <c r="D21" t="s">
        <v>78</v>
      </c>
      <c r="E21" s="44" t="s">
        <v>1606</v>
      </c>
      <c r="F21" s="44" t="s">
        <v>1607</v>
      </c>
      <c r="M21" s="17">
        <v>200</v>
      </c>
      <c r="N21" s="17">
        <v>200</v>
      </c>
      <c r="O21" s="17">
        <v>200</v>
      </c>
      <c r="S21" s="17"/>
      <c r="T21" s="44"/>
    </row>
    <row r="22" spans="1:20" x14ac:dyDescent="0.25">
      <c r="A22">
        <v>23</v>
      </c>
      <c r="B22" t="s">
        <v>1308</v>
      </c>
      <c r="C22" s="63" t="str" cm="1">
        <f t="array" ref="C22">_xlfn.IFS(bharathipuram130[[#This Row],[OCTOBER]]="M","M",bharathipuram130[[#This Row],[OCTOBER]]="A","A",bharathipuram130[[#This Row],[OCTOBER]]="","",bharathipuram130[[#This Row],[OCTOBER]]&gt;100,"P")</f>
        <v/>
      </c>
      <c r="D22" t="s">
        <v>35</v>
      </c>
      <c r="E22" s="44" t="s">
        <v>1608</v>
      </c>
      <c r="F22" s="44" t="s">
        <v>1609</v>
      </c>
      <c r="M22" s="17">
        <v>200</v>
      </c>
      <c r="N22" s="17">
        <v>220</v>
      </c>
      <c r="S22" s="17"/>
      <c r="T22" s="44"/>
    </row>
    <row r="23" spans="1:20" x14ac:dyDescent="0.25">
      <c r="A23">
        <v>24</v>
      </c>
      <c r="B23" t="s">
        <v>1610</v>
      </c>
      <c r="C23" s="63" t="str" cm="1">
        <f t="array" ref="C23">_xlfn.IFS(bharathipuram130[[#This Row],[OCTOBER]]="M","M",bharathipuram130[[#This Row],[OCTOBER]]="A","A",bharathipuram130[[#This Row],[OCTOBER]]="","",bharathipuram130[[#This Row],[OCTOBER]]&gt;100,"P")</f>
        <v/>
      </c>
      <c r="D23" t="s">
        <v>78</v>
      </c>
      <c r="E23" s="44" t="s">
        <v>1611</v>
      </c>
      <c r="F23" s="44" t="s">
        <v>1612</v>
      </c>
      <c r="M23" s="17">
        <v>400</v>
      </c>
      <c r="N23" s="17">
        <v>200</v>
      </c>
      <c r="O23" s="17">
        <v>200</v>
      </c>
      <c r="S23" s="17"/>
      <c r="T23" s="44"/>
    </row>
    <row r="24" spans="1:20" x14ac:dyDescent="0.25">
      <c r="A24">
        <v>25</v>
      </c>
      <c r="B24" t="s">
        <v>987</v>
      </c>
      <c r="C24" s="63" t="str" cm="1">
        <f t="array" ref="C24">_xlfn.IFS(bharathipuram130[[#This Row],[OCTOBER]]="M","M",bharathipuram130[[#This Row],[OCTOBER]]="A","A",bharathipuram130[[#This Row],[OCTOBER]]="","",bharathipuram130[[#This Row],[OCTOBER]]&gt;100,"P")</f>
        <v/>
      </c>
      <c r="D24" t="s">
        <v>21</v>
      </c>
      <c r="E24" s="44" t="s">
        <v>1613</v>
      </c>
      <c r="F24" s="44" t="s">
        <v>1614</v>
      </c>
      <c r="M24" s="17">
        <v>200</v>
      </c>
      <c r="N24" s="17">
        <v>200</v>
      </c>
      <c r="O24" s="17">
        <v>200</v>
      </c>
      <c r="S24" s="17"/>
      <c r="T24" s="44"/>
    </row>
    <row r="25" spans="1:20" x14ac:dyDescent="0.25">
      <c r="A25">
        <v>26</v>
      </c>
      <c r="B25" t="s">
        <v>1615</v>
      </c>
      <c r="C25" s="63" t="str" cm="1">
        <f t="array" ref="C25">_xlfn.IFS(bharathipuram130[[#This Row],[OCTOBER]]="M","M",bharathipuram130[[#This Row],[OCTOBER]]="A","A",bharathipuram130[[#This Row],[OCTOBER]]="","",bharathipuram130[[#This Row],[OCTOBER]]&gt;100,"P")</f>
        <v/>
      </c>
      <c r="D25" t="s">
        <v>21</v>
      </c>
      <c r="E25" s="44" t="s">
        <v>1616</v>
      </c>
      <c r="F25" s="44" t="s">
        <v>1617</v>
      </c>
      <c r="N25" s="17">
        <v>200</v>
      </c>
      <c r="O25" s="17">
        <v>200</v>
      </c>
      <c r="S25" s="17"/>
      <c r="T25" s="44"/>
    </row>
    <row r="26" spans="1:20" x14ac:dyDescent="0.25">
      <c r="A26">
        <v>27</v>
      </c>
      <c r="B26" t="s">
        <v>383</v>
      </c>
      <c r="C26" s="63" t="str" cm="1">
        <f t="array" ref="C26">_xlfn.IFS(bharathipuram130[[#This Row],[OCTOBER]]="M","M",bharathipuram130[[#This Row],[OCTOBER]]="A","A",bharathipuram130[[#This Row],[OCTOBER]]="","",bharathipuram130[[#This Row],[OCTOBER]]&gt;100,"P")</f>
        <v/>
      </c>
      <c r="D26" t="s">
        <v>35</v>
      </c>
      <c r="E26" s="44" t="s">
        <v>1618</v>
      </c>
      <c r="F26" s="44" t="s">
        <v>1619</v>
      </c>
      <c r="N26" s="17">
        <v>200</v>
      </c>
      <c r="O26" s="17">
        <v>200</v>
      </c>
      <c r="S26" s="17"/>
      <c r="T26" s="44"/>
    </row>
    <row r="27" spans="1:20" x14ac:dyDescent="0.25">
      <c r="A27">
        <v>28</v>
      </c>
      <c r="B27" t="s">
        <v>580</v>
      </c>
      <c r="C27" s="63" t="str" cm="1">
        <f t="array" ref="C27">_xlfn.IFS(bharathipuram130[[#This Row],[OCTOBER]]="M","M",bharathipuram130[[#This Row],[OCTOBER]]="A","A",bharathipuram130[[#This Row],[OCTOBER]]="","",bharathipuram130[[#This Row],[OCTOBER]]&gt;100,"P")</f>
        <v/>
      </c>
      <c r="D27" t="s">
        <v>35</v>
      </c>
      <c r="E27" s="44" t="s">
        <v>1620</v>
      </c>
      <c r="F27" s="44" t="s">
        <v>1621</v>
      </c>
      <c r="N27" s="17" t="s">
        <v>1622</v>
      </c>
      <c r="O27" s="17">
        <v>200</v>
      </c>
      <c r="S27" s="17"/>
      <c r="T27" s="44"/>
    </row>
    <row r="28" spans="1:20" x14ac:dyDescent="0.25">
      <c r="A28">
        <v>29</v>
      </c>
      <c r="B28" t="s">
        <v>312</v>
      </c>
      <c r="C28" s="63" t="str" cm="1">
        <f t="array" ref="C28">_xlfn.IFS(bharathipuram130[[#This Row],[OCTOBER]]="M","M",bharathipuram130[[#This Row],[OCTOBER]]="A","A",bharathipuram130[[#This Row],[OCTOBER]]="","",bharathipuram130[[#This Row],[OCTOBER]]&gt;100,"P")</f>
        <v/>
      </c>
      <c r="D28" t="s">
        <v>35</v>
      </c>
      <c r="E28" s="44" t="s">
        <v>1623</v>
      </c>
      <c r="F28" s="44" t="s">
        <v>1624</v>
      </c>
      <c r="O28" s="17">
        <v>200</v>
      </c>
      <c r="S28" s="17"/>
      <c r="T28" s="44"/>
    </row>
    <row r="29" spans="1:20" x14ac:dyDescent="0.25">
      <c r="A29">
        <v>30</v>
      </c>
      <c r="B29" t="s">
        <v>1625</v>
      </c>
      <c r="C29" s="63" t="str" cm="1">
        <f t="array" ref="C29">_xlfn.IFS(bharathipuram130[[#This Row],[OCTOBER]]="M","M",bharathipuram130[[#This Row],[OCTOBER]]="A","A",bharathipuram130[[#This Row],[OCTOBER]]="","",bharathipuram130[[#This Row],[OCTOBER]]&gt;100,"P")</f>
        <v/>
      </c>
      <c r="D29" t="s">
        <v>78</v>
      </c>
      <c r="E29" s="44" t="s">
        <v>1626</v>
      </c>
      <c r="F29" s="44" t="s">
        <v>1627</v>
      </c>
      <c r="S29" s="17"/>
      <c r="T29" s="44"/>
    </row>
    <row r="30" spans="1:20" s="33" customFormat="1" x14ac:dyDescent="0.25">
      <c r="A30" s="33" t="s">
        <v>298</v>
      </c>
      <c r="D30" s="33">
        <f>SUBTOTAL(103,bharathipuram130[Package])</f>
        <v>28</v>
      </c>
      <c r="E30" s="33">
        <f>SUBTOTAL(103,bharathipuram130[Box No])</f>
        <v>28</v>
      </c>
      <c r="F30" s="33">
        <f>SUBTOTAL(103,bharathipuram130[CAF_ID])</f>
        <v>28</v>
      </c>
      <c r="G30" s="65">
        <f>SUBTOTAL(109,bharathipuram130[JANUARY])</f>
        <v>0</v>
      </c>
      <c r="H30" s="65">
        <f>SUBTOTAL(109,bharathipuram130[FEBEUARY])</f>
        <v>0</v>
      </c>
      <c r="I30" s="65">
        <f>SUBTOTAL(109,bharathipuram130[MARCH])</f>
        <v>0</v>
      </c>
      <c r="J30" s="65">
        <f>SUBTOTAL(109,bharathipuram130[APRIL])</f>
        <v>0</v>
      </c>
      <c r="K30" s="65">
        <f>SUBTOTAL(109,bharathipuram130[MAY])</f>
        <v>0</v>
      </c>
      <c r="L30" s="65">
        <f>SUBTOTAL(109,bharathipuram130[JUNE])</f>
        <v>0</v>
      </c>
      <c r="M30" s="65">
        <f>SUBTOTAL(109,bharathipuram130[JULY])</f>
        <v>3900</v>
      </c>
      <c r="N30" s="65">
        <f>SUBTOTAL(109,bharathipuram130[AUGUST])</f>
        <v>5020</v>
      </c>
      <c r="O30" s="65">
        <f>SUBTOTAL(109,bharathipuram130[SEPTEMBER])</f>
        <v>4800</v>
      </c>
      <c r="P30" s="65">
        <f>SUBTOTAL(109,bharathipuram130[OCTOBER])</f>
        <v>0</v>
      </c>
      <c r="Q30" s="65">
        <f>SUBTOTAL(109,bharathipuram130[NOVEMBER])</f>
        <v>0</v>
      </c>
      <c r="R30" s="65">
        <f>SUBTOTAL(109,bharathipuram130[DECEMBER])</f>
        <v>0</v>
      </c>
      <c r="S30" s="65">
        <f>SUBTOTAL(109,bharathipuram130[BALANCE])</f>
        <v>0</v>
      </c>
      <c r="T30" s="65"/>
    </row>
    <row r="32" spans="1:20" x14ac:dyDescent="0.25">
      <c r="B32" s="39" t="s">
        <v>299</v>
      </c>
      <c r="C32" s="39">
        <f>COUNTIF(bharathipuram130[PAID],"P")</f>
        <v>0</v>
      </c>
    </row>
    <row r="33" spans="2:4" x14ac:dyDescent="0.25">
      <c r="B33" s="33"/>
      <c r="C33" s="33"/>
      <c r="D33"/>
    </row>
    <row r="34" spans="2:4" x14ac:dyDescent="0.25">
      <c r="B34" s="35" t="s">
        <v>300</v>
      </c>
      <c r="C34" s="43">
        <f>COUNTIF(C2:C29,"P")</f>
        <v>0</v>
      </c>
      <c r="D34" s="53"/>
    </row>
    <row r="35" spans="2:4" x14ac:dyDescent="0.25">
      <c r="B35" s="36" t="s">
        <v>301</v>
      </c>
      <c r="C35" s="42">
        <f>COUNTIF(C2:C29,"NP")</f>
        <v>0</v>
      </c>
    </row>
    <row r="36" spans="2:4" x14ac:dyDescent="0.25">
      <c r="B36" s="33"/>
      <c r="C36" s="33"/>
    </row>
    <row r="37" spans="2:4" x14ac:dyDescent="0.25">
      <c r="B37" s="39" t="s">
        <v>302</v>
      </c>
      <c r="C37" s="39">
        <f>C34+C35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T39"/>
  <sheetViews>
    <sheetView topLeftCell="A15" zoomScale="115" zoomScaleNormal="115" workbookViewId="0">
      <selection activeCell="E24" sqref="E24"/>
    </sheetView>
  </sheetViews>
  <sheetFormatPr defaultRowHeight="15" x14ac:dyDescent="0.25"/>
  <cols>
    <col min="1" max="1" width="6" style="61" customWidth="1"/>
    <col min="2" max="2" width="22.85546875" style="61" customWidth="1"/>
    <col min="3" max="3" width="7.5703125" style="61" customWidth="1"/>
    <col min="4" max="4" width="32.42578125" style="61" customWidth="1"/>
    <col min="5" max="5" width="22.85546875" style="61" customWidth="1"/>
    <col min="6" max="6" width="9.140625" style="61" customWidth="1"/>
    <col min="7" max="14" width="10.5703125" style="18" hidden="1" customWidth="1"/>
    <col min="15" max="18" width="10.5703125" style="18" customWidth="1"/>
    <col min="19" max="19" width="10.5703125" style="61" customWidth="1"/>
    <col min="20" max="20" width="36.28515625" style="61" customWidth="1"/>
    <col min="21" max="16384" width="9.140625" style="6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44" t="s">
        <v>19</v>
      </c>
    </row>
    <row r="2" spans="1:20" x14ac:dyDescent="0.25">
      <c r="A2">
        <v>1</v>
      </c>
      <c r="B2" t="s">
        <v>1628</v>
      </c>
      <c r="C2" t="str" cm="1">
        <f t="array" ref="C2">_xlfn.IFS(bharathipuram231[[#This Row],[OCTOBER]]="M","M",bharathipuram231[[#This Row],[OCTOBER]]="A","A",bharathipuram231[[#This Row],[OCTOBER]]="","",bharathipuram231[[#This Row],[OCTOBER]]&gt;100,"P")</f>
        <v/>
      </c>
      <c r="D2" t="s">
        <v>21</v>
      </c>
      <c r="E2" s="44" t="s">
        <v>1629</v>
      </c>
      <c r="F2" s="44" t="s">
        <v>1630</v>
      </c>
      <c r="M2" s="18">
        <v>400</v>
      </c>
      <c r="N2" s="18">
        <v>200</v>
      </c>
      <c r="O2" s="18">
        <v>200</v>
      </c>
      <c r="S2" s="18"/>
      <c r="T2" s="44"/>
    </row>
    <row r="3" spans="1:20" x14ac:dyDescent="0.25">
      <c r="A3">
        <v>2</v>
      </c>
      <c r="B3" t="s">
        <v>1631</v>
      </c>
      <c r="C3" s="64" t="str" cm="1">
        <f t="array" ref="C3">_xlfn.IFS(bharathipuram231[[#This Row],[OCTOBER]]="M","M",bharathipuram231[[#This Row],[OCTOBER]]="A","A",bharathipuram231[[#This Row],[OCTOBER]]="","",bharathipuram231[[#This Row],[OCTOBER]]&gt;100,"P")</f>
        <v/>
      </c>
      <c r="D3" t="s">
        <v>21</v>
      </c>
      <c r="E3" s="44" t="s">
        <v>1632</v>
      </c>
      <c r="F3" s="44" t="s">
        <v>1633</v>
      </c>
      <c r="M3" s="18">
        <v>200</v>
      </c>
      <c r="N3" s="18">
        <v>200</v>
      </c>
      <c r="O3" s="18">
        <v>200</v>
      </c>
      <c r="S3" s="18"/>
      <c r="T3" s="44"/>
    </row>
    <row r="4" spans="1:20" x14ac:dyDescent="0.25">
      <c r="A4">
        <v>3</v>
      </c>
      <c r="B4" t="s">
        <v>374</v>
      </c>
      <c r="C4" s="64" t="str" cm="1">
        <f t="array" ref="C4">_xlfn.IFS(bharathipuram231[[#This Row],[OCTOBER]]="M","M",bharathipuram231[[#This Row],[OCTOBER]]="A","A",bharathipuram231[[#This Row],[OCTOBER]]="","",bharathipuram231[[#This Row],[OCTOBER]]&gt;100,"P")</f>
        <v/>
      </c>
      <c r="D4" t="s">
        <v>78</v>
      </c>
      <c r="E4" s="44" t="s">
        <v>1634</v>
      </c>
      <c r="F4" s="44" t="s">
        <v>1635</v>
      </c>
      <c r="M4" s="18">
        <v>200</v>
      </c>
      <c r="N4" s="18">
        <v>200</v>
      </c>
      <c r="O4" s="18">
        <v>200</v>
      </c>
      <c r="S4" s="18"/>
      <c r="T4" s="44"/>
    </row>
    <row r="5" spans="1:20" x14ac:dyDescent="0.25">
      <c r="A5">
        <v>4</v>
      </c>
      <c r="B5" t="s">
        <v>1594</v>
      </c>
      <c r="C5" s="64" t="str" cm="1">
        <f t="array" ref="C5">_xlfn.IFS(bharathipuram231[[#This Row],[OCTOBER]]="M","M",bharathipuram231[[#This Row],[OCTOBER]]="A","A",bharathipuram231[[#This Row],[OCTOBER]]="","",bharathipuram231[[#This Row],[OCTOBER]]&gt;100,"P")</f>
        <v/>
      </c>
      <c r="D5" t="s">
        <v>78</v>
      </c>
      <c r="E5" s="44" t="s">
        <v>1636</v>
      </c>
      <c r="F5" s="44" t="s">
        <v>1637</v>
      </c>
      <c r="S5" s="18"/>
      <c r="T5" s="44"/>
    </row>
    <row r="6" spans="1:20" x14ac:dyDescent="0.25">
      <c r="A6">
        <v>5</v>
      </c>
      <c r="B6" t="s">
        <v>120</v>
      </c>
      <c r="C6" s="64" t="str" cm="1">
        <f t="array" ref="C6">_xlfn.IFS(bharathipuram231[[#This Row],[OCTOBER]]="M","M",bharathipuram231[[#This Row],[OCTOBER]]="A","A",bharathipuram231[[#This Row],[OCTOBER]]="","",bharathipuram231[[#This Row],[OCTOBER]]&gt;100,"P")</f>
        <v/>
      </c>
      <c r="D6" t="s">
        <v>25</v>
      </c>
      <c r="E6" s="44" t="s">
        <v>1638</v>
      </c>
      <c r="F6" s="44" t="s">
        <v>1639</v>
      </c>
      <c r="M6" s="18">
        <v>200</v>
      </c>
      <c r="N6" s="18">
        <v>200</v>
      </c>
      <c r="O6" s="18">
        <v>200</v>
      </c>
      <c r="S6" s="18"/>
      <c r="T6" s="44"/>
    </row>
    <row r="7" spans="1:20" x14ac:dyDescent="0.25">
      <c r="A7">
        <v>6</v>
      </c>
      <c r="B7" t="s">
        <v>1640</v>
      </c>
      <c r="C7" s="64" t="str" cm="1">
        <f t="array" ref="C7">_xlfn.IFS(bharathipuram231[[#This Row],[OCTOBER]]="M","M",bharathipuram231[[#This Row],[OCTOBER]]="A","A",bharathipuram231[[#This Row],[OCTOBER]]="","",bharathipuram231[[#This Row],[OCTOBER]]&gt;100,"P")</f>
        <v/>
      </c>
      <c r="D7" t="s">
        <v>21</v>
      </c>
      <c r="E7" s="44" t="s">
        <v>1641</v>
      </c>
      <c r="F7" s="44" t="s">
        <v>1642</v>
      </c>
      <c r="O7" s="18">
        <v>200</v>
      </c>
      <c r="S7" s="18"/>
      <c r="T7" s="44"/>
    </row>
    <row r="8" spans="1:20" x14ac:dyDescent="0.25">
      <c r="A8">
        <v>7</v>
      </c>
      <c r="B8" t="s">
        <v>1643</v>
      </c>
      <c r="C8" s="64" t="str" cm="1">
        <f t="array" ref="C8">_xlfn.IFS(bharathipuram231[[#This Row],[OCTOBER]]="M","M",bharathipuram231[[#This Row],[OCTOBER]]="A","A",bharathipuram231[[#This Row],[OCTOBER]]="","",bharathipuram231[[#This Row],[OCTOBER]]&gt;100,"P")</f>
        <v/>
      </c>
      <c r="E8" s="44"/>
      <c r="F8" s="44"/>
      <c r="S8" s="18"/>
      <c r="T8" s="44"/>
    </row>
    <row r="9" spans="1:20" x14ac:dyDescent="0.25">
      <c r="A9">
        <v>8</v>
      </c>
      <c r="B9" t="s">
        <v>779</v>
      </c>
      <c r="C9" s="64" t="str" cm="1">
        <f t="array" ref="C9">_xlfn.IFS(bharathipuram231[[#This Row],[OCTOBER]]="M","M",bharathipuram231[[#This Row],[OCTOBER]]="A","A",bharathipuram231[[#This Row],[OCTOBER]]="","",bharathipuram231[[#This Row],[OCTOBER]]&gt;100,"P")</f>
        <v/>
      </c>
      <c r="D9" t="s">
        <v>78</v>
      </c>
      <c r="E9" s="44" t="s">
        <v>1644</v>
      </c>
      <c r="F9" s="44" t="s">
        <v>1645</v>
      </c>
      <c r="M9" s="18">
        <v>200</v>
      </c>
      <c r="O9" s="18">
        <v>200</v>
      </c>
      <c r="S9" s="18"/>
      <c r="T9" s="44"/>
    </row>
    <row r="10" spans="1:20" x14ac:dyDescent="0.25">
      <c r="A10">
        <v>9</v>
      </c>
      <c r="B10" t="s">
        <v>1646</v>
      </c>
      <c r="C10" s="64" t="str" cm="1">
        <f t="array" ref="C10">_xlfn.IFS(bharathipuram231[[#This Row],[OCTOBER]]="M","M",bharathipuram231[[#This Row],[OCTOBER]]="A","A",bharathipuram231[[#This Row],[OCTOBER]]="","",bharathipuram231[[#This Row],[OCTOBER]]&gt;100,"P")</f>
        <v/>
      </c>
      <c r="D10" t="s">
        <v>78</v>
      </c>
      <c r="E10" s="44" t="s">
        <v>1647</v>
      </c>
      <c r="F10" s="44" t="s">
        <v>1648</v>
      </c>
      <c r="M10" s="18">
        <v>200</v>
      </c>
      <c r="N10" s="18">
        <v>200</v>
      </c>
      <c r="O10" s="18">
        <v>200</v>
      </c>
      <c r="S10" s="18"/>
      <c r="T10" s="44"/>
    </row>
    <row r="11" spans="1:20" x14ac:dyDescent="0.25">
      <c r="A11">
        <v>10</v>
      </c>
      <c r="B11" t="s">
        <v>1605</v>
      </c>
      <c r="C11" s="64" t="str" cm="1">
        <f t="array" ref="C11">_xlfn.IFS(bharathipuram231[[#This Row],[OCTOBER]]="M","M",bharathipuram231[[#This Row],[OCTOBER]]="A","A",bharathipuram231[[#This Row],[OCTOBER]]="","",bharathipuram231[[#This Row],[OCTOBER]]&gt;100,"P")</f>
        <v/>
      </c>
      <c r="D11" t="s">
        <v>35</v>
      </c>
      <c r="E11" s="44" t="s">
        <v>1649</v>
      </c>
      <c r="F11" s="44" t="s">
        <v>1650</v>
      </c>
      <c r="M11" s="18">
        <v>200</v>
      </c>
      <c r="N11" s="18">
        <v>200</v>
      </c>
      <c r="S11" s="18"/>
      <c r="T11" s="44"/>
    </row>
    <row r="12" spans="1:20" x14ac:dyDescent="0.25">
      <c r="A12">
        <v>11</v>
      </c>
      <c r="B12" t="s">
        <v>1651</v>
      </c>
      <c r="C12" s="64" t="str" cm="1">
        <f t="array" ref="C12">_xlfn.IFS(bharathipuram231[[#This Row],[OCTOBER]]="M","M",bharathipuram231[[#This Row],[OCTOBER]]="A","A",bharathipuram231[[#This Row],[OCTOBER]]="","",bharathipuram231[[#This Row],[OCTOBER]]&gt;100,"P")</f>
        <v/>
      </c>
      <c r="D12" t="s">
        <v>35</v>
      </c>
      <c r="E12" s="44" t="s">
        <v>1652</v>
      </c>
      <c r="F12" s="44" t="s">
        <v>1653</v>
      </c>
      <c r="M12" s="18">
        <v>200</v>
      </c>
      <c r="O12" s="18">
        <v>200</v>
      </c>
      <c r="S12" s="18"/>
      <c r="T12" s="44"/>
    </row>
    <row r="13" spans="1:20" x14ac:dyDescent="0.25">
      <c r="A13">
        <v>12</v>
      </c>
      <c r="B13" t="s">
        <v>779</v>
      </c>
      <c r="C13" s="64" t="str" cm="1">
        <f t="array" ref="C13">_xlfn.IFS(bharathipuram231[[#This Row],[OCTOBER]]="M","M",bharathipuram231[[#This Row],[OCTOBER]]="A","A",bharathipuram231[[#This Row],[OCTOBER]]="","",bharathipuram231[[#This Row],[OCTOBER]]&gt;100,"P")</f>
        <v/>
      </c>
      <c r="D13" s="66" t="s">
        <v>35</v>
      </c>
      <c r="E13" s="44" t="s">
        <v>2391</v>
      </c>
      <c r="F13" s="44" t="s">
        <v>2392</v>
      </c>
      <c r="O13" s="18">
        <v>150</v>
      </c>
      <c r="S13" s="18"/>
      <c r="T13" s="44"/>
    </row>
    <row r="14" spans="1:20" x14ac:dyDescent="0.25">
      <c r="A14">
        <v>13</v>
      </c>
      <c r="B14" t="s">
        <v>44</v>
      </c>
      <c r="C14" s="64" t="str" cm="1">
        <f t="array" ref="C14">_xlfn.IFS(bharathipuram231[[#This Row],[OCTOBER]]="M","M",bharathipuram231[[#This Row],[OCTOBER]]="A","A",bharathipuram231[[#This Row],[OCTOBER]]="","",bharathipuram231[[#This Row],[OCTOBER]]&gt;100,"P")</f>
        <v/>
      </c>
      <c r="D14" t="s">
        <v>35</v>
      </c>
      <c r="E14" s="44" t="s">
        <v>1654</v>
      </c>
      <c r="F14" s="44" t="s">
        <v>2393</v>
      </c>
      <c r="O14" s="18">
        <v>200</v>
      </c>
      <c r="S14" s="18"/>
      <c r="T14" s="44"/>
    </row>
    <row r="15" spans="1:20" x14ac:dyDescent="0.25">
      <c r="A15">
        <v>14</v>
      </c>
      <c r="B15" t="s">
        <v>1655</v>
      </c>
      <c r="C15" s="64" t="str" cm="1">
        <f t="array" ref="C15">_xlfn.IFS(bharathipuram231[[#This Row],[OCTOBER]]="M","M",bharathipuram231[[#This Row],[OCTOBER]]="A","A",bharathipuram231[[#This Row],[OCTOBER]]="","",bharathipuram231[[#This Row],[OCTOBER]]&gt;100,"P")</f>
        <v/>
      </c>
      <c r="D15" t="s">
        <v>35</v>
      </c>
      <c r="E15" s="44" t="s">
        <v>1656</v>
      </c>
      <c r="F15" s="44" t="s">
        <v>1657</v>
      </c>
      <c r="M15" s="18">
        <v>200</v>
      </c>
      <c r="N15" s="18">
        <v>200</v>
      </c>
      <c r="O15" s="18">
        <v>200</v>
      </c>
      <c r="S15" s="18"/>
      <c r="T15" s="44"/>
    </row>
    <row r="16" spans="1:20" x14ac:dyDescent="0.25">
      <c r="A16">
        <v>15</v>
      </c>
      <c r="B16" t="s">
        <v>735</v>
      </c>
      <c r="C16" s="64" t="str" cm="1">
        <f t="array" ref="C16">_xlfn.IFS(bharathipuram231[[#This Row],[OCTOBER]]="M","M",bharathipuram231[[#This Row],[OCTOBER]]="A","A",bharathipuram231[[#This Row],[OCTOBER]]="","",bharathipuram231[[#This Row],[OCTOBER]]&gt;100,"P")</f>
        <v/>
      </c>
      <c r="D16" t="s">
        <v>35</v>
      </c>
      <c r="E16" s="44" t="s">
        <v>1658</v>
      </c>
      <c r="F16" s="44" t="s">
        <v>1659</v>
      </c>
      <c r="M16" s="18">
        <v>200</v>
      </c>
      <c r="O16" s="18">
        <v>200</v>
      </c>
      <c r="S16" s="18"/>
      <c r="T16" s="44"/>
    </row>
    <row r="17" spans="1:20" x14ac:dyDescent="0.25">
      <c r="A17">
        <v>16</v>
      </c>
      <c r="B17" t="s">
        <v>580</v>
      </c>
      <c r="C17" s="64" t="str" cm="1">
        <f t="array" ref="C17">_xlfn.IFS(bharathipuram231[[#This Row],[OCTOBER]]="M","M",bharathipuram231[[#This Row],[OCTOBER]]="A","A",bharathipuram231[[#This Row],[OCTOBER]]="","",bharathipuram231[[#This Row],[OCTOBER]]&gt;100,"P")</f>
        <v/>
      </c>
      <c r="D17" t="s">
        <v>78</v>
      </c>
      <c r="E17" s="44" t="s">
        <v>1626</v>
      </c>
      <c r="F17" s="44" t="s">
        <v>1627</v>
      </c>
      <c r="O17" s="18">
        <v>200</v>
      </c>
      <c r="S17" s="18"/>
      <c r="T17" s="44"/>
    </row>
    <row r="18" spans="1:20" x14ac:dyDescent="0.25">
      <c r="A18">
        <v>17</v>
      </c>
      <c r="B18" t="s">
        <v>1660</v>
      </c>
      <c r="C18" s="64" t="str" cm="1">
        <f t="array" ref="C18">_xlfn.IFS(bharathipuram231[[#This Row],[OCTOBER]]="M","M",bharathipuram231[[#This Row],[OCTOBER]]="A","A",bharathipuram231[[#This Row],[OCTOBER]]="","",bharathipuram231[[#This Row],[OCTOBER]]&gt;100,"P")</f>
        <v/>
      </c>
      <c r="D18" t="s">
        <v>35</v>
      </c>
      <c r="E18" s="44" t="s">
        <v>1661</v>
      </c>
      <c r="F18" s="44" t="s">
        <v>1662</v>
      </c>
      <c r="M18" s="18">
        <v>200</v>
      </c>
      <c r="N18" s="18">
        <v>200</v>
      </c>
      <c r="O18" s="18">
        <v>200</v>
      </c>
      <c r="S18" s="18"/>
      <c r="T18" s="44"/>
    </row>
    <row r="19" spans="1:20" x14ac:dyDescent="0.25">
      <c r="A19">
        <v>18</v>
      </c>
      <c r="B19" t="s">
        <v>1663</v>
      </c>
      <c r="C19" s="64" t="str" cm="1">
        <f t="array" ref="C19">_xlfn.IFS(bharathipuram231[[#This Row],[OCTOBER]]="M","M",bharathipuram231[[#This Row],[OCTOBER]]="A","A",bharathipuram231[[#This Row],[OCTOBER]]="","",bharathipuram231[[#This Row],[OCTOBER]]&gt;100,"P")</f>
        <v/>
      </c>
      <c r="D19" t="s">
        <v>25</v>
      </c>
      <c r="E19" s="44" t="s">
        <v>1664</v>
      </c>
      <c r="F19" s="44" t="s">
        <v>1665</v>
      </c>
      <c r="M19" s="18">
        <v>400</v>
      </c>
      <c r="N19" s="18">
        <v>200</v>
      </c>
      <c r="O19" s="18">
        <v>400</v>
      </c>
      <c r="S19" s="18"/>
      <c r="T19" s="44"/>
    </row>
    <row r="20" spans="1:20" x14ac:dyDescent="0.25">
      <c r="A20">
        <v>19</v>
      </c>
      <c r="B20" t="s">
        <v>1666</v>
      </c>
      <c r="C20" s="64" t="str" cm="1">
        <f t="array" ref="C20">_xlfn.IFS(bharathipuram231[[#This Row],[OCTOBER]]="M","M",bharathipuram231[[#This Row],[OCTOBER]]="A","A",bharathipuram231[[#This Row],[OCTOBER]]="","",bharathipuram231[[#This Row],[OCTOBER]]&gt;100,"P")</f>
        <v/>
      </c>
      <c r="D20" t="s">
        <v>35</v>
      </c>
      <c r="E20" s="44" t="s">
        <v>1667</v>
      </c>
      <c r="F20" s="44" t="s">
        <v>1668</v>
      </c>
      <c r="N20" s="18">
        <v>200</v>
      </c>
      <c r="O20" s="18" t="s">
        <v>1538</v>
      </c>
      <c r="S20" s="18"/>
      <c r="T20" s="44"/>
    </row>
    <row r="21" spans="1:20" x14ac:dyDescent="0.25">
      <c r="A21">
        <v>20</v>
      </c>
      <c r="B21" t="s">
        <v>1669</v>
      </c>
      <c r="C21" s="64" t="str" cm="1">
        <f t="array" ref="C21">_xlfn.IFS(bharathipuram231[[#This Row],[OCTOBER]]="M","M",bharathipuram231[[#This Row],[OCTOBER]]="A","A",bharathipuram231[[#This Row],[OCTOBER]]="","",bharathipuram231[[#This Row],[OCTOBER]]&gt;100,"P")</f>
        <v/>
      </c>
      <c r="D21" t="s">
        <v>78</v>
      </c>
      <c r="E21" s="44" t="s">
        <v>1670</v>
      </c>
      <c r="F21" s="44" t="s">
        <v>1671</v>
      </c>
      <c r="M21" s="18">
        <v>400</v>
      </c>
      <c r="O21" s="18">
        <v>200</v>
      </c>
      <c r="S21" s="18"/>
      <c r="T21" s="44"/>
    </row>
    <row r="22" spans="1:20" x14ac:dyDescent="0.25">
      <c r="A22">
        <v>21</v>
      </c>
      <c r="B22" t="s">
        <v>1672</v>
      </c>
      <c r="C22" s="64" t="str" cm="1">
        <f t="array" ref="C22">_xlfn.IFS(bharathipuram231[[#This Row],[OCTOBER]]="M","M",bharathipuram231[[#This Row],[OCTOBER]]="A","A",bharathipuram231[[#This Row],[OCTOBER]]="","",bharathipuram231[[#This Row],[OCTOBER]]&gt;100,"P")</f>
        <v/>
      </c>
      <c r="D22" t="s">
        <v>35</v>
      </c>
      <c r="E22" s="44" t="s">
        <v>1673</v>
      </c>
      <c r="F22" s="44" t="s">
        <v>1674</v>
      </c>
      <c r="O22" s="18">
        <v>200</v>
      </c>
      <c r="S22" s="18"/>
      <c r="T22" s="44"/>
    </row>
    <row r="23" spans="1:20" x14ac:dyDescent="0.25">
      <c r="A23" s="61">
        <v>22</v>
      </c>
      <c r="B23" t="s">
        <v>1675</v>
      </c>
      <c r="C23" s="64" t="str" cm="1">
        <f t="array" ref="C23">_xlfn.IFS(bharathipuram231[[#This Row],[OCTOBER]]="M","M",bharathipuram231[[#This Row],[OCTOBER]]="A","A",bharathipuram231[[#This Row],[OCTOBER]]="","",bharathipuram231[[#This Row],[OCTOBER]]&gt;100,"P")</f>
        <v/>
      </c>
      <c r="D23" t="s">
        <v>25</v>
      </c>
      <c r="E23" s="44" t="s">
        <v>1676</v>
      </c>
      <c r="F23" s="44" t="s">
        <v>1677</v>
      </c>
      <c r="M23" s="18">
        <v>250</v>
      </c>
      <c r="N23" s="18">
        <v>200</v>
      </c>
      <c r="O23" s="18">
        <v>220</v>
      </c>
      <c r="S23" s="18"/>
      <c r="T23" s="44"/>
    </row>
    <row r="24" spans="1:20" x14ac:dyDescent="0.25">
      <c r="A24" s="61">
        <v>23</v>
      </c>
      <c r="B24" t="s">
        <v>1678</v>
      </c>
      <c r="C24" s="64" t="str" cm="1">
        <f t="array" ref="C24">_xlfn.IFS(bharathipuram231[[#This Row],[OCTOBER]]="M","M",bharathipuram231[[#This Row],[OCTOBER]]="A","A",bharathipuram231[[#This Row],[OCTOBER]]="","",bharathipuram231[[#This Row],[OCTOBER]]&gt;100,"P")</f>
        <v/>
      </c>
      <c r="D24" t="s">
        <v>35</v>
      </c>
      <c r="E24" s="44" t="s">
        <v>1679</v>
      </c>
      <c r="F24" s="44" t="s">
        <v>1680</v>
      </c>
      <c r="M24" s="18">
        <v>200</v>
      </c>
      <c r="N24" s="18">
        <v>200</v>
      </c>
      <c r="O24" s="18">
        <v>200</v>
      </c>
      <c r="S24" s="18"/>
      <c r="T24" s="44"/>
    </row>
    <row r="25" spans="1:20" x14ac:dyDescent="0.25">
      <c r="A25" s="61">
        <v>24</v>
      </c>
      <c r="B25" t="s">
        <v>1681</v>
      </c>
      <c r="C25" s="64" t="str" cm="1">
        <f t="array" ref="C25">_xlfn.IFS(bharathipuram231[[#This Row],[OCTOBER]]="M","M",bharathipuram231[[#This Row],[OCTOBER]]="A","A",bharathipuram231[[#This Row],[OCTOBER]]="","",bharathipuram231[[#This Row],[OCTOBER]]&gt;100,"P")</f>
        <v/>
      </c>
      <c r="D25" t="s">
        <v>78</v>
      </c>
      <c r="E25" s="44" t="s">
        <v>1682</v>
      </c>
      <c r="F25" s="44" t="s">
        <v>1683</v>
      </c>
      <c r="M25" s="18">
        <v>200</v>
      </c>
      <c r="N25" s="18">
        <v>200</v>
      </c>
      <c r="O25" s="18">
        <v>200</v>
      </c>
      <c r="S25" s="18"/>
      <c r="T25" s="44"/>
    </row>
    <row r="26" spans="1:20" x14ac:dyDescent="0.25">
      <c r="A26" s="61">
        <v>25</v>
      </c>
      <c r="B26" t="s">
        <v>1684</v>
      </c>
      <c r="C26" s="64" t="str" cm="1">
        <f t="array" ref="C26">_xlfn.IFS(bharathipuram231[[#This Row],[OCTOBER]]="M","M",bharathipuram231[[#This Row],[OCTOBER]]="A","A",bharathipuram231[[#This Row],[OCTOBER]]="","",bharathipuram231[[#This Row],[OCTOBER]]&gt;100,"P")</f>
        <v/>
      </c>
      <c r="D26" t="s">
        <v>35</v>
      </c>
      <c r="E26" s="44" t="s">
        <v>1673</v>
      </c>
      <c r="F26" s="44" t="s">
        <v>1674</v>
      </c>
      <c r="N26" s="18">
        <v>200</v>
      </c>
      <c r="S26" s="18"/>
      <c r="T26" s="44"/>
    </row>
    <row r="27" spans="1:20" x14ac:dyDescent="0.25">
      <c r="A27" s="61">
        <v>26</v>
      </c>
      <c r="B27" t="s">
        <v>347</v>
      </c>
      <c r="C27" s="64" t="str" cm="1">
        <f t="array" ref="C27">_xlfn.IFS(bharathipuram231[[#This Row],[OCTOBER]]="M","M",bharathipuram231[[#This Row],[OCTOBER]]="A","A",bharathipuram231[[#This Row],[OCTOBER]]="","",bharathipuram231[[#This Row],[OCTOBER]]&gt;100,"P")</f>
        <v/>
      </c>
      <c r="E27" s="44" t="s">
        <v>1685</v>
      </c>
      <c r="F27" s="44" t="s">
        <v>1686</v>
      </c>
      <c r="S27" s="18"/>
      <c r="T27" s="44"/>
    </row>
    <row r="28" spans="1:20" x14ac:dyDescent="0.25">
      <c r="A28" s="61">
        <v>27</v>
      </c>
      <c r="B28" t="s">
        <v>1687</v>
      </c>
      <c r="C28" s="64" t="str" cm="1">
        <f t="array" ref="C28">_xlfn.IFS(bharathipuram231[[#This Row],[OCTOBER]]="M","M",bharathipuram231[[#This Row],[OCTOBER]]="A","A",bharathipuram231[[#This Row],[OCTOBER]]="","",bharathipuram231[[#This Row],[OCTOBER]]&gt;100,"P")</f>
        <v/>
      </c>
      <c r="D28" t="s">
        <v>78</v>
      </c>
      <c r="E28" s="44" t="s">
        <v>1688</v>
      </c>
      <c r="F28" s="44" t="s">
        <v>1689</v>
      </c>
      <c r="M28" s="18">
        <v>200</v>
      </c>
      <c r="N28" s="18">
        <v>200</v>
      </c>
      <c r="O28" s="18">
        <v>200</v>
      </c>
      <c r="S28" s="18"/>
      <c r="T28" s="44"/>
    </row>
    <row r="29" spans="1:20" s="33" customFormat="1" x14ac:dyDescent="0.25">
      <c r="A29" s="33" t="s">
        <v>298</v>
      </c>
      <c r="D29" s="33">
        <f>SUBTOTAL(103,bharathipuram231[Package])</f>
        <v>25</v>
      </c>
      <c r="E29" s="33">
        <f>SUBTOTAL(103,bharathipuram231[Box No])</f>
        <v>26</v>
      </c>
      <c r="F29" s="33">
        <f>SUBTOTAL(103,bharathipuram231[CAF_ID])</f>
        <v>26</v>
      </c>
      <c r="G29" s="67">
        <f>SUBTOTAL(109,bharathipuram231[JANUARY])</f>
        <v>0</v>
      </c>
      <c r="H29" s="67">
        <f>SUBTOTAL(109,bharathipuram231[FEBEUARY])</f>
        <v>0</v>
      </c>
      <c r="I29" s="67">
        <f>SUBTOTAL(109,bharathipuram231[MARCH])</f>
        <v>0</v>
      </c>
      <c r="J29" s="67">
        <f>SUBTOTAL(109,bharathipuram231[APRIL])</f>
        <v>0</v>
      </c>
      <c r="K29" s="67">
        <f>SUBTOTAL(109,bharathipuram231[MAY])</f>
        <v>0</v>
      </c>
      <c r="L29" s="67">
        <f>SUBTOTAL(109,bharathipuram231[JUNE])</f>
        <v>0</v>
      </c>
      <c r="M29" s="67">
        <f>SUBTOTAL(109,bharathipuram231[JULY])</f>
        <v>4050</v>
      </c>
      <c r="N29" s="67">
        <f>SUBTOTAL(109,bharathipuram231[AUGUST])</f>
        <v>3000</v>
      </c>
      <c r="O29" s="67">
        <f>SUBTOTAL(109,bharathipuram231[SEPTEMBER])</f>
        <v>4370</v>
      </c>
      <c r="P29" s="67">
        <f>SUBTOTAL(109,bharathipuram231[OCTOBER])</f>
        <v>0</v>
      </c>
      <c r="Q29" s="67">
        <f>SUBTOTAL(109,bharathipuram231[NOVEMBER])</f>
        <v>0</v>
      </c>
      <c r="R29" s="67">
        <f>SUBTOTAL(109,bharathipuram231[DECEMBER])</f>
        <v>0</v>
      </c>
      <c r="S29" s="67">
        <f>SUBTOTAL(109,bharathipuram231[BALANCE])</f>
        <v>0</v>
      </c>
      <c r="T29" s="67"/>
    </row>
    <row r="32" spans="1:20" x14ac:dyDescent="0.25">
      <c r="B32" s="39" t="s">
        <v>299</v>
      </c>
      <c r="C32" s="39">
        <f>COUNTIF(bharathipuram231[PAID],"P")</f>
        <v>0</v>
      </c>
    </row>
    <row r="33" spans="2:4" x14ac:dyDescent="0.25">
      <c r="B33" s="33"/>
      <c r="C33" s="33"/>
    </row>
    <row r="34" spans="2:4" x14ac:dyDescent="0.25">
      <c r="B34" s="35" t="s">
        <v>300</v>
      </c>
      <c r="C34" s="43">
        <f>COUNTIF(C2:C28,"P")</f>
        <v>0</v>
      </c>
      <c r="D34"/>
    </row>
    <row r="35" spans="2:4" x14ac:dyDescent="0.25">
      <c r="B35" s="36" t="s">
        <v>301</v>
      </c>
      <c r="C35" s="42">
        <f>COUNTIF(C2:C28,"NP")</f>
        <v>0</v>
      </c>
      <c r="D35" s="53"/>
    </row>
    <row r="36" spans="2:4" x14ac:dyDescent="0.25">
      <c r="B36" s="33"/>
      <c r="C36" s="33"/>
    </row>
    <row r="37" spans="2:4" x14ac:dyDescent="0.25">
      <c r="B37" s="39" t="s">
        <v>302</v>
      </c>
      <c r="C37" s="39">
        <f>C34+C35</f>
        <v>0</v>
      </c>
    </row>
    <row r="39" spans="2:4" ht="15.75" customHeight="1" x14ac:dyDescent="0.25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T20"/>
  <sheetViews>
    <sheetView zoomScale="130" zoomScaleNormal="130" workbookViewId="0">
      <selection activeCell="O8" sqref="O8"/>
    </sheetView>
  </sheetViews>
  <sheetFormatPr defaultRowHeight="15" x14ac:dyDescent="0.25"/>
  <cols>
    <col min="1" max="1" width="6.140625" style="61" customWidth="1"/>
    <col min="2" max="2" width="22" style="61" customWidth="1"/>
    <col min="3" max="3" width="6.85546875" style="61" customWidth="1"/>
    <col min="4" max="4" width="28.5703125" style="61" customWidth="1"/>
    <col min="5" max="5" width="18.85546875" style="44" customWidth="1"/>
    <col min="6" max="6" width="9.140625" style="44" customWidth="1"/>
    <col min="7" max="7" width="10.5703125" style="44" hidden="1" customWidth="1"/>
    <col min="8" max="14" width="10.5703125" style="52" hidden="1" customWidth="1"/>
    <col min="15" max="19" width="10.5703125" style="52" customWidth="1"/>
    <col min="20" max="20" width="36.28515625" style="52" customWidth="1"/>
  </cols>
  <sheetData>
    <row r="1" spans="1:20" x14ac:dyDescent="0.25">
      <c r="A1" t="s">
        <v>0</v>
      </c>
      <c r="B1" t="s">
        <v>1</v>
      </c>
      <c r="C1" t="s">
        <v>2</v>
      </c>
      <c r="D1" s="15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44" t="s">
        <v>19</v>
      </c>
    </row>
    <row r="2" spans="1:20" x14ac:dyDescent="0.25">
      <c r="A2">
        <v>1</v>
      </c>
      <c r="B2" t="s">
        <v>1690</v>
      </c>
      <c r="C2" t="str">
        <f>IF(agalist[[#This Row],[SEPTEMBER]]&gt;0,"P", " ")</f>
        <v>P</v>
      </c>
      <c r="D2" t="s">
        <v>25</v>
      </c>
      <c r="E2" s="44" t="s">
        <v>1691</v>
      </c>
      <c r="F2" s="44" t="s">
        <v>1692</v>
      </c>
      <c r="G2" s="52"/>
      <c r="N2" s="52">
        <v>690</v>
      </c>
      <c r="O2" s="52">
        <v>230</v>
      </c>
      <c r="T2" s="44"/>
    </row>
    <row r="3" spans="1:20" x14ac:dyDescent="0.25">
      <c r="A3">
        <v>2</v>
      </c>
      <c r="B3" t="s">
        <v>1693</v>
      </c>
      <c r="C3" t="str">
        <f>IF(agalist[[#This Row],[SEPTEMBER]]&gt;0,"P", " ")</f>
        <v xml:space="preserve"> </v>
      </c>
      <c r="D3" t="s">
        <v>21</v>
      </c>
      <c r="E3" s="44" t="s">
        <v>1694</v>
      </c>
      <c r="F3" s="44" t="s">
        <v>1695</v>
      </c>
      <c r="G3" s="52"/>
      <c r="N3" s="52" t="s">
        <v>2390</v>
      </c>
      <c r="T3" s="44"/>
    </row>
    <row r="4" spans="1:20" x14ac:dyDescent="0.25">
      <c r="A4">
        <v>3</v>
      </c>
      <c r="B4" t="s">
        <v>682</v>
      </c>
      <c r="C4" t="str">
        <f>IF(agalist[[#This Row],[SEPTEMBER]]&gt;0,"P", " ")</f>
        <v xml:space="preserve"> </v>
      </c>
      <c r="D4" t="s">
        <v>25</v>
      </c>
      <c r="E4" s="44" t="s">
        <v>1696</v>
      </c>
      <c r="F4" s="44" t="s">
        <v>1697</v>
      </c>
      <c r="G4" s="52"/>
      <c r="N4" s="52" t="s">
        <v>2390</v>
      </c>
      <c r="T4" s="44"/>
    </row>
    <row r="5" spans="1:20" x14ac:dyDescent="0.25">
      <c r="A5">
        <v>4</v>
      </c>
      <c r="B5" t="s">
        <v>1378</v>
      </c>
      <c r="C5" t="str">
        <f>IF(agalist[[#This Row],[SEPTEMBER]]&gt;0,"P", " ")</f>
        <v xml:space="preserve"> </v>
      </c>
      <c r="D5" t="s">
        <v>25</v>
      </c>
      <c r="E5" s="44" t="s">
        <v>1698</v>
      </c>
      <c r="F5" s="44" t="s">
        <v>1697</v>
      </c>
      <c r="G5" s="52"/>
      <c r="M5" s="52">
        <v>250</v>
      </c>
      <c r="N5" s="52" t="s">
        <v>2390</v>
      </c>
      <c r="T5" s="44"/>
    </row>
    <row r="6" spans="1:20" x14ac:dyDescent="0.25">
      <c r="A6">
        <v>5</v>
      </c>
      <c r="B6" t="s">
        <v>1699</v>
      </c>
      <c r="C6" t="str">
        <f>IF(agalist[[#This Row],[SEPTEMBER]]&gt;0,"P", " ")</f>
        <v>P</v>
      </c>
      <c r="D6" t="s">
        <v>21</v>
      </c>
      <c r="E6" s="44" t="s">
        <v>1700</v>
      </c>
      <c r="F6" s="44" t="s">
        <v>1701</v>
      </c>
      <c r="G6" s="52"/>
      <c r="O6" s="52">
        <v>230</v>
      </c>
      <c r="T6" s="44"/>
    </row>
    <row r="7" spans="1:20" x14ac:dyDescent="0.25">
      <c r="A7">
        <v>6</v>
      </c>
      <c r="B7" t="s">
        <v>624</v>
      </c>
      <c r="C7" t="str">
        <f>IF(agalist[[#This Row],[SEPTEMBER]]&gt;0,"P", " ")</f>
        <v>P</v>
      </c>
      <c r="G7" s="52"/>
      <c r="N7" s="52" t="s">
        <v>321</v>
      </c>
      <c r="O7" s="52" t="s">
        <v>321</v>
      </c>
      <c r="T7" s="44"/>
    </row>
    <row r="8" spans="1:20" x14ac:dyDescent="0.25">
      <c r="A8">
        <v>7</v>
      </c>
      <c r="B8" t="s">
        <v>1702</v>
      </c>
      <c r="C8" t="str">
        <f>IF(agalist[[#This Row],[SEPTEMBER]]&gt;0,"P", " ")</f>
        <v xml:space="preserve"> </v>
      </c>
      <c r="D8" t="s">
        <v>25</v>
      </c>
      <c r="E8" s="44" t="s">
        <v>1703</v>
      </c>
      <c r="F8" s="44" t="s">
        <v>1704</v>
      </c>
      <c r="G8" s="52"/>
      <c r="M8" s="52">
        <v>250</v>
      </c>
      <c r="N8" s="52">
        <v>170</v>
      </c>
      <c r="T8" s="44"/>
    </row>
    <row r="9" spans="1:20" x14ac:dyDescent="0.25">
      <c r="A9">
        <v>8</v>
      </c>
      <c r="B9" t="s">
        <v>1705</v>
      </c>
      <c r="C9" t="str">
        <f>IF(agalist[[#This Row],[SEPTEMBER]]&gt;0,"P", " ")</f>
        <v>P</v>
      </c>
      <c r="D9" t="s">
        <v>35</v>
      </c>
      <c r="E9" s="44" t="s">
        <v>1706</v>
      </c>
      <c r="F9" s="44" t="s">
        <v>1707</v>
      </c>
      <c r="G9" s="52"/>
      <c r="M9" s="52">
        <v>200</v>
      </c>
      <c r="N9" s="52">
        <v>200</v>
      </c>
      <c r="O9" s="52">
        <v>200</v>
      </c>
      <c r="T9" s="44"/>
    </row>
    <row r="10" spans="1:20" x14ac:dyDescent="0.25">
      <c r="A10">
        <v>9</v>
      </c>
      <c r="B10" t="s">
        <v>1708</v>
      </c>
      <c r="C10" t="str">
        <f>IF(agalist[[#This Row],[SEPTEMBER]]&gt;0,"P", " ")</f>
        <v>P</v>
      </c>
      <c r="D10" t="s">
        <v>78</v>
      </c>
      <c r="E10" s="44" t="s">
        <v>1709</v>
      </c>
      <c r="F10" s="44" t="s">
        <v>1710</v>
      </c>
      <c r="G10" s="52"/>
      <c r="M10" s="52">
        <v>200</v>
      </c>
      <c r="N10" s="52">
        <v>200</v>
      </c>
      <c r="O10" s="52">
        <v>200</v>
      </c>
      <c r="T10" s="44"/>
    </row>
    <row r="11" spans="1:20" x14ac:dyDescent="0.25">
      <c r="A11">
        <v>10</v>
      </c>
      <c r="B11" t="s">
        <v>1711</v>
      </c>
      <c r="C11" t="str">
        <f>IF(agalist[[#This Row],[SEPTEMBER]]&gt;0,"P", " ")</f>
        <v>P</v>
      </c>
      <c r="D11" t="s">
        <v>25</v>
      </c>
      <c r="E11" s="44" t="s">
        <v>1712</v>
      </c>
      <c r="F11" s="44" t="s">
        <v>1713</v>
      </c>
      <c r="G11" s="52"/>
      <c r="O11" s="52" t="s">
        <v>321</v>
      </c>
      <c r="T11" s="44"/>
    </row>
    <row r="12" spans="1:20" x14ac:dyDescent="0.25">
      <c r="A12">
        <v>11</v>
      </c>
      <c r="B12" t="s">
        <v>1714</v>
      </c>
      <c r="C12" t="str">
        <f>IF(agalist[[#This Row],[SEPTEMBER]]&gt;0,"P", " ")</f>
        <v xml:space="preserve"> </v>
      </c>
      <c r="G12" s="52"/>
      <c r="T12" s="44"/>
    </row>
    <row r="13" spans="1:20" s="33" customFormat="1" x14ac:dyDescent="0.25">
      <c r="A13" s="33" t="s">
        <v>298</v>
      </c>
      <c r="D13" s="33">
        <f>SUBTOTAL(103,agalist[Package])</f>
        <v>9</v>
      </c>
      <c r="E13" s="38">
        <f>SUBTOTAL(103,agalist[Box No])</f>
        <v>9</v>
      </c>
      <c r="F13" s="38">
        <f>SUBTOTAL(103,agalist[CAF_ID])</f>
        <v>9</v>
      </c>
      <c r="G13" s="34">
        <f>SUBTOTAL(109,agalist[JANUARY])</f>
        <v>0</v>
      </c>
      <c r="H13" s="34">
        <f>SUBTOTAL(109,agalist[FEBEUARY])</f>
        <v>0</v>
      </c>
      <c r="I13" s="34">
        <f>SUBTOTAL(109,agalist[MARCH])</f>
        <v>0</v>
      </c>
      <c r="J13" s="34">
        <f>SUBTOTAL(109,agalist[APRIL])</f>
        <v>0</v>
      </c>
      <c r="K13" s="34">
        <f>SUBTOTAL(109,agalist[MAY])</f>
        <v>0</v>
      </c>
      <c r="L13" s="34">
        <f>SUBTOTAL(109,agalist[JUNE])</f>
        <v>0</v>
      </c>
      <c r="M13" s="34">
        <f>SUBTOTAL(109,agalist[JULY])</f>
        <v>900</v>
      </c>
      <c r="N13" s="34">
        <f>SUBTOTAL(109,agalist[AUGUST])</f>
        <v>1260</v>
      </c>
      <c r="O13" s="34">
        <f>SUBTOTAL(109,agalist[SEPTEMBER])</f>
        <v>860</v>
      </c>
      <c r="P13" s="34">
        <f>SUBTOTAL(109,agalist[OCTOBER])</f>
        <v>0</v>
      </c>
      <c r="Q13" s="34">
        <f>SUBTOTAL(109,agalist[NOVEMBER])</f>
        <v>0</v>
      </c>
      <c r="R13" s="34">
        <f>SUBTOTAL(109,agalist[DECEMBER])</f>
        <v>0</v>
      </c>
      <c r="S13" s="34">
        <f>SUBTOTAL(109,agalist[BALANCE])</f>
        <v>0</v>
      </c>
      <c r="T13" s="38"/>
    </row>
    <row r="15" spans="1:20" x14ac:dyDescent="0.25">
      <c r="B15" s="39" t="s">
        <v>299</v>
      </c>
      <c r="C15" s="39">
        <f>COUNTIF(agalist[PAID],"P")</f>
        <v>6</v>
      </c>
    </row>
    <row r="16" spans="1:20" x14ac:dyDescent="0.25">
      <c r="B16" s="33"/>
      <c r="C16" s="33"/>
    </row>
    <row r="17" spans="2:3" x14ac:dyDescent="0.25">
      <c r="B17" s="35" t="s">
        <v>300</v>
      </c>
      <c r="C17" s="1">
        <f>COUNTIF(agalist[PAID],"P")</f>
        <v>6</v>
      </c>
    </row>
    <row r="18" spans="2:3" x14ac:dyDescent="0.25">
      <c r="B18" s="36" t="s">
        <v>301</v>
      </c>
      <c r="C18" s="5">
        <f>COUNTIF(agalist[PAID],"NP")</f>
        <v>0</v>
      </c>
    </row>
    <row r="19" spans="2:3" x14ac:dyDescent="0.25">
      <c r="B19" s="33"/>
      <c r="C19" s="33"/>
    </row>
    <row r="20" spans="2:3" x14ac:dyDescent="0.25">
      <c r="B20" s="39" t="s">
        <v>302</v>
      </c>
      <c r="C20" s="39">
        <f>C17+C18</f>
        <v>6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R19"/>
  <sheetViews>
    <sheetView zoomScale="115" zoomScaleNormal="115" workbookViewId="0">
      <selection activeCell="S13" sqref="S13"/>
    </sheetView>
  </sheetViews>
  <sheetFormatPr defaultRowHeight="15" x14ac:dyDescent="0.25"/>
  <cols>
    <col min="1" max="1" width="7.28515625" style="61" customWidth="1"/>
    <col min="2" max="2" width="24.85546875" style="61" customWidth="1"/>
    <col min="4" max="4" width="29.5703125" style="61" customWidth="1"/>
    <col min="5" max="5" width="19" style="61" customWidth="1"/>
    <col min="6" max="6" width="11.85546875" style="61" customWidth="1"/>
    <col min="7" max="14" width="10.5703125" style="52" hidden="1" customWidth="1"/>
    <col min="15" max="17" width="10.5703125" style="52" customWidth="1"/>
    <col min="18" max="18" width="10.57031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44" t="s">
        <v>4</v>
      </c>
      <c r="F1" s="44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</row>
    <row r="2" spans="1:18" x14ac:dyDescent="0.25">
      <c r="A2">
        <v>1</v>
      </c>
      <c r="B2" t="s">
        <v>1715</v>
      </c>
      <c r="D2" t="s">
        <v>35</v>
      </c>
      <c r="E2" s="44" t="s">
        <v>1716</v>
      </c>
      <c r="F2" t="s">
        <v>1717</v>
      </c>
      <c r="R2" s="52"/>
    </row>
    <row r="3" spans="1:18" x14ac:dyDescent="0.25">
      <c r="A3">
        <v>2</v>
      </c>
      <c r="B3" t="s">
        <v>1718</v>
      </c>
      <c r="D3" t="s">
        <v>35</v>
      </c>
      <c r="E3" s="44" t="s">
        <v>1719</v>
      </c>
      <c r="F3" t="s">
        <v>1720</v>
      </c>
      <c r="R3" s="52"/>
    </row>
    <row r="4" spans="1:18" x14ac:dyDescent="0.25">
      <c r="A4">
        <v>3</v>
      </c>
      <c r="B4" t="s">
        <v>1721</v>
      </c>
      <c r="D4" t="s">
        <v>35</v>
      </c>
      <c r="E4" s="44" t="s">
        <v>1722</v>
      </c>
      <c r="F4" t="s">
        <v>1723</v>
      </c>
      <c r="R4" s="52"/>
    </row>
    <row r="5" spans="1:18" x14ac:dyDescent="0.25">
      <c r="A5">
        <v>4</v>
      </c>
      <c r="B5" t="s">
        <v>1724</v>
      </c>
      <c r="D5" t="s">
        <v>35</v>
      </c>
      <c r="E5" s="44" t="s">
        <v>1725</v>
      </c>
      <c r="F5" t="s">
        <v>1726</v>
      </c>
      <c r="R5" s="52"/>
    </row>
    <row r="6" spans="1:18" x14ac:dyDescent="0.25">
      <c r="A6">
        <v>5</v>
      </c>
      <c r="B6" t="s">
        <v>1727</v>
      </c>
      <c r="D6" t="s">
        <v>35</v>
      </c>
      <c r="E6" s="44" t="s">
        <v>1728</v>
      </c>
      <c r="F6" t="s">
        <v>1729</v>
      </c>
      <c r="R6" s="52"/>
    </row>
    <row r="7" spans="1:18" x14ac:dyDescent="0.25">
      <c r="A7">
        <v>6</v>
      </c>
      <c r="B7" t="s">
        <v>1730</v>
      </c>
      <c r="D7" t="s">
        <v>78</v>
      </c>
      <c r="E7" s="44" t="s">
        <v>1731</v>
      </c>
      <c r="F7" t="s">
        <v>1732</v>
      </c>
      <c r="R7" s="52"/>
    </row>
    <row r="8" spans="1:18" x14ac:dyDescent="0.25">
      <c r="A8">
        <v>7</v>
      </c>
      <c r="B8" t="s">
        <v>1733</v>
      </c>
      <c r="D8" t="s">
        <v>78</v>
      </c>
      <c r="E8" s="44" t="s">
        <v>1734</v>
      </c>
      <c r="F8" t="s">
        <v>1735</v>
      </c>
      <c r="R8" s="52"/>
    </row>
    <row r="9" spans="1:18" x14ac:dyDescent="0.25">
      <c r="A9">
        <v>8</v>
      </c>
      <c r="B9" t="s">
        <v>1736</v>
      </c>
      <c r="D9" t="s">
        <v>78</v>
      </c>
      <c r="E9" s="44" t="s">
        <v>1737</v>
      </c>
      <c r="F9" t="s">
        <v>1738</v>
      </c>
      <c r="R9" s="52"/>
    </row>
    <row r="10" spans="1:18" x14ac:dyDescent="0.25">
      <c r="A10">
        <v>9</v>
      </c>
      <c r="B10" t="s">
        <v>1739</v>
      </c>
      <c r="D10" t="s">
        <v>78</v>
      </c>
      <c r="E10" s="44" t="s">
        <v>1740</v>
      </c>
      <c r="F10" s="44" t="s">
        <v>1741</v>
      </c>
      <c r="R10" s="52"/>
    </row>
    <row r="11" spans="1:18" x14ac:dyDescent="0.25">
      <c r="A11">
        <v>10</v>
      </c>
      <c r="B11" t="s">
        <v>1742</v>
      </c>
      <c r="D11" t="s">
        <v>78</v>
      </c>
      <c r="E11" s="44" t="s">
        <v>1743</v>
      </c>
      <c r="F11" s="44" t="s">
        <v>1744</v>
      </c>
      <c r="R11" s="52"/>
    </row>
    <row r="12" spans="1:18" s="33" customFormat="1" x14ac:dyDescent="0.25">
      <c r="A12" s="33" t="s">
        <v>298</v>
      </c>
      <c r="D12" s="33">
        <f>SUBTOTAL(103,etteiyampatti[Package])</f>
        <v>10</v>
      </c>
      <c r="E12" s="33">
        <f>SUBTOTAL(103,etteiyampatti[Box No])</f>
        <v>10</v>
      </c>
      <c r="F12" s="33">
        <f>SUBTOTAL(103,etteiyampatti[CAF_ID])</f>
        <v>10</v>
      </c>
    </row>
    <row r="14" spans="1:18" x14ac:dyDescent="0.25">
      <c r="B14" s="39" t="s">
        <v>299</v>
      </c>
      <c r="C14" s="39">
        <f>COUNTIF(etteiyampatti[PAID],"P")</f>
        <v>0</v>
      </c>
      <c r="E14" s="39" t="s">
        <v>1745</v>
      </c>
      <c r="F14"/>
      <c r="G14" s="19">
        <v>1000</v>
      </c>
      <c r="H14" s="19">
        <v>1000</v>
      </c>
      <c r="I14" s="19">
        <v>1000</v>
      </c>
      <c r="J14" s="19">
        <v>1000</v>
      </c>
      <c r="K14" s="19">
        <v>1000</v>
      </c>
      <c r="L14" s="19">
        <v>1000</v>
      </c>
      <c r="M14" s="19">
        <v>1000</v>
      </c>
      <c r="N14" s="19">
        <v>1000</v>
      </c>
      <c r="O14" s="19">
        <v>800</v>
      </c>
      <c r="P14" s="19"/>
      <c r="Q14" s="19"/>
      <c r="R14" s="19"/>
    </row>
    <row r="15" spans="1:18" x14ac:dyDescent="0.25">
      <c r="B15"/>
    </row>
    <row r="16" spans="1:18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/>
  <dimension ref="A1:T35"/>
  <sheetViews>
    <sheetView topLeftCell="A22" zoomScale="130" zoomScaleNormal="130" workbookViewId="0">
      <selection activeCell="D32" sqref="D32"/>
    </sheetView>
  </sheetViews>
  <sheetFormatPr defaultColWidth="8.85546875" defaultRowHeight="15" x14ac:dyDescent="0.25"/>
  <cols>
    <col min="1" max="1" width="5.28515625" style="61" customWidth="1"/>
    <col min="2" max="2" width="20.7109375" style="61" customWidth="1"/>
    <col min="3" max="3" width="7.42578125" style="61" customWidth="1"/>
    <col min="4" max="4" width="31.42578125" style="15" customWidth="1"/>
    <col min="5" max="5" width="22.42578125" style="61" customWidth="1"/>
    <col min="6" max="6" width="10.140625" style="61" customWidth="1"/>
    <col min="7" max="14" width="10.5703125" style="52" hidden="1" customWidth="1"/>
    <col min="15" max="18" width="10.5703125" style="52" customWidth="1"/>
    <col min="19" max="19" width="10.5703125" style="61" customWidth="1"/>
    <col min="20" max="20" width="35" style="61" customWidth="1"/>
    <col min="21" max="44" width="8.85546875" style="61" customWidth="1"/>
    <col min="45" max="16384" width="8.85546875" style="61"/>
  </cols>
  <sheetData>
    <row r="1" spans="1:20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5">
      <c r="A2">
        <v>1</v>
      </c>
      <c r="B2" t="s">
        <v>1746</v>
      </c>
      <c r="C2"/>
      <c r="D2" t="s">
        <v>25</v>
      </c>
      <c r="E2" t="s">
        <v>1747</v>
      </c>
      <c r="F2" t="s">
        <v>1748</v>
      </c>
      <c r="N2" s="52">
        <v>200</v>
      </c>
      <c r="O2" s="52">
        <v>200</v>
      </c>
      <c r="S2" s="52"/>
      <c r="T2" s="52"/>
    </row>
    <row r="3" spans="1:20" x14ac:dyDescent="0.25">
      <c r="A3">
        <v>2</v>
      </c>
      <c r="B3" t="s">
        <v>1749</v>
      </c>
      <c r="C3"/>
      <c r="D3" t="s">
        <v>21</v>
      </c>
      <c r="E3" t="s">
        <v>1750</v>
      </c>
      <c r="F3" t="s">
        <v>1751</v>
      </c>
      <c r="N3" s="52">
        <v>200</v>
      </c>
      <c r="O3" s="52">
        <v>200</v>
      </c>
      <c r="S3" s="52"/>
      <c r="T3" s="52"/>
    </row>
    <row r="4" spans="1:20" x14ac:dyDescent="0.25">
      <c r="A4">
        <v>3</v>
      </c>
      <c r="B4" t="s">
        <v>374</v>
      </c>
      <c r="C4"/>
      <c r="D4" t="s">
        <v>78</v>
      </c>
      <c r="E4" t="s">
        <v>1752</v>
      </c>
      <c r="F4" t="s">
        <v>1753</v>
      </c>
      <c r="N4" s="52">
        <v>200</v>
      </c>
      <c r="O4" s="52">
        <v>200</v>
      </c>
      <c r="S4" s="52"/>
      <c r="T4" s="52"/>
    </row>
    <row r="5" spans="1:20" x14ac:dyDescent="0.25">
      <c r="A5">
        <v>4</v>
      </c>
      <c r="B5" t="s">
        <v>1754</v>
      </c>
      <c r="C5"/>
      <c r="D5" t="s">
        <v>25</v>
      </c>
      <c r="E5" t="s">
        <v>1755</v>
      </c>
      <c r="F5" t="s">
        <v>1756</v>
      </c>
      <c r="N5" s="52">
        <v>200</v>
      </c>
      <c r="O5" s="52">
        <v>200</v>
      </c>
      <c r="S5" s="52"/>
      <c r="T5" s="52"/>
    </row>
    <row r="6" spans="1:20" x14ac:dyDescent="0.25">
      <c r="A6">
        <v>5</v>
      </c>
      <c r="B6" t="s">
        <v>1757</v>
      </c>
      <c r="C6"/>
      <c r="D6" t="s">
        <v>78</v>
      </c>
      <c r="E6" t="s">
        <v>1758</v>
      </c>
      <c r="F6" t="s">
        <v>1759</v>
      </c>
      <c r="N6" s="52">
        <v>200</v>
      </c>
      <c r="O6" s="52">
        <v>200</v>
      </c>
      <c r="S6" s="52"/>
      <c r="T6" s="52"/>
    </row>
    <row r="7" spans="1:20" x14ac:dyDescent="0.25">
      <c r="A7">
        <v>6</v>
      </c>
      <c r="B7" t="s">
        <v>1760</v>
      </c>
      <c r="C7"/>
      <c r="D7" t="s">
        <v>35</v>
      </c>
      <c r="E7" t="s">
        <v>1761</v>
      </c>
      <c r="F7" t="s">
        <v>1762</v>
      </c>
      <c r="N7" s="52">
        <v>200</v>
      </c>
      <c r="O7" s="52">
        <v>200</v>
      </c>
      <c r="S7" s="52"/>
      <c r="T7" s="52"/>
    </row>
    <row r="8" spans="1:20" x14ac:dyDescent="0.25">
      <c r="A8">
        <v>7</v>
      </c>
      <c r="B8" t="s">
        <v>1763</v>
      </c>
      <c r="C8"/>
      <c r="D8" t="s">
        <v>21</v>
      </c>
      <c r="E8" t="s">
        <v>1764</v>
      </c>
      <c r="F8" t="s">
        <v>1765</v>
      </c>
      <c r="N8" s="52">
        <v>200</v>
      </c>
      <c r="O8" s="52">
        <v>200</v>
      </c>
      <c r="S8" s="52"/>
      <c r="T8" s="52"/>
    </row>
    <row r="9" spans="1:20" x14ac:dyDescent="0.25">
      <c r="A9">
        <v>8</v>
      </c>
      <c r="B9" t="s">
        <v>1766</v>
      </c>
      <c r="C9"/>
      <c r="D9" t="s">
        <v>242</v>
      </c>
      <c r="E9" t="s">
        <v>1767</v>
      </c>
      <c r="F9" t="s">
        <v>1768</v>
      </c>
      <c r="N9" s="52">
        <v>200</v>
      </c>
      <c r="O9" s="52">
        <v>200</v>
      </c>
      <c r="S9" s="52"/>
      <c r="T9" s="52"/>
    </row>
    <row r="10" spans="1:20" x14ac:dyDescent="0.25">
      <c r="A10">
        <v>9</v>
      </c>
      <c r="B10" t="s">
        <v>138</v>
      </c>
      <c r="C10"/>
      <c r="D10" t="s">
        <v>25</v>
      </c>
      <c r="E10" t="s">
        <v>426</v>
      </c>
      <c r="F10" t="s">
        <v>427</v>
      </c>
      <c r="S10" s="52"/>
      <c r="T10" s="52"/>
    </row>
    <row r="11" spans="1:20" x14ac:dyDescent="0.25">
      <c r="A11">
        <v>10</v>
      </c>
      <c r="B11" t="s">
        <v>1769</v>
      </c>
      <c r="C11"/>
      <c r="D11" t="s">
        <v>78</v>
      </c>
      <c r="E11" t="s">
        <v>1770</v>
      </c>
      <c r="F11" t="s">
        <v>1771</v>
      </c>
      <c r="N11" s="52">
        <v>200</v>
      </c>
      <c r="O11" s="52">
        <v>200</v>
      </c>
      <c r="S11" s="52"/>
      <c r="T11" s="52"/>
    </row>
    <row r="12" spans="1:20" ht="18" customHeight="1" x14ac:dyDescent="0.25">
      <c r="A12">
        <v>11</v>
      </c>
      <c r="B12" t="s">
        <v>1772</v>
      </c>
      <c r="C12"/>
      <c r="D12" t="s">
        <v>25</v>
      </c>
      <c r="E12" t="s">
        <v>1773</v>
      </c>
      <c r="F12" t="s">
        <v>1774</v>
      </c>
      <c r="N12" s="52">
        <v>200</v>
      </c>
      <c r="O12" s="52">
        <v>200</v>
      </c>
      <c r="S12" s="52"/>
      <c r="T12" s="52"/>
    </row>
    <row r="13" spans="1:20" x14ac:dyDescent="0.25">
      <c r="A13">
        <v>12</v>
      </c>
      <c r="B13" t="s">
        <v>1775</v>
      </c>
      <c r="C13"/>
      <c r="D13" t="s">
        <v>21</v>
      </c>
      <c r="E13" t="s">
        <v>1776</v>
      </c>
      <c r="F13" t="s">
        <v>1777</v>
      </c>
      <c r="N13" s="52">
        <v>200</v>
      </c>
      <c r="O13" s="52">
        <v>200</v>
      </c>
      <c r="S13" s="52"/>
      <c r="T13" s="52"/>
    </row>
    <row r="14" spans="1:20" x14ac:dyDescent="0.25">
      <c r="A14">
        <v>13</v>
      </c>
      <c r="B14" t="s">
        <v>120</v>
      </c>
      <c r="C14"/>
      <c r="D14" t="s">
        <v>45</v>
      </c>
      <c r="E14" t="s">
        <v>1778</v>
      </c>
      <c r="F14" t="s">
        <v>1779</v>
      </c>
      <c r="N14" s="52">
        <v>200</v>
      </c>
      <c r="O14" s="52">
        <v>200</v>
      </c>
      <c r="S14" s="52"/>
      <c r="T14" s="52"/>
    </row>
    <row r="15" spans="1:20" x14ac:dyDescent="0.25">
      <c r="A15">
        <v>14</v>
      </c>
      <c r="B15" t="s">
        <v>888</v>
      </c>
      <c r="C15"/>
      <c r="D15" t="s">
        <v>35</v>
      </c>
      <c r="E15" t="s">
        <v>1780</v>
      </c>
      <c r="F15" t="s">
        <v>1781</v>
      </c>
      <c r="N15" s="52">
        <v>200</v>
      </c>
      <c r="O15" s="52">
        <v>200</v>
      </c>
      <c r="S15" s="52"/>
      <c r="T15" s="52"/>
    </row>
    <row r="16" spans="1:20" x14ac:dyDescent="0.25">
      <c r="A16">
        <v>15</v>
      </c>
      <c r="B16" t="s">
        <v>1782</v>
      </c>
      <c r="C16"/>
      <c r="D16" t="s">
        <v>21</v>
      </c>
      <c r="E16" t="s">
        <v>1783</v>
      </c>
      <c r="F16" t="s">
        <v>1784</v>
      </c>
      <c r="N16" s="52">
        <v>200</v>
      </c>
      <c r="O16" s="52">
        <v>200</v>
      </c>
      <c r="S16" s="52"/>
      <c r="T16" s="52"/>
    </row>
    <row r="17" spans="1:20" x14ac:dyDescent="0.25">
      <c r="A17">
        <v>16</v>
      </c>
      <c r="B17" t="s">
        <v>255</v>
      </c>
      <c r="C17"/>
      <c r="D17"/>
      <c r="E17" t="s">
        <v>1785</v>
      </c>
      <c r="F17" t="s">
        <v>1786</v>
      </c>
      <c r="N17" s="52">
        <v>200</v>
      </c>
      <c r="S17" s="52"/>
      <c r="T17" s="52"/>
    </row>
    <row r="18" spans="1:20" x14ac:dyDescent="0.25">
      <c r="A18">
        <v>17</v>
      </c>
      <c r="B18" t="s">
        <v>1294</v>
      </c>
      <c r="C18"/>
      <c r="D18" t="s">
        <v>35</v>
      </c>
      <c r="E18" t="s">
        <v>1787</v>
      </c>
      <c r="F18" t="s">
        <v>1788</v>
      </c>
      <c r="N18" s="52">
        <v>200</v>
      </c>
      <c r="O18" s="52">
        <v>200</v>
      </c>
      <c r="S18" s="52"/>
      <c r="T18" s="52"/>
    </row>
    <row r="19" spans="1:20" x14ac:dyDescent="0.25">
      <c r="A19">
        <v>18</v>
      </c>
      <c r="B19" t="s">
        <v>1175</v>
      </c>
      <c r="C19"/>
      <c r="D19" t="s">
        <v>78</v>
      </c>
      <c r="E19" t="s">
        <v>1789</v>
      </c>
      <c r="F19" t="s">
        <v>1249</v>
      </c>
      <c r="N19" s="52">
        <v>200</v>
      </c>
      <c r="O19" s="52">
        <v>200</v>
      </c>
      <c r="S19" s="52"/>
      <c r="T19" s="52"/>
    </row>
    <row r="20" spans="1:20" x14ac:dyDescent="0.25">
      <c r="A20">
        <v>19</v>
      </c>
      <c r="B20" t="s">
        <v>1790</v>
      </c>
      <c r="C20"/>
      <c r="D20" t="s">
        <v>78</v>
      </c>
      <c r="E20" t="s">
        <v>1791</v>
      </c>
      <c r="F20" t="s">
        <v>1792</v>
      </c>
      <c r="N20" s="52">
        <v>200</v>
      </c>
      <c r="O20" s="52">
        <v>200</v>
      </c>
      <c r="S20" s="52"/>
      <c r="T20" s="52"/>
    </row>
    <row r="21" spans="1:20" x14ac:dyDescent="0.25">
      <c r="A21">
        <v>20</v>
      </c>
      <c r="B21" t="s">
        <v>1793</v>
      </c>
      <c r="C21"/>
      <c r="D21" t="s">
        <v>25</v>
      </c>
      <c r="E21" t="s">
        <v>1794</v>
      </c>
      <c r="F21" t="s">
        <v>1795</v>
      </c>
      <c r="N21" s="52">
        <v>200</v>
      </c>
      <c r="O21" s="52">
        <v>200</v>
      </c>
      <c r="S21" s="52"/>
      <c r="T21" s="52"/>
    </row>
    <row r="22" spans="1:20" x14ac:dyDescent="0.25">
      <c r="A22">
        <v>21</v>
      </c>
      <c r="B22" t="s">
        <v>1796</v>
      </c>
      <c r="C22"/>
      <c r="D22" t="s">
        <v>78</v>
      </c>
      <c r="E22" t="s">
        <v>1797</v>
      </c>
      <c r="F22" t="s">
        <v>1798</v>
      </c>
      <c r="O22" s="52">
        <v>200</v>
      </c>
      <c r="S22" s="52"/>
      <c r="T22" s="52"/>
    </row>
    <row r="23" spans="1:20" x14ac:dyDescent="0.25">
      <c r="A23">
        <v>22</v>
      </c>
      <c r="B23" t="s">
        <v>1799</v>
      </c>
      <c r="C23"/>
      <c r="D23" t="s">
        <v>971</v>
      </c>
      <c r="E23" t="s">
        <v>1800</v>
      </c>
      <c r="F23" t="s">
        <v>1801</v>
      </c>
      <c r="N23" s="52">
        <v>200</v>
      </c>
      <c r="O23" s="52">
        <v>200</v>
      </c>
      <c r="S23" s="52"/>
      <c r="T23" s="52"/>
    </row>
    <row r="24" spans="1:20" x14ac:dyDescent="0.25">
      <c r="A24">
        <v>23</v>
      </c>
      <c r="B24" t="s">
        <v>1802</v>
      </c>
      <c r="C24"/>
      <c r="D24" t="s">
        <v>35</v>
      </c>
      <c r="E24" t="s">
        <v>1803</v>
      </c>
      <c r="F24" t="s">
        <v>1804</v>
      </c>
      <c r="N24" s="52">
        <v>200</v>
      </c>
      <c r="O24" s="52">
        <v>200</v>
      </c>
      <c r="S24" s="52"/>
      <c r="T24" s="52"/>
    </row>
    <row r="25" spans="1:20" x14ac:dyDescent="0.25">
      <c r="A25">
        <v>24</v>
      </c>
      <c r="B25" t="s">
        <v>1805</v>
      </c>
      <c r="C25"/>
      <c r="D25" t="s">
        <v>25</v>
      </c>
      <c r="E25" t="s">
        <v>1806</v>
      </c>
      <c r="F25" t="s">
        <v>1534</v>
      </c>
      <c r="S25" s="52"/>
      <c r="T25" s="52"/>
    </row>
    <row r="26" spans="1:20" x14ac:dyDescent="0.25">
      <c r="A26">
        <v>25</v>
      </c>
      <c r="B26" t="s">
        <v>54</v>
      </c>
      <c r="C26"/>
      <c r="D26" t="s">
        <v>35</v>
      </c>
      <c r="E26" t="s">
        <v>1807</v>
      </c>
      <c r="F26" t="s">
        <v>1808</v>
      </c>
      <c r="N26" s="52">
        <v>200</v>
      </c>
      <c r="S26" s="52"/>
      <c r="T26" s="52"/>
    </row>
    <row r="27" spans="1:20" x14ac:dyDescent="0.25">
      <c r="A27">
        <v>26</v>
      </c>
      <c r="B27" t="s">
        <v>1809</v>
      </c>
      <c r="C27"/>
      <c r="D27"/>
      <c r="E27" t="s">
        <v>1810</v>
      </c>
      <c r="F27" t="s">
        <v>1811</v>
      </c>
      <c r="N27" s="52">
        <v>200</v>
      </c>
      <c r="S27" s="52"/>
      <c r="T27" s="52"/>
    </row>
    <row r="28" spans="1:20" x14ac:dyDescent="0.25">
      <c r="A28" s="33" t="s">
        <v>298</v>
      </c>
      <c r="B28" s="33"/>
      <c r="C28" s="33"/>
      <c r="D28" s="33">
        <f>SUBTOTAL(103,pudhur[Package])</f>
        <v>24</v>
      </c>
      <c r="E28" s="33">
        <f>SUBTOTAL(103,pudhur[Box No])</f>
        <v>26</v>
      </c>
      <c r="F28" s="33">
        <f>SUBTOTAL(103,pudhur[CAF_ID])</f>
        <v>26</v>
      </c>
      <c r="G28" s="34">
        <f>SUBTOTAL(109,pudhur[JANUARY])</f>
        <v>0</v>
      </c>
      <c r="H28" s="34">
        <f>SUBTOTAL(109,pudhur[FEBEUARY])</f>
        <v>0</v>
      </c>
      <c r="I28" s="34">
        <f>SUBTOTAL(109,pudhur[MARCH])</f>
        <v>0</v>
      </c>
      <c r="J28" s="34">
        <f>SUBTOTAL(109,pudhur[APRIL])</f>
        <v>0</v>
      </c>
      <c r="K28" s="34">
        <f>SUBTOTAL(109,pudhur[MAY])</f>
        <v>0</v>
      </c>
      <c r="L28" s="34">
        <f>SUBTOTAL(109,pudhur[JUNE])</f>
        <v>0</v>
      </c>
      <c r="M28" s="34">
        <f>SUBTOTAL(109,pudhur[JULY])</f>
        <v>0</v>
      </c>
      <c r="N28" s="34">
        <f>SUBTOTAL(109,pudhur[AUGUST])</f>
        <v>4600</v>
      </c>
      <c r="O28" s="34">
        <f>SUBTOTAL(109,pudhur[SEPTEMBER])</f>
        <v>4200</v>
      </c>
      <c r="P28" s="34">
        <f>SUBTOTAL(109,pudhur[OCTOBER])</f>
        <v>0</v>
      </c>
      <c r="Q28" s="34">
        <f>SUBTOTAL(109,pudhur[NOVEMBER])</f>
        <v>0</v>
      </c>
      <c r="R28" s="34">
        <f>SUBTOTAL(109,pudhur[DECEMBER])</f>
        <v>0</v>
      </c>
      <c r="S28" s="34">
        <f>SUBTOTAL(109,pudhur[BALANCE])</f>
        <v>0</v>
      </c>
      <c r="T28" s="33"/>
    </row>
    <row r="30" spans="1:20" x14ac:dyDescent="0.25">
      <c r="B30" s="39" t="s">
        <v>299</v>
      </c>
      <c r="C30" s="39">
        <f>COUNTIF(pudhur[PAID],"P")</f>
        <v>0</v>
      </c>
    </row>
    <row r="31" spans="1:20" x14ac:dyDescent="0.25">
      <c r="B31" s="33"/>
      <c r="C31" s="33"/>
    </row>
    <row r="32" spans="1:20" x14ac:dyDescent="0.25">
      <c r="B32" s="35" t="s">
        <v>300</v>
      </c>
      <c r="C32" s="1">
        <f>COUNTIF(C2:C27,"P")</f>
        <v>0</v>
      </c>
    </row>
    <row r="33" spans="2:3" x14ac:dyDescent="0.25">
      <c r="B33" s="36" t="s">
        <v>301</v>
      </c>
      <c r="C33" s="5">
        <f>COUNTIF(C2:C27,"NP")</f>
        <v>0</v>
      </c>
    </row>
    <row r="34" spans="2:3" x14ac:dyDescent="0.25">
      <c r="B34" s="33"/>
      <c r="C34" s="33"/>
    </row>
    <row r="35" spans="2:3" x14ac:dyDescent="0.25">
      <c r="B35" s="39" t="s">
        <v>302</v>
      </c>
      <c r="C35" s="39">
        <f>C32+C33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/>
  <dimension ref="A1:V19"/>
  <sheetViews>
    <sheetView zoomScale="130" zoomScaleNormal="130" workbookViewId="0">
      <selection activeCell="D13" sqref="D13"/>
    </sheetView>
  </sheetViews>
  <sheetFormatPr defaultColWidth="8.85546875" defaultRowHeight="15" x14ac:dyDescent="0.25"/>
  <cols>
    <col min="1" max="1" width="6.7109375" style="61" customWidth="1"/>
    <col min="2" max="2" width="22.7109375" style="61" customWidth="1"/>
    <col min="3" max="3" width="6.85546875" style="61" customWidth="1"/>
    <col min="4" max="4" width="28.42578125" style="61" customWidth="1"/>
    <col min="5" max="5" width="22.28515625" style="61" customWidth="1"/>
    <col min="6" max="6" width="12.42578125" style="61" customWidth="1"/>
    <col min="7" max="14" width="10" style="52" hidden="1" customWidth="1"/>
    <col min="15" max="18" width="10" style="52" customWidth="1"/>
    <col min="19" max="19" width="9.7109375" style="61" customWidth="1"/>
    <col min="20" max="20" width="34.7109375" style="61" customWidth="1"/>
    <col min="21" max="44" width="8.85546875" style="61" customWidth="1"/>
    <col min="45" max="16384" width="8.85546875" style="61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2" x14ac:dyDescent="0.25">
      <c r="A2">
        <v>1</v>
      </c>
      <c r="B2" t="s">
        <v>1282</v>
      </c>
      <c r="C2" t="str">
        <f>IF(sankark[[#This Row],[SEPTEMBER]]&gt;0,"P"," ")</f>
        <v>P</v>
      </c>
      <c r="D2" t="s">
        <v>78</v>
      </c>
      <c r="E2" t="s">
        <v>1812</v>
      </c>
      <c r="F2" t="s">
        <v>1813</v>
      </c>
      <c r="N2" s="52">
        <v>200</v>
      </c>
      <c r="O2" s="52">
        <v>200</v>
      </c>
      <c r="S2" s="52"/>
      <c r="T2"/>
    </row>
    <row r="3" spans="1:22" x14ac:dyDescent="0.25">
      <c r="A3">
        <v>2</v>
      </c>
      <c r="B3" t="s">
        <v>1814</v>
      </c>
      <c r="C3" t="str">
        <f>IF(sankark[[#This Row],[SEPTEMBER]]&gt;0,"P"," ")</f>
        <v xml:space="preserve"> </v>
      </c>
      <c r="D3" t="s">
        <v>35</v>
      </c>
      <c r="E3" t="s">
        <v>1815</v>
      </c>
      <c r="F3" t="s">
        <v>1816</v>
      </c>
      <c r="S3" s="52"/>
      <c r="T3"/>
    </row>
    <row r="4" spans="1:22" x14ac:dyDescent="0.25">
      <c r="A4">
        <v>3</v>
      </c>
      <c r="B4" t="s">
        <v>1075</v>
      </c>
      <c r="C4" t="str">
        <f>IF(sankark[[#This Row],[SEPTEMBER]]&gt;0,"P"," ")</f>
        <v>P</v>
      </c>
      <c r="D4" t="s">
        <v>35</v>
      </c>
      <c r="E4" t="s">
        <v>1817</v>
      </c>
      <c r="F4" t="s">
        <v>1818</v>
      </c>
      <c r="N4" s="52">
        <v>200</v>
      </c>
      <c r="O4" s="52">
        <v>200</v>
      </c>
      <c r="S4" s="52"/>
      <c r="T4"/>
    </row>
    <row r="5" spans="1:22" x14ac:dyDescent="0.25">
      <c r="A5">
        <v>4</v>
      </c>
      <c r="B5" t="s">
        <v>54</v>
      </c>
      <c r="C5" t="str">
        <f>IF(sankark[[#This Row],[SEPTEMBER]]&gt;0,"P"," ")</f>
        <v xml:space="preserve"> </v>
      </c>
      <c r="D5"/>
      <c r="E5"/>
      <c r="F5"/>
      <c r="S5" s="52"/>
      <c r="T5"/>
    </row>
    <row r="6" spans="1:22" x14ac:dyDescent="0.25">
      <c r="A6">
        <v>5</v>
      </c>
      <c r="B6" t="s">
        <v>1819</v>
      </c>
      <c r="C6" t="str">
        <f>IF(sankark[[#This Row],[SEPTEMBER]]&gt;0,"P"," ")</f>
        <v xml:space="preserve"> </v>
      </c>
      <c r="D6"/>
      <c r="E6" t="s">
        <v>1820</v>
      </c>
      <c r="F6" t="s">
        <v>1821</v>
      </c>
      <c r="S6" s="52"/>
      <c r="T6"/>
    </row>
    <row r="7" spans="1:22" x14ac:dyDescent="0.25">
      <c r="A7">
        <v>6</v>
      </c>
      <c r="B7" t="s">
        <v>221</v>
      </c>
      <c r="C7" t="str">
        <f>IF(sankark[[#This Row],[SEPTEMBER]]&gt;0,"P"," ")</f>
        <v xml:space="preserve"> </v>
      </c>
      <c r="D7" t="s">
        <v>78</v>
      </c>
      <c r="E7" t="s">
        <v>1822</v>
      </c>
      <c r="F7" t="s">
        <v>1823</v>
      </c>
      <c r="N7" s="52" t="s">
        <v>248</v>
      </c>
      <c r="S7" s="52"/>
      <c r="T7"/>
    </row>
    <row r="8" spans="1:22" x14ac:dyDescent="0.25">
      <c r="A8">
        <v>7</v>
      </c>
      <c r="B8" t="s">
        <v>1824</v>
      </c>
      <c r="C8" t="str">
        <f>IF(sankark[[#This Row],[SEPTEMBER]]&gt;0,"P"," ")</f>
        <v>P</v>
      </c>
      <c r="D8"/>
      <c r="E8" t="s">
        <v>1825</v>
      </c>
      <c r="F8" t="s">
        <v>1826</v>
      </c>
      <c r="N8" s="52">
        <v>200</v>
      </c>
      <c r="O8" s="52">
        <v>200</v>
      </c>
      <c r="S8" s="52"/>
      <c r="T8"/>
    </row>
    <row r="9" spans="1:22" x14ac:dyDescent="0.25">
      <c r="A9">
        <v>8</v>
      </c>
      <c r="B9" t="s">
        <v>1827</v>
      </c>
      <c r="C9" t="str">
        <f>IF(sankark[[#This Row],[SEPTEMBER]]&gt;0,"P"," ")</f>
        <v>P</v>
      </c>
      <c r="D9" t="s">
        <v>78</v>
      </c>
      <c r="E9" t="s">
        <v>1828</v>
      </c>
      <c r="F9" t="s">
        <v>1829</v>
      </c>
      <c r="N9" s="52">
        <v>200</v>
      </c>
      <c r="O9" s="52">
        <v>200</v>
      </c>
      <c r="S9" s="52"/>
      <c r="T9"/>
    </row>
    <row r="10" spans="1:22" x14ac:dyDescent="0.25">
      <c r="A10">
        <v>9</v>
      </c>
      <c r="B10" t="s">
        <v>691</v>
      </c>
      <c r="C10" t="str">
        <f>IF(sankark[[#This Row],[SEPTEMBER]]&gt;0,"P"," ")</f>
        <v xml:space="preserve"> </v>
      </c>
      <c r="D10" t="s">
        <v>78</v>
      </c>
      <c r="E10" t="s">
        <v>1830</v>
      </c>
      <c r="F10" t="s">
        <v>1831</v>
      </c>
      <c r="N10" s="52">
        <v>200</v>
      </c>
      <c r="S10" s="52"/>
      <c r="T10"/>
    </row>
    <row r="11" spans="1:22" s="33" customFormat="1" x14ac:dyDescent="0.25">
      <c r="A11" s="33" t="s">
        <v>298</v>
      </c>
      <c r="D11" s="33">
        <f>SUBTOTAL(103,sankark[Package])</f>
        <v>6</v>
      </c>
      <c r="E11" s="33">
        <f>SUBTOTAL(103,sankark[Box No])</f>
        <v>8</v>
      </c>
      <c r="F11" s="33">
        <f>SUBTOTAL(103,sankark[CAF_ID])</f>
        <v>8</v>
      </c>
      <c r="G11" s="34">
        <f>SUBTOTAL(109,sankark[JANUARY])</f>
        <v>0</v>
      </c>
      <c r="H11" s="34">
        <f>SUBTOTAL(109,sankark[FEBEUARY])</f>
        <v>0</v>
      </c>
      <c r="I11" s="34">
        <f>SUBTOTAL(109,sankark[MARCH])</f>
        <v>0</v>
      </c>
      <c r="J11" s="34">
        <f>SUBTOTAL(109,sankark[APRIL])</f>
        <v>0</v>
      </c>
      <c r="K11" s="34">
        <f>SUBTOTAL(109,sankark[MAY])</f>
        <v>0</v>
      </c>
      <c r="L11" s="34">
        <f>SUBTOTAL(109,sankark[JUNE])</f>
        <v>0</v>
      </c>
      <c r="M11" s="34">
        <f>SUBTOTAL(109,sankark[JULY])</f>
        <v>0</v>
      </c>
      <c r="N11" s="34">
        <f>SUBTOTAL(109,sankark[AUGUST])</f>
        <v>1000</v>
      </c>
      <c r="O11" s="34">
        <f>SUBTOTAL(109,sankark[SEPTEMBER])</f>
        <v>800</v>
      </c>
      <c r="P11" s="34">
        <f>SUBTOTAL(109,sankark[OCTOBER])</f>
        <v>0</v>
      </c>
      <c r="Q11" s="34">
        <f>SUBTOTAL(109,sankark[NOVEMBER])</f>
        <v>0</v>
      </c>
      <c r="R11" s="34">
        <f>SUBTOTAL(109,sankark[DECEMBER])</f>
        <v>0</v>
      </c>
      <c r="S11" s="34">
        <f>SUBTOTAL(109,sankark[BALANCE])</f>
        <v>0</v>
      </c>
    </row>
    <row r="12" spans="1:22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25">
      <c r="A13"/>
      <c r="B13" t="s">
        <v>299</v>
      </c>
      <c r="C13">
        <f>COUNTIF(C2:C10,"P")</f>
        <v>4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25">
      <c r="A15"/>
      <c r="B15" t="s">
        <v>300</v>
      </c>
      <c r="C15">
        <f>COUNTIF(C2:C10,"P")</f>
        <v>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25">
      <c r="A16"/>
      <c r="B16" t="s">
        <v>301</v>
      </c>
      <c r="C16">
        <f>COUNTIF(C2:C10,"NP")</f>
        <v>0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 t="s">
        <v>302</v>
      </c>
      <c r="C18">
        <f>C15+C16</f>
        <v>4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"/>
  <dimension ref="A1:T44"/>
  <sheetViews>
    <sheetView topLeftCell="A26" zoomScale="130" zoomScaleNormal="130" workbookViewId="0">
      <selection activeCell="E40" sqref="E40"/>
    </sheetView>
  </sheetViews>
  <sheetFormatPr defaultRowHeight="15" x14ac:dyDescent="0.25"/>
  <cols>
    <col min="1" max="1" width="6" style="61" customWidth="1"/>
    <col min="2" max="2" width="25.85546875" style="44" customWidth="1"/>
    <col min="3" max="3" width="9" style="44" customWidth="1"/>
    <col min="4" max="4" width="29.7109375" style="44" customWidth="1"/>
    <col min="5" max="5" width="20.85546875" style="44" customWidth="1"/>
    <col min="6" max="6" width="11.7109375" style="52" bestFit="1" customWidth="1"/>
    <col min="7" max="7" width="21.42578125" style="16" customWidth="1"/>
    <col min="8" max="8" width="11.85546875" style="16" customWidth="1"/>
    <col min="9" max="9" width="11.5703125" style="16" customWidth="1"/>
    <col min="10" max="10" width="13.7109375" style="16" customWidth="1"/>
    <col min="11" max="11" width="11.28515625" style="16" customWidth="1"/>
    <col min="12" max="12" width="11.5703125" style="16" customWidth="1"/>
    <col min="13" max="15" width="9.140625" style="16" customWidth="1"/>
    <col min="16" max="16" width="11" style="16" customWidth="1"/>
    <col min="17" max="17" width="11.5703125" style="16" customWidth="1"/>
    <col min="18" max="18" width="11.42578125" style="16" customWidth="1"/>
  </cols>
  <sheetData>
    <row r="1" spans="1:20" x14ac:dyDescent="0.25">
      <c r="A1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5</v>
      </c>
      <c r="G1" s="44" t="s">
        <v>19</v>
      </c>
      <c r="H1" s="16" t="s">
        <v>18</v>
      </c>
      <c r="I1" s="16" t="s">
        <v>6</v>
      </c>
      <c r="J1" s="16" t="s">
        <v>7</v>
      </c>
      <c r="K1" s="16" t="s">
        <v>8</v>
      </c>
      <c r="L1" s="16" t="s">
        <v>9</v>
      </c>
      <c r="M1" s="16" t="s">
        <v>10</v>
      </c>
      <c r="N1" s="16" t="s">
        <v>11</v>
      </c>
      <c r="O1" s="16" t="s">
        <v>12</v>
      </c>
      <c r="P1" s="16" t="s">
        <v>13</v>
      </c>
      <c r="Q1" s="16" t="s">
        <v>14</v>
      </c>
      <c r="R1" s="16" t="s">
        <v>15</v>
      </c>
      <c r="S1" s="16" t="s">
        <v>16</v>
      </c>
      <c r="T1" s="16" t="s">
        <v>17</v>
      </c>
    </row>
    <row r="2" spans="1:20" x14ac:dyDescent="0.25">
      <c r="A2">
        <v>1</v>
      </c>
      <c r="B2" s="44" t="s">
        <v>882</v>
      </c>
      <c r="C2" t="str">
        <f>IF(kamarajnagar[[#This Row],[SEPTEMBER]]&gt;0,"P"," ")</f>
        <v>P</v>
      </c>
      <c r="D2" t="s">
        <v>25</v>
      </c>
      <c r="E2" s="44" t="s">
        <v>1832</v>
      </c>
      <c r="F2" s="44" t="s">
        <v>1833</v>
      </c>
      <c r="G2" s="44"/>
      <c r="I2" s="16">
        <v>200</v>
      </c>
      <c r="J2" s="16">
        <v>200</v>
      </c>
      <c r="K2" s="16">
        <v>200</v>
      </c>
      <c r="L2" s="16">
        <v>200</v>
      </c>
      <c r="P2" s="16">
        <v>200</v>
      </c>
      <c r="Q2" s="16">
        <v>200</v>
      </c>
      <c r="S2" s="16"/>
      <c r="T2" s="16"/>
    </row>
    <row r="3" spans="1:20" x14ac:dyDescent="0.25">
      <c r="A3">
        <v>2</v>
      </c>
      <c r="B3" s="44" t="s">
        <v>1834</v>
      </c>
      <c r="C3" t="str">
        <f>IF(kamarajnagar[[#This Row],[SEPTEMBER]]&gt;0,"P"," ")</f>
        <v>P</v>
      </c>
      <c r="D3" t="s">
        <v>25</v>
      </c>
      <c r="E3" s="44" t="s">
        <v>1835</v>
      </c>
      <c r="F3" s="44" t="s">
        <v>1836</v>
      </c>
      <c r="G3" s="44"/>
      <c r="I3" s="16">
        <v>200</v>
      </c>
      <c r="J3" s="16">
        <v>200</v>
      </c>
      <c r="K3" s="16">
        <v>200</v>
      </c>
      <c r="L3" s="16">
        <v>200</v>
      </c>
      <c r="P3" s="16">
        <v>200</v>
      </c>
      <c r="Q3" s="16">
        <v>200</v>
      </c>
      <c r="S3" s="16"/>
      <c r="T3" s="16"/>
    </row>
    <row r="4" spans="1:20" x14ac:dyDescent="0.25">
      <c r="A4">
        <v>3</v>
      </c>
      <c r="B4" s="44" t="s">
        <v>1837</v>
      </c>
      <c r="C4" t="str">
        <f>IF(kamarajnagar[[#This Row],[SEPTEMBER]]&gt;0,"P"," ")</f>
        <v xml:space="preserve"> </v>
      </c>
      <c r="E4" s="44" t="s">
        <v>1838</v>
      </c>
      <c r="F4" s="44" t="s">
        <v>1839</v>
      </c>
      <c r="G4" s="44"/>
      <c r="I4" s="16">
        <v>200</v>
      </c>
      <c r="J4" s="16">
        <v>200</v>
      </c>
      <c r="K4" s="16">
        <v>200</v>
      </c>
      <c r="L4" s="16">
        <v>200</v>
      </c>
      <c r="S4" s="16"/>
      <c r="T4" s="16"/>
    </row>
    <row r="5" spans="1:20" x14ac:dyDescent="0.25">
      <c r="A5">
        <v>4</v>
      </c>
      <c r="B5" s="44" t="s">
        <v>1840</v>
      </c>
      <c r="C5" t="str">
        <f>IF(kamarajnagar[[#This Row],[SEPTEMBER]]&gt;0,"P"," ")</f>
        <v>P</v>
      </c>
      <c r="D5" t="s">
        <v>78</v>
      </c>
      <c r="E5" s="44" t="s">
        <v>1841</v>
      </c>
      <c r="F5" s="44" t="s">
        <v>1842</v>
      </c>
      <c r="G5" s="44"/>
      <c r="P5" s="16">
        <v>200</v>
      </c>
      <c r="Q5" s="16">
        <v>200</v>
      </c>
      <c r="S5" s="16"/>
      <c r="T5" s="16"/>
    </row>
    <row r="6" spans="1:20" x14ac:dyDescent="0.25">
      <c r="A6">
        <v>5</v>
      </c>
      <c r="B6" s="44" t="s">
        <v>1843</v>
      </c>
      <c r="C6" t="str">
        <f>IF(kamarajnagar[[#This Row],[SEPTEMBER]]&gt;0,"P"," ")</f>
        <v>P</v>
      </c>
      <c r="D6" t="s">
        <v>78</v>
      </c>
      <c r="E6" s="44" t="s">
        <v>1844</v>
      </c>
      <c r="F6" s="44" t="s">
        <v>1845</v>
      </c>
      <c r="G6" s="44"/>
      <c r="I6" s="16">
        <v>200</v>
      </c>
      <c r="J6" s="16">
        <v>200</v>
      </c>
      <c r="K6" s="16">
        <v>200</v>
      </c>
      <c r="P6" s="16">
        <v>200</v>
      </c>
      <c r="Q6" s="16">
        <v>200</v>
      </c>
      <c r="S6" s="16"/>
      <c r="T6" s="16"/>
    </row>
    <row r="7" spans="1:20" x14ac:dyDescent="0.25">
      <c r="A7">
        <v>6</v>
      </c>
      <c r="B7" s="44" t="s">
        <v>1846</v>
      </c>
      <c r="C7" t="str">
        <f>IF(kamarajnagar[[#This Row],[SEPTEMBER]]&gt;0,"P"," ")</f>
        <v>P</v>
      </c>
      <c r="D7" t="s">
        <v>35</v>
      </c>
      <c r="E7" s="44" t="s">
        <v>1847</v>
      </c>
      <c r="F7" s="44" t="s">
        <v>1848</v>
      </c>
      <c r="G7" s="44"/>
      <c r="I7" s="16">
        <v>200</v>
      </c>
      <c r="J7" s="16">
        <v>200</v>
      </c>
      <c r="K7" s="16">
        <v>200</v>
      </c>
      <c r="L7" s="16">
        <v>200</v>
      </c>
      <c r="P7" s="16">
        <v>200</v>
      </c>
      <c r="Q7" s="16">
        <v>200</v>
      </c>
      <c r="S7" s="16"/>
      <c r="T7" s="16"/>
    </row>
    <row r="8" spans="1:20" x14ac:dyDescent="0.25">
      <c r="A8">
        <v>7</v>
      </c>
      <c r="B8" s="44" t="s">
        <v>1849</v>
      </c>
      <c r="C8" t="str">
        <f>IF(kamarajnagar[[#This Row],[SEPTEMBER]]&gt;0,"P"," ")</f>
        <v>P</v>
      </c>
      <c r="D8" t="s">
        <v>25</v>
      </c>
      <c r="E8" s="44" t="s">
        <v>1850</v>
      </c>
      <c r="F8" s="44" t="s">
        <v>1851</v>
      </c>
      <c r="G8" s="44"/>
      <c r="I8" s="16">
        <v>200</v>
      </c>
      <c r="J8" s="16">
        <v>200</v>
      </c>
      <c r="K8" s="16">
        <v>200</v>
      </c>
      <c r="L8" s="16">
        <v>200</v>
      </c>
      <c r="P8" s="16">
        <v>200</v>
      </c>
      <c r="Q8" s="16">
        <v>200</v>
      </c>
      <c r="S8" s="16"/>
      <c r="T8" s="16"/>
    </row>
    <row r="9" spans="1:20" x14ac:dyDescent="0.25">
      <c r="A9">
        <v>8</v>
      </c>
      <c r="B9" s="44" t="s">
        <v>1852</v>
      </c>
      <c r="C9" t="str">
        <f>IF(kamarajnagar[[#This Row],[SEPTEMBER]]&gt;0,"P"," ")</f>
        <v xml:space="preserve"> </v>
      </c>
      <c r="D9" t="s">
        <v>21</v>
      </c>
      <c r="E9" s="44" t="s">
        <v>1853</v>
      </c>
      <c r="F9" s="44" t="s">
        <v>1854</v>
      </c>
      <c r="G9" s="44"/>
      <c r="P9" s="16" t="s">
        <v>321</v>
      </c>
      <c r="S9" s="16"/>
      <c r="T9" s="16"/>
    </row>
    <row r="10" spans="1:20" x14ac:dyDescent="0.25">
      <c r="A10">
        <v>9</v>
      </c>
      <c r="B10" s="44" t="s">
        <v>1855</v>
      </c>
      <c r="C10" t="str">
        <f>IF(kamarajnagar[[#This Row],[SEPTEMBER]]&gt;0,"P"," ")</f>
        <v>P</v>
      </c>
      <c r="D10" t="s">
        <v>21</v>
      </c>
      <c r="E10" s="44" t="s">
        <v>1856</v>
      </c>
      <c r="F10" s="44" t="s">
        <v>1857</v>
      </c>
      <c r="G10" s="44"/>
      <c r="I10" s="16">
        <v>200</v>
      </c>
      <c r="J10" s="16">
        <v>200</v>
      </c>
      <c r="K10" s="16">
        <v>200</v>
      </c>
      <c r="L10" s="16">
        <v>200</v>
      </c>
      <c r="P10" s="16">
        <v>200</v>
      </c>
      <c r="Q10" s="16">
        <v>200</v>
      </c>
      <c r="S10" s="16"/>
      <c r="T10" s="16"/>
    </row>
    <row r="11" spans="1:20" x14ac:dyDescent="0.25">
      <c r="A11">
        <v>10</v>
      </c>
      <c r="B11" s="44" t="s">
        <v>1858</v>
      </c>
      <c r="C11" t="str">
        <f>IF(kamarajnagar[[#This Row],[SEPTEMBER]]&gt;0,"P"," ")</f>
        <v>P</v>
      </c>
      <c r="D11" t="s">
        <v>21</v>
      </c>
      <c r="E11" s="44" t="s">
        <v>1859</v>
      </c>
      <c r="F11" s="44" t="s">
        <v>1860</v>
      </c>
      <c r="G11" s="44"/>
      <c r="I11" s="16">
        <v>200</v>
      </c>
      <c r="J11" s="16">
        <v>200</v>
      </c>
      <c r="K11" s="16">
        <v>200</v>
      </c>
      <c r="L11" s="16">
        <v>200</v>
      </c>
      <c r="P11" s="16">
        <v>200</v>
      </c>
      <c r="Q11" s="16">
        <v>200</v>
      </c>
      <c r="S11" s="16"/>
      <c r="T11" s="16"/>
    </row>
    <row r="12" spans="1:20" x14ac:dyDescent="0.25">
      <c r="A12">
        <v>11</v>
      </c>
      <c r="B12" s="44" t="s">
        <v>1861</v>
      </c>
      <c r="C12" t="str">
        <f>IF(kamarajnagar[[#This Row],[SEPTEMBER]]&gt;0,"P"," ")</f>
        <v>P</v>
      </c>
      <c r="D12" t="s">
        <v>25</v>
      </c>
      <c r="E12" s="44" t="s">
        <v>1862</v>
      </c>
      <c r="F12" s="44" t="s">
        <v>1863</v>
      </c>
      <c r="G12" s="44"/>
      <c r="I12" s="16">
        <v>200</v>
      </c>
      <c r="J12" s="16">
        <v>200</v>
      </c>
      <c r="K12" s="16">
        <v>200</v>
      </c>
      <c r="L12" s="16">
        <v>200</v>
      </c>
      <c r="P12" s="16">
        <v>200</v>
      </c>
      <c r="Q12" s="16">
        <v>200</v>
      </c>
      <c r="S12" s="16"/>
      <c r="T12" s="16"/>
    </row>
    <row r="13" spans="1:20" x14ac:dyDescent="0.25">
      <c r="A13">
        <v>12</v>
      </c>
      <c r="B13" s="44" t="s">
        <v>1864</v>
      </c>
      <c r="C13" t="str">
        <f>IF(kamarajnagar[[#This Row],[SEPTEMBER]]&gt;0,"P"," ")</f>
        <v xml:space="preserve"> </v>
      </c>
      <c r="E13" s="44" t="s">
        <v>1865</v>
      </c>
      <c r="F13" s="44" t="s">
        <v>1866</v>
      </c>
      <c r="G13" s="44"/>
      <c r="I13" s="16">
        <v>200</v>
      </c>
      <c r="J13" s="16">
        <v>100</v>
      </c>
      <c r="K13" s="16">
        <v>200</v>
      </c>
      <c r="L13" s="16">
        <v>200</v>
      </c>
      <c r="S13" s="16"/>
      <c r="T13" s="16"/>
    </row>
    <row r="14" spans="1:20" x14ac:dyDescent="0.25">
      <c r="A14">
        <v>13</v>
      </c>
      <c r="B14" s="44" t="s">
        <v>1867</v>
      </c>
      <c r="C14" t="str">
        <f>IF(kamarajnagar[[#This Row],[SEPTEMBER]]&gt;0,"P"," ")</f>
        <v>P</v>
      </c>
      <c r="D14" t="s">
        <v>21</v>
      </c>
      <c r="E14" s="44" t="s">
        <v>1868</v>
      </c>
      <c r="F14" s="44" t="s">
        <v>1869</v>
      </c>
      <c r="G14" s="44"/>
      <c r="I14" s="16">
        <v>200</v>
      </c>
      <c r="J14" s="16">
        <v>200</v>
      </c>
      <c r="K14" s="16">
        <v>200</v>
      </c>
      <c r="L14" s="16">
        <v>200</v>
      </c>
      <c r="P14" s="16">
        <v>200</v>
      </c>
      <c r="Q14" s="16">
        <v>200</v>
      </c>
      <c r="S14" s="16"/>
      <c r="T14" s="16"/>
    </row>
    <row r="15" spans="1:20" x14ac:dyDescent="0.25">
      <c r="A15">
        <v>14</v>
      </c>
      <c r="B15" s="44" t="s">
        <v>1870</v>
      </c>
      <c r="C15" t="str">
        <f>IF(kamarajnagar[[#This Row],[SEPTEMBER]]&gt;0,"P"," ")</f>
        <v>P</v>
      </c>
      <c r="D15" t="s">
        <v>21</v>
      </c>
      <c r="E15" s="44" t="s">
        <v>1871</v>
      </c>
      <c r="F15" s="44" t="s">
        <v>1872</v>
      </c>
      <c r="G15" s="44"/>
      <c r="I15" s="16">
        <v>200</v>
      </c>
      <c r="J15" s="16">
        <v>200</v>
      </c>
      <c r="K15" s="16">
        <v>200</v>
      </c>
      <c r="L15" s="16">
        <v>200</v>
      </c>
      <c r="P15" s="16">
        <v>200</v>
      </c>
      <c r="Q15" s="16">
        <v>200</v>
      </c>
      <c r="S15" s="16"/>
      <c r="T15" s="16"/>
    </row>
    <row r="16" spans="1:20" x14ac:dyDescent="0.25">
      <c r="A16">
        <v>15</v>
      </c>
      <c r="B16" s="44" t="s">
        <v>1873</v>
      </c>
      <c r="C16" t="str">
        <f>IF(kamarajnagar[[#This Row],[SEPTEMBER]]&gt;0,"P"," ")</f>
        <v>P</v>
      </c>
      <c r="D16" t="s">
        <v>25</v>
      </c>
      <c r="E16" s="44" t="s">
        <v>1874</v>
      </c>
      <c r="F16" s="44" t="s">
        <v>1875</v>
      </c>
      <c r="G16" s="44"/>
      <c r="I16" s="16">
        <v>200</v>
      </c>
      <c r="J16" s="16">
        <v>200</v>
      </c>
      <c r="K16" s="16">
        <v>200</v>
      </c>
      <c r="L16" s="16">
        <v>200</v>
      </c>
      <c r="P16" s="16">
        <v>200</v>
      </c>
      <c r="Q16" s="16">
        <v>200</v>
      </c>
      <c r="S16" s="16"/>
      <c r="T16" s="16"/>
    </row>
    <row r="17" spans="1:20" x14ac:dyDescent="0.25">
      <c r="A17">
        <v>16</v>
      </c>
      <c r="B17" s="44" t="s">
        <v>1876</v>
      </c>
      <c r="C17" t="str">
        <f>IF(kamarajnagar[[#This Row],[SEPTEMBER]]&gt;0,"P"," ")</f>
        <v>P</v>
      </c>
      <c r="D17" t="s">
        <v>21</v>
      </c>
      <c r="E17" s="44" t="s">
        <v>1877</v>
      </c>
      <c r="F17" s="44" t="s">
        <v>1878</v>
      </c>
      <c r="G17" s="44"/>
      <c r="I17" s="16">
        <v>200</v>
      </c>
      <c r="J17" s="16">
        <v>200</v>
      </c>
      <c r="K17" s="16">
        <v>200</v>
      </c>
      <c r="L17" s="16">
        <v>200</v>
      </c>
      <c r="P17" s="16">
        <v>200</v>
      </c>
      <c r="Q17" s="16">
        <v>200</v>
      </c>
      <c r="S17" s="16"/>
      <c r="T17" s="16"/>
    </row>
    <row r="18" spans="1:20" x14ac:dyDescent="0.25">
      <c r="A18">
        <v>17</v>
      </c>
      <c r="B18" s="44" t="s">
        <v>1879</v>
      </c>
      <c r="C18" t="str">
        <f>IF(kamarajnagar[[#This Row],[SEPTEMBER]]&gt;0,"P"," ")</f>
        <v>P</v>
      </c>
      <c r="D18" t="s">
        <v>25</v>
      </c>
      <c r="E18" s="44" t="s">
        <v>1880</v>
      </c>
      <c r="F18" s="44" t="s">
        <v>1881</v>
      </c>
      <c r="G18" s="44"/>
      <c r="I18" s="16">
        <v>200</v>
      </c>
      <c r="J18" s="16">
        <v>200</v>
      </c>
      <c r="K18" s="16">
        <v>200</v>
      </c>
      <c r="L18" s="16">
        <v>200</v>
      </c>
      <c r="P18" s="16">
        <v>200</v>
      </c>
      <c r="Q18" s="16">
        <v>200</v>
      </c>
      <c r="S18" s="16"/>
      <c r="T18" s="16"/>
    </row>
    <row r="19" spans="1:20" x14ac:dyDescent="0.25">
      <c r="A19">
        <v>18</v>
      </c>
      <c r="B19" s="44" t="s">
        <v>1882</v>
      </c>
      <c r="C19" t="str">
        <f>IF(kamarajnagar[[#This Row],[SEPTEMBER]]&gt;0,"P"," ")</f>
        <v xml:space="preserve"> </v>
      </c>
      <c r="E19" s="44" t="s">
        <v>1883</v>
      </c>
      <c r="F19" s="44" t="s">
        <v>1884</v>
      </c>
      <c r="G19" s="44"/>
      <c r="I19" s="16">
        <v>200</v>
      </c>
      <c r="S19" s="16"/>
      <c r="T19" s="16"/>
    </row>
    <row r="20" spans="1:20" x14ac:dyDescent="0.25">
      <c r="A20">
        <v>19</v>
      </c>
      <c r="B20" s="44" t="s">
        <v>1885</v>
      </c>
      <c r="C20" t="str">
        <f>IF(kamarajnagar[[#This Row],[SEPTEMBER]]&gt;0,"P"," ")</f>
        <v>P</v>
      </c>
      <c r="D20" t="s">
        <v>1886</v>
      </c>
      <c r="E20" s="44" t="s">
        <v>1887</v>
      </c>
      <c r="F20" s="44" t="s">
        <v>1888</v>
      </c>
      <c r="G20" s="44"/>
      <c r="I20" s="16">
        <v>200</v>
      </c>
      <c r="J20" s="16">
        <v>200</v>
      </c>
      <c r="K20" s="16">
        <v>200</v>
      </c>
      <c r="L20" s="16">
        <v>200</v>
      </c>
      <c r="P20" s="16">
        <v>200</v>
      </c>
      <c r="Q20" s="16">
        <v>200</v>
      </c>
      <c r="S20" s="16"/>
      <c r="T20" s="16"/>
    </row>
    <row r="21" spans="1:20" x14ac:dyDescent="0.25">
      <c r="A21">
        <v>20</v>
      </c>
      <c r="B21" s="44" t="s">
        <v>353</v>
      </c>
      <c r="C21" t="str">
        <f>IF(kamarajnagar[[#This Row],[SEPTEMBER]]&gt;0,"P"," ")</f>
        <v>P</v>
      </c>
      <c r="D21" t="s">
        <v>78</v>
      </c>
      <c r="E21" s="44" t="s">
        <v>1889</v>
      </c>
      <c r="F21" s="44" t="s">
        <v>1890</v>
      </c>
      <c r="G21" s="44"/>
      <c r="I21" s="16">
        <v>200</v>
      </c>
      <c r="J21" s="16">
        <v>200</v>
      </c>
      <c r="K21" s="16">
        <v>200</v>
      </c>
      <c r="L21" s="16">
        <v>200</v>
      </c>
      <c r="P21" s="16">
        <v>200</v>
      </c>
      <c r="Q21" s="16">
        <v>200</v>
      </c>
      <c r="S21" s="16"/>
      <c r="T21" s="16"/>
    </row>
    <row r="22" spans="1:20" x14ac:dyDescent="0.25">
      <c r="A22">
        <v>21</v>
      </c>
      <c r="B22" s="44" t="s">
        <v>494</v>
      </c>
      <c r="C22" t="str">
        <f>IF(kamarajnagar[[#This Row],[SEPTEMBER]]&gt;0,"P"," ")</f>
        <v>P</v>
      </c>
      <c r="D22" t="s">
        <v>78</v>
      </c>
      <c r="E22" s="44" t="s">
        <v>1891</v>
      </c>
      <c r="F22" s="44" t="s">
        <v>1892</v>
      </c>
      <c r="G22" s="44"/>
      <c r="I22" s="16">
        <v>160</v>
      </c>
      <c r="J22" s="16">
        <v>160</v>
      </c>
      <c r="K22" s="16">
        <v>160</v>
      </c>
      <c r="L22" s="16">
        <v>160</v>
      </c>
      <c r="P22" s="16">
        <v>160</v>
      </c>
      <c r="Q22" s="16">
        <v>160</v>
      </c>
      <c r="S22" s="16"/>
      <c r="T22" s="16"/>
    </row>
    <row r="23" spans="1:20" x14ac:dyDescent="0.25">
      <c r="A23">
        <v>22</v>
      </c>
      <c r="B23" s="44" t="s">
        <v>1893</v>
      </c>
      <c r="C23" t="str">
        <f>IF(kamarajnagar[[#This Row],[SEPTEMBER]]&gt;0,"P"," ")</f>
        <v>P</v>
      </c>
      <c r="D23" t="s">
        <v>35</v>
      </c>
      <c r="E23" s="44" t="s">
        <v>1894</v>
      </c>
      <c r="F23" s="44" t="s">
        <v>1895</v>
      </c>
      <c r="G23" s="44"/>
      <c r="I23" s="16">
        <v>200</v>
      </c>
      <c r="J23" s="16">
        <v>200</v>
      </c>
      <c r="K23" s="16">
        <v>200</v>
      </c>
      <c r="L23" s="16">
        <v>200</v>
      </c>
      <c r="P23" s="16">
        <v>200</v>
      </c>
      <c r="Q23" s="16">
        <v>150</v>
      </c>
      <c r="S23" s="16"/>
      <c r="T23" s="16"/>
    </row>
    <row r="24" spans="1:20" x14ac:dyDescent="0.25">
      <c r="A24">
        <v>23</v>
      </c>
      <c r="B24" s="44" t="s">
        <v>1896</v>
      </c>
      <c r="C24" t="str">
        <f>IF(kamarajnagar[[#This Row],[SEPTEMBER]]&gt;0,"P"," ")</f>
        <v>P</v>
      </c>
      <c r="D24" t="s">
        <v>45</v>
      </c>
      <c r="E24" s="44" t="s">
        <v>1897</v>
      </c>
      <c r="F24" s="44" t="s">
        <v>1898</v>
      </c>
      <c r="G24" s="44"/>
      <c r="I24" s="16">
        <v>200</v>
      </c>
      <c r="J24" s="16">
        <v>200</v>
      </c>
      <c r="K24" s="16">
        <v>200</v>
      </c>
      <c r="L24" s="16">
        <v>200</v>
      </c>
      <c r="P24" s="16">
        <v>200</v>
      </c>
      <c r="Q24" s="16">
        <v>200</v>
      </c>
      <c r="S24" s="16"/>
      <c r="T24" s="16"/>
    </row>
    <row r="25" spans="1:20" x14ac:dyDescent="0.25">
      <c r="A25">
        <v>24</v>
      </c>
      <c r="B25" s="44" t="s">
        <v>1899</v>
      </c>
      <c r="C25" t="str">
        <f>IF(kamarajnagar[[#This Row],[SEPTEMBER]]&gt;0,"P"," ")</f>
        <v>P</v>
      </c>
      <c r="D25" t="s">
        <v>25</v>
      </c>
      <c r="E25" s="44" t="s">
        <v>1900</v>
      </c>
      <c r="F25" s="44" t="s">
        <v>1901</v>
      </c>
      <c r="G25" s="44"/>
      <c r="I25" s="16">
        <v>200</v>
      </c>
      <c r="J25" s="16">
        <v>200</v>
      </c>
      <c r="K25" s="16">
        <v>200</v>
      </c>
      <c r="L25" s="16">
        <v>200</v>
      </c>
      <c r="P25" s="16">
        <v>200</v>
      </c>
      <c r="Q25" s="16">
        <v>200</v>
      </c>
      <c r="S25" s="16"/>
      <c r="T25" s="16"/>
    </row>
    <row r="26" spans="1:20" x14ac:dyDescent="0.25">
      <c r="A26">
        <v>25</v>
      </c>
      <c r="B26" s="44" t="s">
        <v>144</v>
      </c>
      <c r="C26" t="str">
        <f>IF(kamarajnagar[[#This Row],[SEPTEMBER]]&gt;0,"P"," ")</f>
        <v>P</v>
      </c>
      <c r="D26" t="s">
        <v>25</v>
      </c>
      <c r="E26" s="44" t="s">
        <v>1902</v>
      </c>
      <c r="F26" s="44" t="s">
        <v>1903</v>
      </c>
      <c r="G26" s="44"/>
      <c r="I26" s="16">
        <v>200</v>
      </c>
      <c r="J26" s="16">
        <v>200</v>
      </c>
      <c r="K26" s="16">
        <v>200</v>
      </c>
      <c r="L26" s="16">
        <v>200</v>
      </c>
      <c r="P26" s="16">
        <v>200</v>
      </c>
      <c r="Q26" s="16">
        <v>200</v>
      </c>
      <c r="S26" s="16"/>
      <c r="T26" s="16"/>
    </row>
    <row r="27" spans="1:20" x14ac:dyDescent="0.25">
      <c r="A27">
        <v>26</v>
      </c>
      <c r="B27" s="44" t="s">
        <v>685</v>
      </c>
      <c r="C27" t="str">
        <f>IF(kamarajnagar[[#This Row],[SEPTEMBER]]&gt;0,"P"," ")</f>
        <v>P</v>
      </c>
      <c r="D27" t="s">
        <v>25</v>
      </c>
      <c r="E27" s="44" t="s">
        <v>1904</v>
      </c>
      <c r="F27" s="44" t="s">
        <v>1905</v>
      </c>
      <c r="G27" s="44"/>
      <c r="I27" s="16">
        <v>200</v>
      </c>
      <c r="J27" s="16">
        <v>200</v>
      </c>
      <c r="K27" s="16">
        <v>200</v>
      </c>
      <c r="L27" s="16">
        <v>200</v>
      </c>
      <c r="P27" s="16">
        <v>200</v>
      </c>
      <c r="Q27" s="16">
        <v>200</v>
      </c>
      <c r="S27" s="16"/>
      <c r="T27" s="16"/>
    </row>
    <row r="28" spans="1:20" x14ac:dyDescent="0.25">
      <c r="A28">
        <v>27</v>
      </c>
      <c r="B28" s="44" t="s">
        <v>1906</v>
      </c>
      <c r="C28" t="str">
        <f>IF(kamarajnagar[[#This Row],[SEPTEMBER]]&gt;0,"P"," ")</f>
        <v xml:space="preserve"> </v>
      </c>
      <c r="D28" t="s">
        <v>78</v>
      </c>
      <c r="E28" s="44" t="s">
        <v>694</v>
      </c>
      <c r="F28" s="44" t="s">
        <v>695</v>
      </c>
      <c r="G28" s="44"/>
      <c r="I28" s="16">
        <v>200</v>
      </c>
      <c r="J28" s="16">
        <v>200</v>
      </c>
      <c r="K28" s="16">
        <v>200</v>
      </c>
      <c r="L28" s="16">
        <v>200</v>
      </c>
      <c r="S28" s="16"/>
      <c r="T28" s="16"/>
    </row>
    <row r="29" spans="1:20" x14ac:dyDescent="0.25">
      <c r="A29">
        <v>28</v>
      </c>
      <c r="B29" s="44" t="s">
        <v>1907</v>
      </c>
      <c r="C29" t="str">
        <f>IF(kamarajnagar[[#This Row],[SEPTEMBER]]&gt;0,"P"," ")</f>
        <v xml:space="preserve"> </v>
      </c>
      <c r="E29" s="44" t="s">
        <v>1908</v>
      </c>
      <c r="F29" s="44" t="s">
        <v>1909</v>
      </c>
      <c r="G29" s="44"/>
      <c r="I29" s="16">
        <v>200</v>
      </c>
      <c r="J29" s="16">
        <v>200</v>
      </c>
      <c r="K29" s="16">
        <v>200</v>
      </c>
      <c r="S29" s="16"/>
      <c r="T29" s="16"/>
    </row>
    <row r="30" spans="1:20" x14ac:dyDescent="0.25">
      <c r="A30">
        <v>29</v>
      </c>
      <c r="B30" s="44" t="s">
        <v>1910</v>
      </c>
      <c r="C30" t="str">
        <f>IF(kamarajnagar[[#This Row],[SEPTEMBER]]&gt;0,"P"," ")</f>
        <v>P</v>
      </c>
      <c r="D30" t="s">
        <v>78</v>
      </c>
      <c r="E30" s="44" t="s">
        <v>1911</v>
      </c>
      <c r="F30" s="44" t="s">
        <v>1912</v>
      </c>
      <c r="G30" s="44"/>
      <c r="I30" s="16">
        <v>200</v>
      </c>
      <c r="J30" s="16">
        <v>200</v>
      </c>
      <c r="K30" s="16">
        <v>200</v>
      </c>
      <c r="L30" s="16">
        <v>200</v>
      </c>
      <c r="P30" s="16">
        <v>200</v>
      </c>
      <c r="Q30" s="16">
        <v>200</v>
      </c>
      <c r="S30" s="16"/>
      <c r="T30" s="16"/>
    </row>
    <row r="31" spans="1:20" x14ac:dyDescent="0.25">
      <c r="A31">
        <v>30</v>
      </c>
      <c r="B31" s="44" t="s">
        <v>1913</v>
      </c>
      <c r="C31" t="str">
        <f>IF(kamarajnagar[[#This Row],[SEPTEMBER]]&gt;0,"P"," ")</f>
        <v>P</v>
      </c>
      <c r="D31" t="s">
        <v>78</v>
      </c>
      <c r="E31" s="44" t="s">
        <v>1914</v>
      </c>
      <c r="F31" s="44" t="s">
        <v>1915</v>
      </c>
      <c r="G31" s="44"/>
      <c r="I31" s="16">
        <v>200</v>
      </c>
      <c r="J31" s="16">
        <v>200</v>
      </c>
      <c r="K31" s="16">
        <v>200</v>
      </c>
      <c r="P31" s="16">
        <v>200</v>
      </c>
      <c r="Q31" s="16">
        <v>200</v>
      </c>
      <c r="S31" s="16"/>
      <c r="T31" s="16"/>
    </row>
    <row r="32" spans="1:20" x14ac:dyDescent="0.25">
      <c r="A32">
        <v>31</v>
      </c>
      <c r="B32" s="44" t="s">
        <v>1916</v>
      </c>
      <c r="C32" t="str">
        <f>IF(kamarajnagar[[#This Row],[SEPTEMBER]]&gt;0,"P"," ")</f>
        <v>P</v>
      </c>
      <c r="D32" t="s">
        <v>35</v>
      </c>
      <c r="E32" s="44" t="s">
        <v>1917</v>
      </c>
      <c r="F32" s="44" t="s">
        <v>1918</v>
      </c>
      <c r="G32" s="44"/>
      <c r="I32" s="16">
        <v>0</v>
      </c>
      <c r="J32" s="16">
        <v>200</v>
      </c>
      <c r="K32" s="16">
        <v>200</v>
      </c>
      <c r="L32" s="16">
        <v>200</v>
      </c>
      <c r="P32" s="16">
        <v>200</v>
      </c>
      <c r="Q32" s="16">
        <v>200</v>
      </c>
      <c r="S32" s="16"/>
      <c r="T32" s="16"/>
    </row>
    <row r="33" spans="1:20" x14ac:dyDescent="0.25">
      <c r="A33">
        <v>32</v>
      </c>
      <c r="B33" s="44" t="s">
        <v>1261</v>
      </c>
      <c r="C33" t="str">
        <f>IF(kamarajnagar[[#This Row],[SEPTEMBER]]&gt;0,"P"," ")</f>
        <v>P</v>
      </c>
      <c r="D33" t="s">
        <v>21</v>
      </c>
      <c r="E33" s="44" t="s">
        <v>1919</v>
      </c>
      <c r="F33" s="44" t="s">
        <v>1920</v>
      </c>
      <c r="G33" s="44"/>
      <c r="P33" s="16">
        <v>200</v>
      </c>
      <c r="Q33" s="16">
        <v>200</v>
      </c>
      <c r="S33" s="16"/>
      <c r="T33" s="16"/>
    </row>
    <row r="34" spans="1:20" x14ac:dyDescent="0.25">
      <c r="A34">
        <v>33</v>
      </c>
      <c r="B34" s="44" t="s">
        <v>1610</v>
      </c>
      <c r="C34" t="str">
        <f>IF(kamarajnagar[[#This Row],[SEPTEMBER]]&gt;0,"P"," ")</f>
        <v xml:space="preserve"> </v>
      </c>
      <c r="E34" s="44" t="s">
        <v>1921</v>
      </c>
      <c r="F34" s="44" t="s">
        <v>1922</v>
      </c>
      <c r="G34" s="44"/>
      <c r="P34" s="16">
        <v>200</v>
      </c>
      <c r="S34" s="16"/>
      <c r="T34" s="16"/>
    </row>
    <row r="35" spans="1:20" x14ac:dyDescent="0.25">
      <c r="A35">
        <v>34</v>
      </c>
      <c r="B35" s="44" t="s">
        <v>1336</v>
      </c>
      <c r="C35" t="str">
        <f>IF(kamarajnagar[[#This Row],[SEPTEMBER]]&gt;0,"P"," ")</f>
        <v>P</v>
      </c>
      <c r="D35" t="s">
        <v>35</v>
      </c>
      <c r="E35" s="44" t="s">
        <v>1923</v>
      </c>
      <c r="F35" s="44" t="s">
        <v>1924</v>
      </c>
      <c r="G35" s="44"/>
      <c r="P35" s="16">
        <v>200</v>
      </c>
      <c r="Q35" s="16">
        <v>200</v>
      </c>
      <c r="S35" s="16"/>
      <c r="T35" s="16"/>
    </row>
    <row r="36" spans="1:20" x14ac:dyDescent="0.25">
      <c r="A36">
        <v>35</v>
      </c>
      <c r="B36" s="44" t="s">
        <v>1925</v>
      </c>
      <c r="C36" t="str">
        <f>IF(kamarajnagar[[#This Row],[SEPTEMBER]]&gt;0,"P"," ")</f>
        <v xml:space="preserve"> </v>
      </c>
      <c r="D36" t="s">
        <v>25</v>
      </c>
      <c r="E36" s="44" t="s">
        <v>1926</v>
      </c>
      <c r="F36" s="44" t="s">
        <v>1927</v>
      </c>
      <c r="G36" s="44"/>
      <c r="S36" s="16"/>
      <c r="T36" s="16"/>
    </row>
    <row r="37" spans="1:20" x14ac:dyDescent="0.25">
      <c r="A37" t="s">
        <v>298</v>
      </c>
      <c r="D37">
        <f>SUBTOTAL(103,kamarajnagar[Package])</f>
        <v>30</v>
      </c>
      <c r="E37">
        <f>SUBTOTAL(103,kamarajnagar[Box No])</f>
        <v>35</v>
      </c>
      <c r="F37">
        <f>SUBTOTAL(103,kamarajnagar[CAF_ID])</f>
        <v>35</v>
      </c>
      <c r="H37" s="16">
        <f>SUBTOTAL(109,kamarajnagar[BALANCE])</f>
        <v>0</v>
      </c>
      <c r="I37" s="16">
        <f>SUBTOTAL(109,kamarajnagar[JANUARY])</f>
        <v>5560</v>
      </c>
      <c r="J37" s="16">
        <f>SUBTOTAL(109,kamarajnagar[FEBEUARY])</f>
        <v>5460</v>
      </c>
      <c r="K37" s="16">
        <f>SUBTOTAL(109,kamarajnagar[MARCH])</f>
        <v>5560</v>
      </c>
      <c r="L37" s="16">
        <f>SUBTOTAL(109,kamarajnagar[APRIL])</f>
        <v>4960</v>
      </c>
      <c r="M37" s="16">
        <f>SUBTOTAL(109,kamarajnagar[MAY])</f>
        <v>0</v>
      </c>
      <c r="N37" s="16">
        <f>SUBTOTAL(109,kamarajnagar[JUNE])</f>
        <v>0</v>
      </c>
      <c r="O37" s="16">
        <f>SUBTOTAL(109,kamarajnagar[JULY])</f>
        <v>0</v>
      </c>
      <c r="P37" s="16">
        <f>SUBTOTAL(109,kamarajnagar[AUGUST])</f>
        <v>5560</v>
      </c>
      <c r="Q37" s="16">
        <f>SUBTOTAL(109,kamarajnagar[SEPTEMBER])</f>
        <v>5310</v>
      </c>
      <c r="R37" s="16">
        <f>SUBTOTAL(109,kamarajnagar[OCTOBER])</f>
        <v>0</v>
      </c>
      <c r="S37" s="16">
        <f>SUBTOTAL(109,kamarajnagar[NOVEMBER])</f>
        <v>0</v>
      </c>
      <c r="T37" s="16">
        <f>SUBTOTAL(109,kamarajnagar[DECEMBER])</f>
        <v>0</v>
      </c>
    </row>
    <row r="38" spans="1:20" x14ac:dyDescent="0.25">
      <c r="F38" s="44"/>
    </row>
    <row r="39" spans="1:20" x14ac:dyDescent="0.25">
      <c r="B39" s="39" t="s">
        <v>299</v>
      </c>
      <c r="C39" s="45">
        <f>COUNTIF(C2:C36,"P")</f>
        <v>27</v>
      </c>
      <c r="F39" s="44"/>
    </row>
    <row r="40" spans="1:20" x14ac:dyDescent="0.25">
      <c r="B40" s="38"/>
      <c r="C40" s="38"/>
    </row>
    <row r="41" spans="1:20" x14ac:dyDescent="0.25">
      <c r="B41" s="35" t="s">
        <v>300</v>
      </c>
      <c r="C41" s="43">
        <f>COUNTIF(C2:C36,"P")</f>
        <v>27</v>
      </c>
      <c r="D41" s="53"/>
    </row>
    <row r="42" spans="1:20" x14ac:dyDescent="0.25">
      <c r="B42" s="36" t="s">
        <v>301</v>
      </c>
      <c r="C42" s="42">
        <f>COUNTIF(C2:C36,"NP")</f>
        <v>0</v>
      </c>
    </row>
    <row r="43" spans="1:20" x14ac:dyDescent="0.25">
      <c r="B43" s="38"/>
      <c r="C43" s="38"/>
    </row>
    <row r="44" spans="1:20" x14ac:dyDescent="0.25">
      <c r="B44" s="39" t="s">
        <v>302</v>
      </c>
      <c r="C44" s="39">
        <f>C41+C42</f>
        <v>27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/>
  <dimension ref="A1:T42"/>
  <sheetViews>
    <sheetView zoomScale="130" zoomScaleNormal="130" workbookViewId="0">
      <selection activeCell="E8" sqref="E8"/>
    </sheetView>
  </sheetViews>
  <sheetFormatPr defaultColWidth="8.85546875" defaultRowHeight="15" x14ac:dyDescent="0.25"/>
  <cols>
    <col min="1" max="1" width="5.5703125" style="61" customWidth="1"/>
    <col min="2" max="2" width="22.7109375" style="61" customWidth="1"/>
    <col min="3" max="3" width="9.140625" style="61" customWidth="1"/>
    <col min="4" max="4" width="30" style="61" customWidth="1"/>
    <col min="5" max="5" width="24.42578125" style="61" customWidth="1"/>
    <col min="6" max="6" width="11.7109375" style="61" customWidth="1"/>
    <col min="7" max="7" width="23.5703125" style="52" hidden="1" customWidth="1"/>
    <col min="8" max="8" width="12.28515625" style="52" customWidth="1"/>
    <col min="9" max="9" width="9.85546875" style="52" hidden="1" customWidth="1"/>
    <col min="10" max="13" width="8.85546875" style="52" hidden="1" customWidth="1"/>
    <col min="14" max="14" width="10.7109375" style="52" hidden="1" customWidth="1"/>
    <col min="15" max="15" width="11.42578125" style="52" hidden="1" customWidth="1"/>
    <col min="16" max="16" width="11" style="52" customWidth="1"/>
    <col min="17" max="17" width="12.7109375" style="52" customWidth="1"/>
    <col min="18" max="18" width="12.5703125" style="52" customWidth="1"/>
    <col min="19" max="44" width="8.85546875" style="61" customWidth="1"/>
    <col min="45" max="16384" width="8.85546875" style="61"/>
  </cols>
  <sheetData>
    <row r="1" spans="1:20" ht="15" customHeight="1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s="8" t="s">
        <v>5</v>
      </c>
      <c r="G1" s="30" t="s">
        <v>19</v>
      </c>
      <c r="H1" s="21" t="s">
        <v>18</v>
      </c>
      <c r="I1" s="9" t="s">
        <v>6</v>
      </c>
      <c r="J1" s="9" t="s">
        <v>7</v>
      </c>
      <c r="K1" s="9" t="s">
        <v>8</v>
      </c>
      <c r="L1" s="9" t="s">
        <v>9</v>
      </c>
      <c r="M1" s="9" t="s">
        <v>10</v>
      </c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</row>
    <row r="2" spans="1:20" x14ac:dyDescent="0.25">
      <c r="A2" s="56">
        <v>1</v>
      </c>
      <c r="B2" s="57"/>
      <c r="C2" s="57" t="str">
        <f>IF(muslismst[[#This Row],[SEPTEMBER]]&gt;0,"P"," ")</f>
        <v>P</v>
      </c>
      <c r="D2" t="s">
        <v>21</v>
      </c>
      <c r="E2" s="58" t="s">
        <v>1928</v>
      </c>
      <c r="F2" s="58" t="s">
        <v>1929</v>
      </c>
      <c r="G2" s="31"/>
      <c r="H2" s="59"/>
      <c r="I2" s="60"/>
      <c r="J2" s="60"/>
      <c r="K2" s="60"/>
      <c r="L2" s="60"/>
      <c r="M2" s="60"/>
      <c r="N2" s="60"/>
      <c r="O2" s="60"/>
      <c r="P2" s="60"/>
      <c r="Q2" s="60" t="s">
        <v>1930</v>
      </c>
      <c r="R2" s="60"/>
      <c r="S2" s="60"/>
      <c r="T2" s="60"/>
    </row>
    <row r="3" spans="1:20" x14ac:dyDescent="0.25">
      <c r="A3" s="48">
        <v>2</v>
      </c>
      <c r="B3" s="46"/>
      <c r="C3" t="str">
        <f>IF(muslismst[[#This Row],[SEPTEMBER]]&gt;0,"P"," ")</f>
        <v>P</v>
      </c>
      <c r="D3" t="s">
        <v>25</v>
      </c>
      <c r="E3" s="47" t="s">
        <v>1931</v>
      </c>
      <c r="F3" s="47" t="s">
        <v>1932</v>
      </c>
      <c r="G3" s="32" t="s">
        <v>1933</v>
      </c>
      <c r="H3" s="49"/>
      <c r="I3" s="50"/>
      <c r="J3" s="50"/>
      <c r="K3" s="50"/>
      <c r="L3" s="50"/>
      <c r="M3" s="50"/>
      <c r="N3" s="50"/>
      <c r="O3" s="50"/>
      <c r="P3" s="50"/>
      <c r="Q3" s="50">
        <v>400</v>
      </c>
      <c r="R3" s="50"/>
      <c r="S3" s="50"/>
      <c r="T3" s="50"/>
    </row>
    <row r="4" spans="1:20" x14ac:dyDescent="0.25">
      <c r="A4" s="56">
        <v>3</v>
      </c>
      <c r="B4" s="57"/>
      <c r="C4" s="57" t="str">
        <f>IF(muslismst[[#This Row],[SEPTEMBER]]&gt;0,"P"," ")</f>
        <v>P</v>
      </c>
      <c r="D4" t="s">
        <v>35</v>
      </c>
      <c r="E4" s="58" t="s">
        <v>1934</v>
      </c>
      <c r="F4" s="58" t="s">
        <v>1935</v>
      </c>
      <c r="G4" s="31"/>
      <c r="H4" s="59"/>
      <c r="I4" s="60"/>
      <c r="J4" s="60"/>
      <c r="K4" s="60"/>
      <c r="L4" s="60"/>
      <c r="M4" s="60"/>
      <c r="N4" s="60"/>
      <c r="O4" s="60">
        <v>200</v>
      </c>
      <c r="P4" s="60">
        <v>200</v>
      </c>
      <c r="Q4" s="60">
        <v>200</v>
      </c>
      <c r="R4" s="60"/>
      <c r="S4" s="60"/>
      <c r="T4" s="60"/>
    </row>
    <row r="5" spans="1:20" x14ac:dyDescent="0.25">
      <c r="A5" s="48">
        <v>4</v>
      </c>
      <c r="B5" s="46"/>
      <c r="C5" t="str">
        <f>IF(muslismst[[#This Row],[SEPTEMBER]]&gt;0,"P"," ")</f>
        <v>P</v>
      </c>
      <c r="D5" t="s">
        <v>78</v>
      </c>
      <c r="E5" s="47" t="s">
        <v>1936</v>
      </c>
      <c r="F5" s="47" t="s">
        <v>1937</v>
      </c>
      <c r="G5" s="32"/>
      <c r="H5" s="49"/>
      <c r="I5" s="50"/>
      <c r="J5" s="50"/>
      <c r="K5" s="50"/>
      <c r="L5" s="50"/>
      <c r="M5" s="50"/>
      <c r="N5" s="50"/>
      <c r="O5" s="50">
        <v>200</v>
      </c>
      <c r="P5" s="50">
        <v>200</v>
      </c>
      <c r="Q5" s="50">
        <v>200</v>
      </c>
      <c r="R5" s="50"/>
      <c r="S5" s="50"/>
      <c r="T5" s="50"/>
    </row>
    <row r="6" spans="1:20" x14ac:dyDescent="0.25">
      <c r="A6" s="56">
        <v>5</v>
      </c>
      <c r="B6" s="57"/>
      <c r="C6" s="57" t="str">
        <f>IF(muslismst[[#This Row],[SEPTEMBER]]&gt;0,"P"," ")</f>
        <v>P</v>
      </c>
      <c r="D6" t="s">
        <v>78</v>
      </c>
      <c r="E6" s="58" t="s">
        <v>1938</v>
      </c>
      <c r="F6" s="58" t="s">
        <v>1939</v>
      </c>
      <c r="G6" s="31"/>
      <c r="H6" s="59"/>
      <c r="I6" s="60"/>
      <c r="J6" s="60"/>
      <c r="K6" s="60"/>
      <c r="L6" s="60"/>
      <c r="M6" s="60"/>
      <c r="N6" s="60"/>
      <c r="O6" s="60">
        <v>200</v>
      </c>
      <c r="P6" s="60">
        <v>200</v>
      </c>
      <c r="Q6" s="60">
        <v>200</v>
      </c>
      <c r="R6" s="60"/>
      <c r="S6" s="60"/>
      <c r="T6" s="60"/>
    </row>
    <row r="7" spans="1:20" x14ac:dyDescent="0.25">
      <c r="A7" s="48">
        <v>6</v>
      </c>
      <c r="B7" s="46"/>
      <c r="C7" t="str">
        <f>IF(muslismst[[#This Row],[SEPTEMBER]]&gt;0,"P"," ")</f>
        <v>P</v>
      </c>
      <c r="D7" t="s">
        <v>35</v>
      </c>
      <c r="E7" s="47" t="s">
        <v>1940</v>
      </c>
      <c r="F7" s="47" t="s">
        <v>1941</v>
      </c>
      <c r="G7" s="32"/>
      <c r="H7" s="49"/>
      <c r="I7" s="50"/>
      <c r="J7" s="50"/>
      <c r="K7" s="50"/>
      <c r="L7" s="50"/>
      <c r="M7" s="50"/>
      <c r="N7" s="50"/>
      <c r="O7" s="50"/>
      <c r="P7" s="50">
        <v>200</v>
      </c>
      <c r="Q7" s="50">
        <v>200</v>
      </c>
      <c r="R7" s="50"/>
      <c r="S7" s="50"/>
      <c r="T7" s="50"/>
    </row>
    <row r="8" spans="1:20" x14ac:dyDescent="0.25">
      <c r="A8" s="56">
        <v>7</v>
      </c>
      <c r="B8" s="57"/>
      <c r="C8" s="57" t="str">
        <f>IF(muslismst[[#This Row],[SEPTEMBER]]&gt;0,"P"," ")</f>
        <v>P</v>
      </c>
      <c r="D8" t="s">
        <v>78</v>
      </c>
      <c r="E8" s="58" t="s">
        <v>1942</v>
      </c>
      <c r="F8" s="58" t="s">
        <v>1943</v>
      </c>
      <c r="G8" s="31"/>
      <c r="H8" s="59"/>
      <c r="I8" s="60"/>
      <c r="J8" s="60"/>
      <c r="K8" s="60"/>
      <c r="L8" s="60"/>
      <c r="M8" s="60"/>
      <c r="N8" s="60"/>
      <c r="O8" s="60"/>
      <c r="P8" s="60">
        <v>200</v>
      </c>
      <c r="Q8" s="60">
        <v>200</v>
      </c>
      <c r="R8" s="60"/>
      <c r="S8" s="60"/>
      <c r="T8" s="60"/>
    </row>
    <row r="9" spans="1:20" x14ac:dyDescent="0.25">
      <c r="A9" s="48">
        <v>8</v>
      </c>
      <c r="B9" s="46"/>
      <c r="C9" t="str">
        <f>IF(muslismst[[#This Row],[SEPTEMBER]]&gt;0,"P"," ")</f>
        <v>P</v>
      </c>
      <c r="D9" t="s">
        <v>25</v>
      </c>
      <c r="E9" s="47" t="s">
        <v>1944</v>
      </c>
      <c r="F9" s="47" t="s">
        <v>1945</v>
      </c>
      <c r="G9" s="32"/>
      <c r="H9" s="49"/>
      <c r="I9" s="50"/>
      <c r="J9" s="50"/>
      <c r="K9" s="50"/>
      <c r="L9" s="50"/>
      <c r="M9" s="50"/>
      <c r="N9" s="50"/>
      <c r="O9" s="50"/>
      <c r="P9" s="50"/>
      <c r="Q9" s="50">
        <v>400</v>
      </c>
      <c r="R9" s="50"/>
      <c r="S9" s="50"/>
      <c r="T9" s="50"/>
    </row>
    <row r="10" spans="1:20" x14ac:dyDescent="0.25">
      <c r="A10" s="56">
        <v>9</v>
      </c>
      <c r="B10" s="57"/>
      <c r="C10" s="57" t="str">
        <f>IF(muslismst[[#This Row],[SEPTEMBER]]&gt;0,"P"," ")</f>
        <v>P</v>
      </c>
      <c r="D10" t="s">
        <v>78</v>
      </c>
      <c r="E10" s="58" t="s">
        <v>1946</v>
      </c>
      <c r="F10" s="58" t="s">
        <v>1947</v>
      </c>
      <c r="G10" s="31"/>
      <c r="H10" s="59"/>
      <c r="I10" s="60"/>
      <c r="J10" s="60"/>
      <c r="K10" s="60"/>
      <c r="L10" s="60"/>
      <c r="M10" s="60"/>
      <c r="N10" s="60"/>
      <c r="O10" s="60"/>
      <c r="P10" s="60">
        <v>200</v>
      </c>
      <c r="Q10" s="60">
        <v>200</v>
      </c>
      <c r="R10" s="60"/>
      <c r="S10" s="60"/>
      <c r="T10" s="60"/>
    </row>
    <row r="11" spans="1:20" x14ac:dyDescent="0.25">
      <c r="A11" s="48">
        <v>10</v>
      </c>
      <c r="B11" s="46"/>
      <c r="C11" t="str">
        <f>IF(muslismst[[#This Row],[SEPTEMBER]]&gt;0,"P"," ")</f>
        <v>P</v>
      </c>
      <c r="D11" t="s">
        <v>35</v>
      </c>
      <c r="E11" s="47" t="s">
        <v>1948</v>
      </c>
      <c r="F11" s="47" t="s">
        <v>1949</v>
      </c>
      <c r="G11" s="32"/>
      <c r="H11" s="49"/>
      <c r="I11" s="50"/>
      <c r="J11" s="50"/>
      <c r="K11" s="50"/>
      <c r="L11" s="50"/>
      <c r="M11" s="50"/>
      <c r="N11" s="50"/>
      <c r="O11" s="50"/>
      <c r="P11" s="50"/>
      <c r="Q11" s="50">
        <v>200</v>
      </c>
      <c r="R11" s="50"/>
      <c r="S11" s="50"/>
      <c r="T11" s="50"/>
    </row>
    <row r="12" spans="1:20" x14ac:dyDescent="0.25">
      <c r="A12" s="56">
        <v>11</v>
      </c>
      <c r="B12" s="57"/>
      <c r="C12" s="57" t="str">
        <f>IF(muslismst[[#This Row],[SEPTEMBER]]&gt;0,"P"," ")</f>
        <v>P</v>
      </c>
      <c r="D12" t="s">
        <v>1950</v>
      </c>
      <c r="E12" s="58" t="s">
        <v>1951</v>
      </c>
      <c r="F12" s="58" t="s">
        <v>1952</v>
      </c>
      <c r="G12" s="31"/>
      <c r="H12" s="59"/>
      <c r="I12" s="60"/>
      <c r="J12" s="60"/>
      <c r="K12" s="60"/>
      <c r="L12" s="60"/>
      <c r="M12" s="60"/>
      <c r="N12" s="60"/>
      <c r="O12" s="60"/>
      <c r="P12" s="60">
        <v>250</v>
      </c>
      <c r="Q12" s="60">
        <v>250</v>
      </c>
      <c r="R12" s="60"/>
      <c r="S12" s="60"/>
      <c r="T12" s="60"/>
    </row>
    <row r="13" spans="1:20" x14ac:dyDescent="0.25">
      <c r="A13" s="48">
        <v>12</v>
      </c>
      <c r="B13" s="46"/>
      <c r="C13" t="str">
        <f>IF(muslismst[[#This Row],[SEPTEMBER]]&gt;0,"P"," ")</f>
        <v xml:space="preserve"> </v>
      </c>
      <c r="D13" t="s">
        <v>1953</v>
      </c>
      <c r="E13" s="47" t="s">
        <v>1954</v>
      </c>
      <c r="F13" s="47" t="s">
        <v>1955</v>
      </c>
      <c r="G13" s="32"/>
      <c r="H13" s="49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25">
      <c r="A14" s="56">
        <v>13</v>
      </c>
      <c r="B14" s="57"/>
      <c r="C14" s="57" t="str">
        <f>IF(muslismst[[#This Row],[SEPTEMBER]]&gt;0,"P"," ")</f>
        <v>P</v>
      </c>
      <c r="D14" t="s">
        <v>78</v>
      </c>
      <c r="E14" s="58" t="s">
        <v>1956</v>
      </c>
      <c r="F14" s="58" t="s">
        <v>1957</v>
      </c>
      <c r="G14" s="31"/>
      <c r="H14" s="59"/>
      <c r="I14" s="60"/>
      <c r="J14" s="60"/>
      <c r="K14" s="60"/>
      <c r="L14" s="60"/>
      <c r="M14" s="60"/>
      <c r="N14" s="60"/>
      <c r="O14" s="60"/>
      <c r="P14" s="60">
        <v>200</v>
      </c>
      <c r="Q14" s="60">
        <v>200</v>
      </c>
      <c r="R14" s="60"/>
      <c r="S14" s="60"/>
      <c r="T14" s="60"/>
    </row>
    <row r="15" spans="1:20" x14ac:dyDescent="0.25">
      <c r="A15" s="48">
        <v>14</v>
      </c>
      <c r="B15" s="46"/>
      <c r="C15" t="str">
        <f>IF(muslismst[[#This Row],[SEPTEMBER]]&gt;0,"P"," ")</f>
        <v>P</v>
      </c>
      <c r="D15" t="s">
        <v>25</v>
      </c>
      <c r="E15" s="47" t="s">
        <v>1958</v>
      </c>
      <c r="F15" s="47" t="s">
        <v>1959</v>
      </c>
      <c r="G15" s="32"/>
      <c r="H15" s="49"/>
      <c r="I15" s="50"/>
      <c r="J15" s="50"/>
      <c r="K15" s="50"/>
      <c r="L15" s="50"/>
      <c r="M15" s="50"/>
      <c r="N15" s="50"/>
      <c r="O15" s="50"/>
      <c r="P15" s="50">
        <v>200</v>
      </c>
      <c r="Q15" s="50">
        <v>200</v>
      </c>
      <c r="R15" s="50"/>
      <c r="S15" s="50"/>
      <c r="T15" s="50"/>
    </row>
    <row r="16" spans="1:20" x14ac:dyDescent="0.25">
      <c r="A16" s="56">
        <v>15</v>
      </c>
      <c r="B16" s="57"/>
      <c r="C16" s="57" t="str">
        <f>IF(muslismst[[#This Row],[SEPTEMBER]]&gt;0,"P"," ")</f>
        <v>P</v>
      </c>
      <c r="D16" t="s">
        <v>21</v>
      </c>
      <c r="E16" s="58" t="s">
        <v>1960</v>
      </c>
      <c r="F16" s="58" t="s">
        <v>1961</v>
      </c>
      <c r="G16" s="31"/>
      <c r="H16" s="59"/>
      <c r="I16" s="60"/>
      <c r="J16" s="60"/>
      <c r="K16" s="60"/>
      <c r="L16" s="60"/>
      <c r="M16" s="60"/>
      <c r="N16" s="60"/>
      <c r="O16" s="60"/>
      <c r="P16" s="60">
        <v>200</v>
      </c>
      <c r="Q16" s="60">
        <v>200</v>
      </c>
      <c r="R16" s="60"/>
      <c r="S16" s="60"/>
      <c r="T16" s="60"/>
    </row>
    <row r="17" spans="1:20" x14ac:dyDescent="0.25">
      <c r="A17" s="48">
        <v>16</v>
      </c>
      <c r="B17" s="46"/>
      <c r="C17" t="str">
        <f>IF(muslismst[[#This Row],[SEPTEMBER]]&gt;0,"P"," ")</f>
        <v xml:space="preserve"> </v>
      </c>
      <c r="D17" t="s">
        <v>1962</v>
      </c>
      <c r="E17" s="47" t="s">
        <v>1963</v>
      </c>
      <c r="F17" s="47" t="s">
        <v>1964</v>
      </c>
      <c r="G17" s="32"/>
      <c r="H17" s="49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25">
      <c r="A18" s="56">
        <v>17</v>
      </c>
      <c r="B18" s="57"/>
      <c r="C18" s="57" t="str">
        <f>IF(muslismst[[#This Row],[SEPTEMBER]]&gt;0,"P"," ")</f>
        <v>P</v>
      </c>
      <c r="D18" t="s">
        <v>78</v>
      </c>
      <c r="E18" s="58" t="s">
        <v>1965</v>
      </c>
      <c r="F18" s="58" t="s">
        <v>1966</v>
      </c>
      <c r="G18" s="31"/>
      <c r="H18" s="59"/>
      <c r="I18" s="60"/>
      <c r="J18" s="60"/>
      <c r="K18" s="60"/>
      <c r="L18" s="60"/>
      <c r="M18" s="60"/>
      <c r="N18" s="60"/>
      <c r="O18" s="60"/>
      <c r="P18" s="60">
        <v>200</v>
      </c>
      <c r="Q18" s="60">
        <v>200</v>
      </c>
      <c r="R18" s="60"/>
      <c r="S18" s="60"/>
      <c r="T18" s="60"/>
    </row>
    <row r="19" spans="1:20" x14ac:dyDescent="0.25">
      <c r="A19" s="48">
        <v>18</v>
      </c>
      <c r="B19" s="46"/>
      <c r="C19" t="str">
        <f>IF(muslismst[[#This Row],[SEPTEMBER]]&gt;0,"P"," ")</f>
        <v xml:space="preserve"> </v>
      </c>
      <c r="E19" s="47" t="s">
        <v>1967</v>
      </c>
      <c r="F19" s="47" t="s">
        <v>76</v>
      </c>
      <c r="G19" s="32"/>
      <c r="H19" s="49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25">
      <c r="A20" s="56">
        <v>19</v>
      </c>
      <c r="B20" s="57"/>
      <c r="C20" s="57" t="str">
        <f>IF(muslismst[[#This Row],[SEPTEMBER]]&gt;0,"P"," ")</f>
        <v xml:space="preserve"> </v>
      </c>
      <c r="E20" s="58" t="s">
        <v>1968</v>
      </c>
      <c r="F20" s="58" t="s">
        <v>1969</v>
      </c>
      <c r="G20" s="31"/>
      <c r="H20" s="59"/>
      <c r="I20" s="60"/>
      <c r="J20" s="60"/>
      <c r="K20" s="60"/>
      <c r="L20" s="60"/>
      <c r="M20" s="60"/>
      <c r="N20" s="60"/>
      <c r="O20" s="60"/>
      <c r="P20" s="60">
        <v>200</v>
      </c>
      <c r="Q20" s="60"/>
      <c r="R20" s="60"/>
      <c r="S20" s="60"/>
      <c r="T20" s="60"/>
    </row>
    <row r="21" spans="1:20" x14ac:dyDescent="0.25">
      <c r="A21" s="48">
        <v>20</v>
      </c>
      <c r="B21" s="46"/>
      <c r="C21" t="str">
        <f>IF(muslismst[[#This Row],[SEPTEMBER]]&gt;0,"P"," ")</f>
        <v>P</v>
      </c>
      <c r="D21" t="s">
        <v>78</v>
      </c>
      <c r="E21" s="47" t="s">
        <v>1970</v>
      </c>
      <c r="F21" s="47" t="s">
        <v>1971</v>
      </c>
      <c r="G21" s="32"/>
      <c r="H21" s="49"/>
      <c r="I21" s="50"/>
      <c r="J21" s="50"/>
      <c r="K21" s="50"/>
      <c r="L21" s="50"/>
      <c r="M21" s="50"/>
      <c r="N21" s="50"/>
      <c r="O21" s="50"/>
      <c r="P21" s="50">
        <v>200</v>
      </c>
      <c r="Q21" s="50">
        <v>200</v>
      </c>
      <c r="R21" s="50"/>
      <c r="S21" s="50"/>
      <c r="T21" s="50"/>
    </row>
    <row r="22" spans="1:20" x14ac:dyDescent="0.25">
      <c r="A22" s="56">
        <v>21</v>
      </c>
      <c r="B22" s="57"/>
      <c r="C22" s="57" t="str">
        <f>IF(muslismst[[#This Row],[SEPTEMBER]]&gt;0,"P"," ")</f>
        <v xml:space="preserve"> </v>
      </c>
      <c r="E22" s="58" t="s">
        <v>1972</v>
      </c>
      <c r="F22" s="58" t="s">
        <v>1973</v>
      </c>
      <c r="G22" s="31"/>
      <c r="H22" s="59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</row>
    <row r="23" spans="1:20" x14ac:dyDescent="0.25">
      <c r="A23" s="48">
        <v>22</v>
      </c>
      <c r="B23" s="46"/>
      <c r="C23" t="str">
        <f>IF(muslismst[[#This Row],[SEPTEMBER]]&gt;0,"P"," ")</f>
        <v>P</v>
      </c>
      <c r="D23" t="s">
        <v>45</v>
      </c>
      <c r="E23" s="47" t="s">
        <v>1974</v>
      </c>
      <c r="F23" s="47" t="s">
        <v>84</v>
      </c>
      <c r="G23" s="32"/>
      <c r="H23" s="49"/>
      <c r="I23" s="50"/>
      <c r="J23" s="50"/>
      <c r="K23" s="50"/>
      <c r="L23" s="50"/>
      <c r="M23" s="50"/>
      <c r="N23" s="50"/>
      <c r="O23" s="50"/>
      <c r="P23" s="50">
        <v>200</v>
      </c>
      <c r="Q23" s="50">
        <v>200</v>
      </c>
      <c r="R23" s="50"/>
      <c r="S23" s="50"/>
      <c r="T23" s="50"/>
    </row>
    <row r="24" spans="1:20" x14ac:dyDescent="0.25">
      <c r="A24" s="56">
        <v>23</v>
      </c>
      <c r="B24" s="57"/>
      <c r="C24" s="57" t="str">
        <f>IF(muslismst[[#This Row],[SEPTEMBER]]&gt;0,"P"," ")</f>
        <v xml:space="preserve"> </v>
      </c>
      <c r="D24" t="s">
        <v>21</v>
      </c>
      <c r="E24" s="58" t="s">
        <v>1975</v>
      </c>
      <c r="F24" s="58" t="s">
        <v>1976</v>
      </c>
      <c r="G24" s="31"/>
      <c r="H24" s="59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</row>
    <row r="25" spans="1:20" x14ac:dyDescent="0.25">
      <c r="A25" s="48">
        <v>24</v>
      </c>
      <c r="B25" s="46"/>
      <c r="C25" t="str">
        <f>IF(muslismst[[#This Row],[SEPTEMBER]]&gt;0,"P"," ")</f>
        <v xml:space="preserve"> </v>
      </c>
      <c r="E25" s="47" t="s">
        <v>1977</v>
      </c>
      <c r="F25" s="47" t="s">
        <v>1978</v>
      </c>
      <c r="G25" s="32"/>
      <c r="H25" s="49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x14ac:dyDescent="0.25">
      <c r="A26" s="56">
        <v>25</v>
      </c>
      <c r="B26" s="57"/>
      <c r="C26" s="57" t="str">
        <f>IF(muslismst[[#This Row],[SEPTEMBER]]&gt;0,"P"," ")</f>
        <v>P</v>
      </c>
      <c r="D26" t="s">
        <v>25</v>
      </c>
      <c r="E26" s="58" t="s">
        <v>1979</v>
      </c>
      <c r="F26" s="58" t="s">
        <v>1980</v>
      </c>
      <c r="G26" s="31"/>
      <c r="H26" s="59"/>
      <c r="I26" s="60"/>
      <c r="J26" s="60"/>
      <c r="K26" s="60"/>
      <c r="L26" s="60"/>
      <c r="M26" s="60"/>
      <c r="N26" s="60"/>
      <c r="O26" s="60"/>
      <c r="P26" s="60">
        <v>200</v>
      </c>
      <c r="Q26" s="60">
        <v>200</v>
      </c>
      <c r="R26" s="60"/>
      <c r="S26" s="60"/>
      <c r="T26" s="60"/>
    </row>
    <row r="27" spans="1:20" x14ac:dyDescent="0.25">
      <c r="A27" s="48">
        <v>26</v>
      </c>
      <c r="B27" s="46"/>
      <c r="C27" t="str">
        <f>IF(muslismst[[#This Row],[SEPTEMBER]]&gt;0,"P"," ")</f>
        <v>P</v>
      </c>
      <c r="D27" t="s">
        <v>21</v>
      </c>
      <c r="E27" s="47" t="s">
        <v>1981</v>
      </c>
      <c r="F27" s="47" t="s">
        <v>1982</v>
      </c>
      <c r="G27" s="32"/>
      <c r="H27" s="49"/>
      <c r="I27" s="50"/>
      <c r="J27" s="50"/>
      <c r="K27" s="50"/>
      <c r="L27" s="50"/>
      <c r="M27" s="50"/>
      <c r="N27" s="50"/>
      <c r="O27" s="50"/>
      <c r="P27" s="50">
        <v>200</v>
      </c>
      <c r="Q27" s="50">
        <v>200</v>
      </c>
      <c r="R27" s="50"/>
      <c r="S27" s="50"/>
      <c r="T27" s="50"/>
    </row>
    <row r="28" spans="1:20" x14ac:dyDescent="0.25">
      <c r="A28" s="56">
        <v>27</v>
      </c>
      <c r="B28" s="57"/>
      <c r="C28" s="57" t="str">
        <f>IF(muslismst[[#This Row],[SEPTEMBER]]&gt;0,"P"," ")</f>
        <v>P</v>
      </c>
      <c r="D28" t="s">
        <v>35</v>
      </c>
      <c r="E28" s="58" t="s">
        <v>1983</v>
      </c>
      <c r="F28" s="58" t="s">
        <v>1984</v>
      </c>
      <c r="G28" s="31"/>
      <c r="H28" s="59"/>
      <c r="I28" s="60"/>
      <c r="J28" s="60"/>
      <c r="K28" s="60"/>
      <c r="L28" s="60"/>
      <c r="M28" s="60"/>
      <c r="N28" s="60"/>
      <c r="O28" s="60"/>
      <c r="P28" s="60">
        <v>200</v>
      </c>
      <c r="Q28" s="60">
        <v>200</v>
      </c>
      <c r="R28" s="60"/>
      <c r="S28" s="60"/>
      <c r="T28" s="60"/>
    </row>
    <row r="29" spans="1:20" x14ac:dyDescent="0.25">
      <c r="A29" s="48">
        <v>28</v>
      </c>
      <c r="B29" s="46"/>
      <c r="C29" t="str">
        <f>IF(muslismst[[#This Row],[SEPTEMBER]]&gt;0,"P"," ")</f>
        <v>P</v>
      </c>
      <c r="D29" t="s">
        <v>35</v>
      </c>
      <c r="E29" s="47" t="s">
        <v>1985</v>
      </c>
      <c r="F29" s="47" t="s">
        <v>1986</v>
      </c>
      <c r="G29" s="32"/>
      <c r="H29" s="49"/>
      <c r="I29" s="50"/>
      <c r="J29" s="50"/>
      <c r="K29" s="50"/>
      <c r="L29" s="50"/>
      <c r="M29" s="50"/>
      <c r="N29" s="50"/>
      <c r="O29" s="50"/>
      <c r="P29" s="50">
        <v>200</v>
      </c>
      <c r="Q29" s="50">
        <v>200</v>
      </c>
      <c r="R29" s="50"/>
      <c r="S29" s="50"/>
      <c r="T29" s="50"/>
    </row>
    <row r="30" spans="1:20" x14ac:dyDescent="0.25">
      <c r="A30" s="56">
        <v>29</v>
      </c>
      <c r="B30" s="57"/>
      <c r="C30" s="57" t="str">
        <f>IF(muslismst[[#This Row],[SEPTEMBER]]&gt;0,"P"," ")</f>
        <v xml:space="preserve"> </v>
      </c>
      <c r="E30" s="58" t="s">
        <v>1987</v>
      </c>
      <c r="F30" s="58" t="s">
        <v>1988</v>
      </c>
      <c r="G30" s="31"/>
      <c r="H30" s="59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</row>
    <row r="31" spans="1:20" x14ac:dyDescent="0.25">
      <c r="A31" s="48">
        <v>30</v>
      </c>
      <c r="B31" s="46"/>
      <c r="C31" t="str">
        <f>IF(muslismst[[#This Row],[SEPTEMBER]]&gt;0,"P"," ")</f>
        <v xml:space="preserve"> </v>
      </c>
      <c r="E31" s="47" t="s">
        <v>1989</v>
      </c>
      <c r="F31" s="47" t="s">
        <v>1990</v>
      </c>
      <c r="G31" s="32"/>
      <c r="H31" s="49"/>
      <c r="I31" s="50"/>
      <c r="J31" s="50"/>
      <c r="K31" s="50"/>
      <c r="L31" s="50"/>
      <c r="M31" s="50"/>
      <c r="N31" s="50"/>
      <c r="O31" s="50"/>
      <c r="P31" s="50">
        <v>200</v>
      </c>
      <c r="Q31" s="50"/>
      <c r="R31" s="50"/>
      <c r="S31" s="50"/>
      <c r="T31" s="50"/>
    </row>
    <row r="32" spans="1:20" x14ac:dyDescent="0.25">
      <c r="A32" s="10">
        <v>31</v>
      </c>
      <c r="B32" s="11"/>
      <c r="C32" s="57" t="str">
        <f>IF(muslismst[[#This Row],[SEPTEMBER]]&gt;0,"P"," ")</f>
        <v>P</v>
      </c>
      <c r="D32" t="s">
        <v>35</v>
      </c>
      <c r="E32" s="12" t="s">
        <v>1807</v>
      </c>
      <c r="F32" s="12" t="s">
        <v>1808</v>
      </c>
      <c r="G32" s="37"/>
      <c r="H32" s="22"/>
      <c r="I32" s="23"/>
      <c r="J32" s="23"/>
      <c r="K32" s="23"/>
      <c r="L32" s="23"/>
      <c r="M32" s="23"/>
      <c r="N32" s="23"/>
      <c r="O32" s="23"/>
      <c r="P32" s="23"/>
      <c r="Q32" s="23">
        <v>200</v>
      </c>
      <c r="R32" s="23"/>
      <c r="S32" s="23"/>
      <c r="T32" s="23"/>
    </row>
    <row r="33" spans="1:20" x14ac:dyDescent="0.25">
      <c r="A33" s="56">
        <v>32</v>
      </c>
      <c r="B33" s="57" t="s">
        <v>1991</v>
      </c>
      <c r="C33" s="57" t="str">
        <f>IF(muslismst[[#This Row],[SEPTEMBER]]&gt;0,"P"," ")</f>
        <v>P</v>
      </c>
      <c r="D33" t="s">
        <v>78</v>
      </c>
      <c r="E33" s="58" t="s">
        <v>1830</v>
      </c>
      <c r="F33" s="58" t="s">
        <v>1831</v>
      </c>
      <c r="G33" s="31"/>
      <c r="H33" s="59"/>
      <c r="I33" s="60"/>
      <c r="J33" s="60"/>
      <c r="K33" s="60"/>
      <c r="L33" s="60"/>
      <c r="M33" s="60"/>
      <c r="N33" s="60"/>
      <c r="O33" s="60"/>
      <c r="P33" s="60"/>
      <c r="Q33" s="60">
        <v>200</v>
      </c>
      <c r="R33" s="60"/>
      <c r="S33" s="60"/>
      <c r="T33" s="60"/>
    </row>
    <row r="34" spans="1:20" x14ac:dyDescent="0.25">
      <c r="A34" s="56">
        <v>33</v>
      </c>
      <c r="B34" s="57" t="s">
        <v>120</v>
      </c>
      <c r="C34" s="57" t="str">
        <f>IF(muslismst[[#This Row],[SEPTEMBER]]&gt;0,"P"," ")</f>
        <v xml:space="preserve"> </v>
      </c>
      <c r="E34" s="58" t="s">
        <v>1810</v>
      </c>
      <c r="F34" s="58" t="s">
        <v>1811</v>
      </c>
      <c r="G34" s="31"/>
      <c r="H34" s="59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</row>
    <row r="35" spans="1:20" x14ac:dyDescent="0.25">
      <c r="A35" s="33" t="s">
        <v>299</v>
      </c>
      <c r="B35" s="33"/>
      <c r="C35" s="33"/>
      <c r="D35" s="33">
        <f>SUBTOTAL(103,muslismst[Package])</f>
        <v>26</v>
      </c>
      <c r="E35" s="33">
        <f>SUBTOTAL(103,muslismst[Box No])</f>
        <v>33</v>
      </c>
      <c r="F35" s="33">
        <f>SUBTOTAL(103,muslismst[CAF_ID])</f>
        <v>33</v>
      </c>
      <c r="G35" s="33"/>
      <c r="H35" s="34">
        <f>SUBTOTAL(109,muslismst[BALANCE])</f>
        <v>0</v>
      </c>
      <c r="I35" s="34">
        <f>SUBTOTAL(109,muslismst[JANUARY])</f>
        <v>0</v>
      </c>
      <c r="J35" s="34">
        <f>SUBTOTAL(109,muslismst[FEBEUARY])</f>
        <v>0</v>
      </c>
      <c r="K35" s="34">
        <f>SUBTOTAL(109,muslismst[MARCH])</f>
        <v>0</v>
      </c>
      <c r="L35" s="34">
        <f>SUBTOTAL(109,muslismst[APRIL])</f>
        <v>0</v>
      </c>
      <c r="M35" s="34">
        <f>SUBTOTAL(109,muslismst[MAY])</f>
        <v>0</v>
      </c>
      <c r="N35" s="34">
        <f>SUBTOTAL(109,muslismst[JUNE])</f>
        <v>0</v>
      </c>
      <c r="O35" s="34">
        <f>SUBTOTAL(109,muslismst[JULY])</f>
        <v>600</v>
      </c>
      <c r="P35" s="34">
        <f>SUBTOTAL(109,muslismst[AUGUST])</f>
        <v>3850</v>
      </c>
      <c r="Q35" s="34">
        <f>SUBTOTAL(109,muslismst[SEPTEMBER])</f>
        <v>4850</v>
      </c>
      <c r="R35" s="34">
        <f>SUBTOTAL(109,muslismst[OCTOBER])</f>
        <v>0</v>
      </c>
      <c r="S35" s="34">
        <f>SUBTOTAL(109,muslismst[NOVEMBER])</f>
        <v>0</v>
      </c>
      <c r="T35" s="34">
        <f>SUBTOTAL(109,muslismst[DECEMBER])</f>
        <v>0</v>
      </c>
    </row>
    <row r="37" spans="1:20" x14ac:dyDescent="0.25">
      <c r="B37" s="39" t="s">
        <v>299</v>
      </c>
      <c r="C37" s="39">
        <f>COUNTIF(muslismst[PAID],"P")</f>
        <v>23</v>
      </c>
    </row>
    <row r="38" spans="1:20" x14ac:dyDescent="0.25">
      <c r="B38" s="33"/>
      <c r="C38" s="33"/>
    </row>
    <row r="39" spans="1:20" x14ac:dyDescent="0.25">
      <c r="B39" s="35" t="s">
        <v>300</v>
      </c>
      <c r="C39" s="43">
        <f>COUNTIF(C2:C34,"P")</f>
        <v>23</v>
      </c>
      <c r="D39">
        <v>5</v>
      </c>
    </row>
    <row r="40" spans="1:20" x14ac:dyDescent="0.25">
      <c r="B40" s="36" t="s">
        <v>301</v>
      </c>
      <c r="C40" s="42">
        <f>COUNTIF(C2:C34,"NP")</f>
        <v>0</v>
      </c>
    </row>
    <row r="41" spans="1:20" x14ac:dyDescent="0.25">
      <c r="B41" s="33"/>
      <c r="C41" s="33"/>
    </row>
    <row r="42" spans="1:20" x14ac:dyDescent="0.25">
      <c r="B42" s="39" t="s">
        <v>302</v>
      </c>
      <c r="C42" s="39">
        <f>C39+C40</f>
        <v>23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T130"/>
  <sheetViews>
    <sheetView zoomScale="110" zoomScaleNormal="130" workbookViewId="0">
      <selection activeCell="G9" sqref="G9"/>
    </sheetView>
  </sheetViews>
  <sheetFormatPr defaultRowHeight="15" x14ac:dyDescent="0.25"/>
  <cols>
    <col min="1" max="1" width="7.85546875" style="61" customWidth="1"/>
    <col min="2" max="2" width="22" style="61" customWidth="1"/>
    <col min="3" max="3" width="11.28515625" style="61" customWidth="1"/>
    <col min="4" max="4" width="25.7109375" style="61" customWidth="1"/>
    <col min="5" max="5" width="11" style="61" customWidth="1"/>
    <col min="6" max="6" width="9.140625" style="61" customWidth="1"/>
    <col min="7" max="7" width="19.85546875" style="52" customWidth="1"/>
    <col min="8" max="8" width="9.140625" style="52" customWidth="1"/>
    <col min="9" max="15" width="9.140625" style="52" hidden="1" customWidth="1"/>
    <col min="16" max="16" width="10.7109375" style="52" customWidth="1"/>
    <col min="17" max="18" width="9.140625" style="52" customWidth="1"/>
  </cols>
  <sheetData>
    <row r="1" spans="1:20" x14ac:dyDescent="0.25">
      <c r="A1" t="s">
        <v>0</v>
      </c>
      <c r="B1" t="s">
        <v>1</v>
      </c>
      <c r="C1" t="s">
        <v>2</v>
      </c>
      <c r="D1" s="44" t="s">
        <v>4</v>
      </c>
      <c r="E1" s="44" t="s">
        <v>1992</v>
      </c>
      <c r="F1" s="44" t="s">
        <v>1993</v>
      </c>
      <c r="G1" s="44" t="s">
        <v>19</v>
      </c>
      <c r="H1" s="52" t="s">
        <v>18</v>
      </c>
      <c r="I1" s="52" t="s">
        <v>6</v>
      </c>
      <c r="J1" s="52" t="s">
        <v>7</v>
      </c>
      <c r="K1" s="52" t="s">
        <v>8</v>
      </c>
      <c r="L1" s="52" t="s">
        <v>9</v>
      </c>
      <c r="M1" s="52" t="s">
        <v>10</v>
      </c>
      <c r="N1" s="52" t="s">
        <v>11</v>
      </c>
      <c r="O1" s="52" t="s">
        <v>12</v>
      </c>
      <c r="P1" s="52" t="s">
        <v>13</v>
      </c>
      <c r="Q1" s="52" t="s">
        <v>14</v>
      </c>
      <c r="R1" s="52" t="s">
        <v>15</v>
      </c>
      <c r="S1" s="52" t="s">
        <v>16</v>
      </c>
      <c r="T1" s="52" t="s">
        <v>17</v>
      </c>
    </row>
    <row r="2" spans="1:20" x14ac:dyDescent="0.25">
      <c r="A2">
        <v>1</v>
      </c>
      <c r="B2" t="s">
        <v>1994</v>
      </c>
      <c r="C2" t="s">
        <v>1995</v>
      </c>
      <c r="D2" s="44" t="s">
        <v>1996</v>
      </c>
      <c r="E2" s="3" t="s">
        <v>1997</v>
      </c>
      <c r="F2" s="3"/>
      <c r="G2" s="3"/>
      <c r="I2" s="52">
        <v>200</v>
      </c>
      <c r="J2" s="52">
        <v>190</v>
      </c>
      <c r="K2" s="52">
        <v>190</v>
      </c>
      <c r="L2" s="52">
        <v>190</v>
      </c>
      <c r="P2" s="52">
        <v>190</v>
      </c>
      <c r="S2" s="52"/>
      <c r="T2" s="52"/>
    </row>
    <row r="3" spans="1:20" x14ac:dyDescent="0.25">
      <c r="A3">
        <v>2</v>
      </c>
      <c r="B3" t="s">
        <v>57</v>
      </c>
      <c r="D3" s="44" t="s">
        <v>1998</v>
      </c>
      <c r="E3" s="3" t="s">
        <v>1999</v>
      </c>
      <c r="F3" s="3"/>
      <c r="G3" s="3"/>
      <c r="S3" s="52"/>
      <c r="T3" s="52"/>
    </row>
    <row r="4" spans="1:20" x14ac:dyDescent="0.25">
      <c r="A4">
        <v>3</v>
      </c>
      <c r="B4" t="s">
        <v>2000</v>
      </c>
      <c r="C4" t="s">
        <v>1995</v>
      </c>
      <c r="D4" s="44" t="s">
        <v>2001</v>
      </c>
      <c r="E4" s="3" t="s">
        <v>2002</v>
      </c>
      <c r="F4" s="3"/>
      <c r="G4" s="3"/>
      <c r="I4" s="52">
        <v>200</v>
      </c>
      <c r="J4" s="52">
        <v>180</v>
      </c>
      <c r="K4" s="52">
        <v>190</v>
      </c>
      <c r="L4" s="52">
        <v>190</v>
      </c>
      <c r="P4" s="52">
        <v>190</v>
      </c>
      <c r="S4" s="52"/>
      <c r="T4" s="52"/>
    </row>
    <row r="5" spans="1:20" x14ac:dyDescent="0.25">
      <c r="A5">
        <v>4</v>
      </c>
      <c r="B5" t="s">
        <v>421</v>
      </c>
      <c r="C5" t="s">
        <v>1995</v>
      </c>
      <c r="D5" s="44" t="s">
        <v>2003</v>
      </c>
      <c r="E5" s="3" t="s">
        <v>2004</v>
      </c>
      <c r="F5" s="3"/>
      <c r="G5" s="3"/>
      <c r="I5" s="52">
        <v>200</v>
      </c>
      <c r="J5" s="52">
        <v>190</v>
      </c>
      <c r="K5" s="52">
        <v>190</v>
      </c>
      <c r="L5" s="52">
        <v>190</v>
      </c>
      <c r="P5" s="52">
        <v>190</v>
      </c>
      <c r="S5" s="52"/>
      <c r="T5" s="52"/>
    </row>
    <row r="6" spans="1:20" x14ac:dyDescent="0.25">
      <c r="A6">
        <v>5</v>
      </c>
      <c r="B6" t="s">
        <v>2005</v>
      </c>
      <c r="C6" t="s">
        <v>1995</v>
      </c>
      <c r="D6" s="44" t="s">
        <v>2006</v>
      </c>
      <c r="E6" s="3" t="s">
        <v>2007</v>
      </c>
      <c r="F6" s="3"/>
      <c r="G6" s="3"/>
      <c r="P6" s="52">
        <v>190</v>
      </c>
      <c r="S6" s="52"/>
      <c r="T6" s="52"/>
    </row>
    <row r="7" spans="1:20" x14ac:dyDescent="0.25">
      <c r="A7">
        <v>6</v>
      </c>
      <c r="B7" t="s">
        <v>1669</v>
      </c>
      <c r="C7" t="s">
        <v>1995</v>
      </c>
      <c r="D7" s="44" t="s">
        <v>2008</v>
      </c>
      <c r="E7" s="3" t="s">
        <v>2009</v>
      </c>
      <c r="F7" s="3"/>
      <c r="G7" s="3"/>
      <c r="S7" s="52"/>
      <c r="T7" s="52"/>
    </row>
    <row r="8" spans="1:20" x14ac:dyDescent="0.25">
      <c r="A8">
        <v>7</v>
      </c>
      <c r="B8" t="s">
        <v>303</v>
      </c>
      <c r="C8" t="s">
        <v>2010</v>
      </c>
      <c r="D8" s="44" t="s">
        <v>2011</v>
      </c>
      <c r="E8" s="3" t="s">
        <v>2012</v>
      </c>
      <c r="F8" s="3"/>
      <c r="G8" s="3"/>
      <c r="S8" s="52"/>
      <c r="T8" s="52"/>
    </row>
    <row r="9" spans="1:20" x14ac:dyDescent="0.25">
      <c r="A9">
        <v>8</v>
      </c>
      <c r="B9" t="s">
        <v>2013</v>
      </c>
      <c r="C9" t="s">
        <v>1995</v>
      </c>
      <c r="D9" s="44" t="s">
        <v>2014</v>
      </c>
      <c r="E9" s="44" t="s">
        <v>2015</v>
      </c>
      <c r="F9" s="44"/>
      <c r="G9" s="44"/>
      <c r="P9" s="52">
        <v>190</v>
      </c>
      <c r="S9" s="52"/>
      <c r="T9" s="52"/>
    </row>
    <row r="10" spans="1:20" x14ac:dyDescent="0.25">
      <c r="A10">
        <v>9</v>
      </c>
      <c r="B10" t="s">
        <v>44</v>
      </c>
      <c r="C10" t="s">
        <v>1995</v>
      </c>
      <c r="D10" s="44" t="s">
        <v>2016</v>
      </c>
      <c r="E10" s="3" t="s">
        <v>2017</v>
      </c>
      <c r="F10" s="3"/>
      <c r="G10" s="3"/>
      <c r="P10" s="52">
        <v>190</v>
      </c>
      <c r="S10" s="52"/>
      <c r="T10" s="52"/>
    </row>
    <row r="11" spans="1:20" x14ac:dyDescent="0.25">
      <c r="A11">
        <v>10</v>
      </c>
      <c r="B11" t="s">
        <v>2018</v>
      </c>
      <c r="D11" s="44" t="s">
        <v>2019</v>
      </c>
      <c r="E11" s="3" t="s">
        <v>2020</v>
      </c>
      <c r="F11" s="3"/>
      <c r="G11" s="3"/>
      <c r="S11" s="52"/>
      <c r="T11" s="52"/>
    </row>
    <row r="12" spans="1:20" x14ac:dyDescent="0.25">
      <c r="A12">
        <v>11</v>
      </c>
      <c r="B12" t="s">
        <v>156</v>
      </c>
      <c r="D12" s="44" t="s">
        <v>2021</v>
      </c>
      <c r="E12" s="4" t="s">
        <v>2022</v>
      </c>
      <c r="F12" s="4"/>
      <c r="G12" s="4"/>
      <c r="S12" s="52"/>
      <c r="T12" s="52"/>
    </row>
    <row r="13" spans="1:20" x14ac:dyDescent="0.25">
      <c r="A13">
        <v>12</v>
      </c>
      <c r="B13" t="s">
        <v>332</v>
      </c>
      <c r="C13" t="s">
        <v>1995</v>
      </c>
      <c r="D13" s="44" t="s">
        <v>2023</v>
      </c>
      <c r="E13" s="3" t="s">
        <v>2024</v>
      </c>
      <c r="F13" s="3"/>
      <c r="G13" s="3"/>
      <c r="P13" s="52">
        <v>100</v>
      </c>
      <c r="S13" s="52"/>
      <c r="T13" s="52"/>
    </row>
    <row r="14" spans="1:20" x14ac:dyDescent="0.25">
      <c r="A14">
        <v>13</v>
      </c>
      <c r="B14" t="s">
        <v>206</v>
      </c>
      <c r="C14" t="s">
        <v>1995</v>
      </c>
      <c r="D14" s="44" t="s">
        <v>2025</v>
      </c>
      <c r="E14" s="3" t="s">
        <v>2026</v>
      </c>
      <c r="F14" s="3"/>
      <c r="G14" s="3"/>
      <c r="P14" s="52">
        <v>190</v>
      </c>
      <c r="S14" s="52"/>
      <c r="T14" s="52"/>
    </row>
    <row r="15" spans="1:20" x14ac:dyDescent="0.25">
      <c r="A15">
        <v>14</v>
      </c>
      <c r="B15" t="s">
        <v>2027</v>
      </c>
      <c r="D15" s="44" t="s">
        <v>2028</v>
      </c>
      <c r="E15" s="3" t="s">
        <v>2029</v>
      </c>
      <c r="F15" s="3"/>
      <c r="G15" s="3"/>
      <c r="S15" s="52"/>
      <c r="T15" s="52"/>
    </row>
    <row r="16" spans="1:20" x14ac:dyDescent="0.25">
      <c r="A16">
        <v>15</v>
      </c>
      <c r="B16" t="s">
        <v>1757</v>
      </c>
      <c r="C16" t="s">
        <v>2030</v>
      </c>
      <c r="D16" s="44" t="s">
        <v>2031</v>
      </c>
      <c r="E16" s="3"/>
      <c r="F16" s="3"/>
      <c r="G16" s="3"/>
      <c r="P16" s="52">
        <v>190</v>
      </c>
      <c r="S16" s="52"/>
      <c r="T16" s="52"/>
    </row>
    <row r="17" spans="1:20" x14ac:dyDescent="0.25">
      <c r="A17">
        <v>16</v>
      </c>
      <c r="B17" t="s">
        <v>2032</v>
      </c>
      <c r="C17" t="s">
        <v>1995</v>
      </c>
      <c r="D17" s="44" t="s">
        <v>2033</v>
      </c>
      <c r="E17" s="3" t="s">
        <v>2034</v>
      </c>
      <c r="F17" s="3"/>
      <c r="G17" s="3"/>
      <c r="P17" s="52">
        <v>190</v>
      </c>
      <c r="S17" s="52"/>
      <c r="T17" s="52"/>
    </row>
    <row r="18" spans="1:20" x14ac:dyDescent="0.25">
      <c r="A18">
        <v>17</v>
      </c>
      <c r="B18" t="s">
        <v>2035</v>
      </c>
      <c r="D18" s="44" t="s">
        <v>2036</v>
      </c>
      <c r="E18" s="44" t="s">
        <v>2037</v>
      </c>
      <c r="F18" s="44"/>
      <c r="G18" s="44"/>
      <c r="P18" s="52" t="s">
        <v>81</v>
      </c>
      <c r="S18" s="52"/>
      <c r="T18" s="52"/>
    </row>
    <row r="19" spans="1:20" x14ac:dyDescent="0.25">
      <c r="A19">
        <v>18</v>
      </c>
      <c r="B19" t="s">
        <v>469</v>
      </c>
      <c r="C19" t="s">
        <v>1995</v>
      </c>
      <c r="D19" s="44" t="s">
        <v>2038</v>
      </c>
      <c r="E19" s="3" t="s">
        <v>2039</v>
      </c>
      <c r="F19" s="3"/>
      <c r="G19" s="3"/>
      <c r="P19" s="52">
        <v>180</v>
      </c>
      <c r="S19" s="52"/>
      <c r="T19" s="52"/>
    </row>
    <row r="20" spans="1:20" x14ac:dyDescent="0.25">
      <c r="A20">
        <v>19</v>
      </c>
      <c r="B20" t="s">
        <v>1840</v>
      </c>
      <c r="C20" t="s">
        <v>1995</v>
      </c>
      <c r="D20" s="44" t="s">
        <v>2040</v>
      </c>
      <c r="E20" s="3" t="s">
        <v>2041</v>
      </c>
      <c r="F20" s="3"/>
      <c r="G20" s="3"/>
      <c r="P20" s="52">
        <v>190</v>
      </c>
      <c r="S20" s="52"/>
      <c r="T20" s="52"/>
    </row>
    <row r="21" spans="1:20" x14ac:dyDescent="0.25">
      <c r="A21">
        <v>20</v>
      </c>
      <c r="B21" t="s">
        <v>813</v>
      </c>
      <c r="C21" t="s">
        <v>1995</v>
      </c>
      <c r="D21" s="44" t="s">
        <v>2042</v>
      </c>
      <c r="E21" s="3" t="s">
        <v>2043</v>
      </c>
      <c r="F21" s="3"/>
      <c r="G21" s="3"/>
      <c r="P21" s="52">
        <v>180</v>
      </c>
      <c r="S21" s="52"/>
      <c r="T21" s="52"/>
    </row>
    <row r="22" spans="1:20" x14ac:dyDescent="0.25">
      <c r="A22">
        <v>21</v>
      </c>
      <c r="B22" t="s">
        <v>120</v>
      </c>
      <c r="D22" s="44" t="s">
        <v>2044</v>
      </c>
      <c r="E22" s="3" t="s">
        <v>2045</v>
      </c>
      <c r="F22" s="3"/>
      <c r="G22" s="3"/>
      <c r="S22" s="52"/>
      <c r="T22" s="52"/>
    </row>
    <row r="23" spans="1:20" x14ac:dyDescent="0.25">
      <c r="A23">
        <v>22</v>
      </c>
      <c r="B23" t="s">
        <v>2046</v>
      </c>
      <c r="D23" s="44" t="s">
        <v>2047</v>
      </c>
      <c r="E23" s="3" t="s">
        <v>2048</v>
      </c>
      <c r="F23" s="3"/>
      <c r="G23" s="3"/>
      <c r="P23" s="52">
        <v>180</v>
      </c>
      <c r="S23" s="52"/>
      <c r="T23" s="52"/>
    </row>
    <row r="24" spans="1:20" x14ac:dyDescent="0.25">
      <c r="A24">
        <v>23</v>
      </c>
      <c r="B24" t="s">
        <v>2049</v>
      </c>
      <c r="D24" s="44" t="s">
        <v>2050</v>
      </c>
      <c r="E24" s="3" t="s">
        <v>2051</v>
      </c>
      <c r="F24" s="3"/>
      <c r="G24" s="3"/>
      <c r="S24" s="52"/>
      <c r="T24" s="52"/>
    </row>
    <row r="25" spans="1:20" x14ac:dyDescent="0.25">
      <c r="A25">
        <v>24</v>
      </c>
      <c r="B25" t="s">
        <v>2052</v>
      </c>
      <c r="C25" t="s">
        <v>1995</v>
      </c>
      <c r="D25" s="44" t="s">
        <v>2053</v>
      </c>
      <c r="E25" s="3" t="s">
        <v>2054</v>
      </c>
      <c r="F25" s="3"/>
      <c r="G25" s="3"/>
      <c r="P25" s="52">
        <v>190</v>
      </c>
      <c r="S25" s="52"/>
      <c r="T25" s="52"/>
    </row>
    <row r="26" spans="1:20" x14ac:dyDescent="0.25">
      <c r="A26">
        <v>25</v>
      </c>
      <c r="B26" t="s">
        <v>138</v>
      </c>
      <c r="D26" s="44" t="s">
        <v>2055</v>
      </c>
      <c r="E26" s="3" t="s">
        <v>2056</v>
      </c>
      <c r="F26" s="3"/>
      <c r="G26" s="3"/>
      <c r="S26" s="52"/>
      <c r="T26" s="52"/>
    </row>
    <row r="27" spans="1:20" x14ac:dyDescent="0.25">
      <c r="A27">
        <v>26</v>
      </c>
      <c r="B27" t="s">
        <v>2057</v>
      </c>
      <c r="D27" s="44" t="s">
        <v>2058</v>
      </c>
      <c r="E27" s="44" t="s">
        <v>2059</v>
      </c>
      <c r="F27" s="44"/>
      <c r="G27" s="44"/>
      <c r="S27" s="52"/>
      <c r="T27" s="52"/>
    </row>
    <row r="28" spans="1:20" x14ac:dyDescent="0.25">
      <c r="A28">
        <v>27</v>
      </c>
      <c r="B28" t="s">
        <v>203</v>
      </c>
      <c r="C28" t="s">
        <v>1995</v>
      </c>
      <c r="D28" s="44" t="s">
        <v>2060</v>
      </c>
      <c r="E28" s="3" t="s">
        <v>2061</v>
      </c>
      <c r="F28" s="3"/>
      <c r="G28" s="3"/>
      <c r="P28" s="52">
        <v>190</v>
      </c>
      <c r="S28" s="52"/>
      <c r="T28" s="52"/>
    </row>
    <row r="29" spans="1:20" x14ac:dyDescent="0.25">
      <c r="A29">
        <v>28</v>
      </c>
      <c r="B29" t="s">
        <v>2062</v>
      </c>
      <c r="C29" t="s">
        <v>1995</v>
      </c>
      <c r="D29" s="44" t="s">
        <v>2063</v>
      </c>
      <c r="E29" s="3" t="s">
        <v>2064</v>
      </c>
      <c r="F29" s="3"/>
      <c r="G29" s="3"/>
      <c r="P29" s="52">
        <v>180</v>
      </c>
      <c r="S29" s="52"/>
      <c r="T29" s="52"/>
    </row>
    <row r="30" spans="1:20" x14ac:dyDescent="0.25">
      <c r="A30">
        <v>29</v>
      </c>
      <c r="B30" t="s">
        <v>2065</v>
      </c>
      <c r="C30" t="s">
        <v>1995</v>
      </c>
      <c r="D30" s="44" t="s">
        <v>2066</v>
      </c>
      <c r="E30" s="3" t="s">
        <v>2067</v>
      </c>
      <c r="F30" s="3"/>
      <c r="G30" s="3"/>
      <c r="P30" s="52">
        <v>190</v>
      </c>
      <c r="S30" s="52"/>
      <c r="T30" s="52"/>
    </row>
    <row r="31" spans="1:20" x14ac:dyDescent="0.25">
      <c r="A31">
        <v>30</v>
      </c>
      <c r="B31" t="s">
        <v>2068</v>
      </c>
      <c r="C31" t="s">
        <v>1995</v>
      </c>
      <c r="D31" s="44" t="s">
        <v>2069</v>
      </c>
      <c r="E31" s="4" t="s">
        <v>2070</v>
      </c>
      <c r="F31" s="4"/>
      <c r="G31" s="4"/>
      <c r="P31" s="52">
        <v>190</v>
      </c>
      <c r="S31" s="52"/>
      <c r="T31" s="52"/>
    </row>
    <row r="32" spans="1:20" x14ac:dyDescent="0.25">
      <c r="A32">
        <v>31</v>
      </c>
      <c r="B32" t="s">
        <v>2071</v>
      </c>
      <c r="C32" t="s">
        <v>1995</v>
      </c>
      <c r="D32" s="44" t="s">
        <v>2072</v>
      </c>
      <c r="E32" s="3" t="s">
        <v>2073</v>
      </c>
      <c r="F32" s="3"/>
      <c r="G32" s="3"/>
      <c r="P32" s="52">
        <v>190</v>
      </c>
      <c r="S32" s="52"/>
      <c r="T32" s="52"/>
    </row>
    <row r="33" spans="1:20" x14ac:dyDescent="0.25">
      <c r="A33">
        <v>32</v>
      </c>
      <c r="B33" t="s">
        <v>523</v>
      </c>
      <c r="C33" t="s">
        <v>1995</v>
      </c>
      <c r="D33" s="44" t="s">
        <v>2074</v>
      </c>
      <c r="E33" s="3" t="s">
        <v>2075</v>
      </c>
      <c r="F33" s="3"/>
      <c r="G33" s="3"/>
      <c r="P33" s="52">
        <v>180</v>
      </c>
      <c r="S33" s="52"/>
      <c r="T33" s="52"/>
    </row>
    <row r="34" spans="1:20" x14ac:dyDescent="0.25">
      <c r="A34">
        <v>33</v>
      </c>
      <c r="B34" t="s">
        <v>138</v>
      </c>
      <c r="C34" t="s">
        <v>1995</v>
      </c>
      <c r="D34" s="44" t="s">
        <v>2076</v>
      </c>
      <c r="E34" s="3" t="s">
        <v>2077</v>
      </c>
      <c r="F34" s="3"/>
      <c r="G34" s="3"/>
      <c r="P34" s="52">
        <v>190</v>
      </c>
      <c r="S34" s="52"/>
      <c r="T34" s="52"/>
    </row>
    <row r="35" spans="1:20" x14ac:dyDescent="0.25">
      <c r="A35">
        <v>34</v>
      </c>
      <c r="B35" t="s">
        <v>150</v>
      </c>
      <c r="C35" t="s">
        <v>1995</v>
      </c>
      <c r="D35" s="44" t="s">
        <v>2078</v>
      </c>
      <c r="E35" s="3" t="s">
        <v>2079</v>
      </c>
      <c r="F35" s="3"/>
      <c r="G35" s="3"/>
      <c r="P35" s="52">
        <v>180</v>
      </c>
      <c r="S35" s="52"/>
      <c r="T35" s="52"/>
    </row>
    <row r="36" spans="1:20" x14ac:dyDescent="0.25">
      <c r="A36">
        <v>35</v>
      </c>
      <c r="B36" t="s">
        <v>2080</v>
      </c>
      <c r="C36" t="s">
        <v>2010</v>
      </c>
      <c r="D36" s="44" t="s">
        <v>2081</v>
      </c>
      <c r="E36" s="3" t="s">
        <v>2082</v>
      </c>
      <c r="F36" s="3"/>
      <c r="G36" s="3"/>
      <c r="S36" s="52"/>
      <c r="T36" s="52"/>
    </row>
    <row r="37" spans="1:20" x14ac:dyDescent="0.25">
      <c r="A37">
        <v>36</v>
      </c>
      <c r="B37" t="s">
        <v>2083</v>
      </c>
      <c r="C37" t="s">
        <v>1995</v>
      </c>
      <c r="D37" s="44" t="s">
        <v>2084</v>
      </c>
      <c r="E37" s="3" t="s">
        <v>2085</v>
      </c>
      <c r="F37" s="3"/>
      <c r="G37" s="3"/>
      <c r="S37" s="52"/>
      <c r="T37" s="52"/>
    </row>
    <row r="38" spans="1:20" x14ac:dyDescent="0.25">
      <c r="A38">
        <v>37</v>
      </c>
      <c r="B38" t="s">
        <v>2086</v>
      </c>
      <c r="C38" t="s">
        <v>1995</v>
      </c>
      <c r="D38" s="44" t="s">
        <v>2087</v>
      </c>
      <c r="E38" s="3" t="s">
        <v>2088</v>
      </c>
      <c r="F38" s="3"/>
      <c r="G38" s="3"/>
      <c r="P38" s="52">
        <v>190</v>
      </c>
      <c r="S38" s="52"/>
      <c r="T38" s="52"/>
    </row>
    <row r="39" spans="1:20" x14ac:dyDescent="0.25">
      <c r="A39">
        <v>38</v>
      </c>
      <c r="B39" t="s">
        <v>2089</v>
      </c>
      <c r="D39" s="44" t="s">
        <v>2090</v>
      </c>
      <c r="E39" s="3" t="s">
        <v>2091</v>
      </c>
      <c r="F39" s="3"/>
      <c r="G39" s="3"/>
      <c r="S39" s="52"/>
      <c r="T39" s="52"/>
    </row>
    <row r="40" spans="1:20" x14ac:dyDescent="0.25">
      <c r="A40">
        <v>39</v>
      </c>
      <c r="B40" t="s">
        <v>2092</v>
      </c>
      <c r="C40" t="s">
        <v>1995</v>
      </c>
      <c r="D40" s="44" t="s">
        <v>2093</v>
      </c>
      <c r="E40" s="3" t="s">
        <v>2094</v>
      </c>
      <c r="F40" s="3"/>
      <c r="G40" s="3"/>
      <c r="P40" s="52">
        <v>180</v>
      </c>
      <c r="S40" s="52"/>
      <c r="T40" s="52"/>
    </row>
    <row r="41" spans="1:20" x14ac:dyDescent="0.25">
      <c r="A41">
        <v>40</v>
      </c>
      <c r="B41" t="s">
        <v>2095</v>
      </c>
      <c r="C41" t="s">
        <v>1995</v>
      </c>
      <c r="D41" s="44" t="s">
        <v>2096</v>
      </c>
      <c r="E41" s="3" t="s">
        <v>2097</v>
      </c>
      <c r="F41" s="3"/>
      <c r="G41" s="3"/>
      <c r="P41" s="52">
        <v>180</v>
      </c>
      <c r="S41" s="52"/>
      <c r="T41" s="52"/>
    </row>
    <row r="42" spans="1:20" x14ac:dyDescent="0.25">
      <c r="A42">
        <v>41</v>
      </c>
      <c r="B42" t="s">
        <v>2098</v>
      </c>
      <c r="C42" t="s">
        <v>1995</v>
      </c>
      <c r="D42" s="44" t="s">
        <v>2099</v>
      </c>
      <c r="E42" s="3" t="s">
        <v>2100</v>
      </c>
      <c r="F42" s="3"/>
      <c r="G42" s="3"/>
      <c r="P42" s="52">
        <v>190</v>
      </c>
      <c r="S42" s="52"/>
      <c r="T42" s="52"/>
    </row>
    <row r="43" spans="1:20" x14ac:dyDescent="0.25">
      <c r="A43">
        <v>42</v>
      </c>
      <c r="B43" t="s">
        <v>332</v>
      </c>
      <c r="C43" t="s">
        <v>1995</v>
      </c>
      <c r="D43" s="44" t="s">
        <v>2101</v>
      </c>
      <c r="E43" s="3" t="s">
        <v>2102</v>
      </c>
      <c r="F43" s="3"/>
      <c r="G43" s="3"/>
      <c r="P43" s="52">
        <v>190</v>
      </c>
      <c r="S43" s="52"/>
      <c r="T43" s="52"/>
    </row>
    <row r="44" spans="1:20" x14ac:dyDescent="0.25">
      <c r="A44">
        <v>43</v>
      </c>
      <c r="B44" t="s">
        <v>2103</v>
      </c>
      <c r="C44" t="s">
        <v>1995</v>
      </c>
      <c r="D44" s="44" t="s">
        <v>2104</v>
      </c>
      <c r="E44" s="3" t="s">
        <v>2105</v>
      </c>
      <c r="F44" s="3"/>
      <c r="G44" s="3"/>
      <c r="P44" s="52">
        <v>180</v>
      </c>
      <c r="S44" s="52"/>
      <c r="T44" s="52"/>
    </row>
    <row r="45" spans="1:20" x14ac:dyDescent="0.25">
      <c r="A45">
        <v>44</v>
      </c>
      <c r="B45" t="s">
        <v>312</v>
      </c>
      <c r="C45" t="s">
        <v>1995</v>
      </c>
      <c r="D45" s="44" t="s">
        <v>2106</v>
      </c>
      <c r="E45" s="3" t="s">
        <v>2107</v>
      </c>
      <c r="F45" s="3"/>
      <c r="G45" s="3"/>
      <c r="P45" s="52">
        <v>190</v>
      </c>
      <c r="S45" s="52"/>
      <c r="T45" s="52"/>
    </row>
    <row r="46" spans="1:20" x14ac:dyDescent="0.25">
      <c r="A46">
        <v>45</v>
      </c>
      <c r="B46" t="s">
        <v>44</v>
      </c>
      <c r="C46" t="s">
        <v>1995</v>
      </c>
      <c r="D46" s="44" t="s">
        <v>2108</v>
      </c>
      <c r="E46" s="3" t="s">
        <v>2109</v>
      </c>
      <c r="F46" s="3"/>
      <c r="G46" s="3"/>
      <c r="P46" s="52">
        <v>190</v>
      </c>
      <c r="S46" s="52"/>
      <c r="T46" s="52"/>
    </row>
    <row r="47" spans="1:20" x14ac:dyDescent="0.25">
      <c r="A47">
        <v>46</v>
      </c>
      <c r="B47" t="s">
        <v>1237</v>
      </c>
      <c r="C47" t="s">
        <v>1995</v>
      </c>
      <c r="D47" s="44" t="s">
        <v>2110</v>
      </c>
      <c r="E47" s="3" t="s">
        <v>2111</v>
      </c>
      <c r="F47" s="3"/>
      <c r="G47" s="3"/>
      <c r="P47" s="52">
        <v>180</v>
      </c>
      <c r="S47" s="52"/>
      <c r="T47" s="52"/>
    </row>
    <row r="48" spans="1:20" x14ac:dyDescent="0.25">
      <c r="A48">
        <v>47</v>
      </c>
      <c r="B48" t="s">
        <v>44</v>
      </c>
      <c r="C48" t="s">
        <v>1995</v>
      </c>
      <c r="D48" s="44" t="s">
        <v>2112</v>
      </c>
      <c r="E48" s="3" t="s">
        <v>2113</v>
      </c>
      <c r="F48" s="3"/>
      <c r="G48" s="3"/>
      <c r="P48" s="52">
        <v>190</v>
      </c>
      <c r="S48" s="52"/>
      <c r="T48" s="52"/>
    </row>
    <row r="49" spans="1:20" x14ac:dyDescent="0.25">
      <c r="A49">
        <v>48</v>
      </c>
      <c r="B49" t="s">
        <v>2114</v>
      </c>
      <c r="D49" s="44"/>
      <c r="E49" s="3"/>
      <c r="F49" s="44" t="s">
        <v>2115</v>
      </c>
      <c r="G49" s="3"/>
      <c r="P49" s="52">
        <v>180</v>
      </c>
      <c r="S49" s="52"/>
      <c r="T49" s="52"/>
    </row>
    <row r="50" spans="1:20" x14ac:dyDescent="0.25">
      <c r="A50">
        <v>49</v>
      </c>
      <c r="B50" t="s">
        <v>1314</v>
      </c>
      <c r="C50" t="s">
        <v>1995</v>
      </c>
      <c r="D50" s="44" t="s">
        <v>2116</v>
      </c>
      <c r="E50" s="3" t="s">
        <v>2117</v>
      </c>
      <c r="F50" s="3"/>
      <c r="G50" s="3"/>
      <c r="P50" s="52">
        <v>190</v>
      </c>
      <c r="S50" s="52"/>
      <c r="T50" s="52"/>
    </row>
    <row r="51" spans="1:20" x14ac:dyDescent="0.25">
      <c r="A51">
        <v>50</v>
      </c>
      <c r="B51" t="s">
        <v>2118</v>
      </c>
      <c r="C51" t="s">
        <v>1995</v>
      </c>
      <c r="D51" s="44" t="s">
        <v>2119</v>
      </c>
      <c r="E51" s="3" t="s">
        <v>2120</v>
      </c>
      <c r="F51" s="3"/>
      <c r="G51" s="3"/>
      <c r="P51" s="52">
        <v>180</v>
      </c>
      <c r="S51" s="52"/>
      <c r="T51" s="52"/>
    </row>
    <row r="52" spans="1:20" x14ac:dyDescent="0.25">
      <c r="A52">
        <v>51</v>
      </c>
      <c r="B52" t="s">
        <v>2121</v>
      </c>
      <c r="C52" t="s">
        <v>1995</v>
      </c>
      <c r="D52" s="44" t="s">
        <v>2122</v>
      </c>
      <c r="E52" s="3" t="s">
        <v>2123</v>
      </c>
      <c r="F52" s="3"/>
      <c r="G52" s="3"/>
      <c r="P52" s="52">
        <v>190</v>
      </c>
      <c r="S52" s="52"/>
      <c r="T52" s="52"/>
    </row>
    <row r="53" spans="1:20" x14ac:dyDescent="0.25">
      <c r="A53">
        <v>52</v>
      </c>
      <c r="B53" t="s">
        <v>2124</v>
      </c>
      <c r="C53" t="s">
        <v>1995</v>
      </c>
      <c r="D53" s="44" t="s">
        <v>2125</v>
      </c>
      <c r="E53" s="3" t="s">
        <v>2126</v>
      </c>
      <c r="F53" s="3"/>
      <c r="G53" s="3"/>
      <c r="P53" s="52">
        <v>180</v>
      </c>
      <c r="S53" s="52"/>
      <c r="T53" s="52"/>
    </row>
    <row r="54" spans="1:20" x14ac:dyDescent="0.25">
      <c r="A54">
        <v>53</v>
      </c>
      <c r="B54" t="s">
        <v>494</v>
      </c>
      <c r="C54" t="s">
        <v>1995</v>
      </c>
      <c r="D54" s="44" t="s">
        <v>2127</v>
      </c>
      <c r="E54" s="3" t="s">
        <v>2128</v>
      </c>
      <c r="F54" s="3"/>
      <c r="G54" s="3"/>
      <c r="P54" s="52">
        <v>180</v>
      </c>
      <c r="S54" s="52"/>
      <c r="T54" s="52"/>
    </row>
    <row r="55" spans="1:20" x14ac:dyDescent="0.25">
      <c r="A55">
        <v>54</v>
      </c>
      <c r="B55" t="s">
        <v>1757</v>
      </c>
      <c r="C55" t="s">
        <v>1995</v>
      </c>
      <c r="D55" s="44" t="s">
        <v>2129</v>
      </c>
      <c r="E55" s="3" t="s">
        <v>2130</v>
      </c>
      <c r="F55" s="3"/>
      <c r="G55" s="3"/>
      <c r="S55" s="52"/>
      <c r="T55" s="52"/>
    </row>
    <row r="56" spans="1:20" x14ac:dyDescent="0.25">
      <c r="A56">
        <v>55</v>
      </c>
      <c r="B56" t="s">
        <v>2131</v>
      </c>
      <c r="C56" t="s">
        <v>1995</v>
      </c>
      <c r="D56" s="44" t="s">
        <v>2132</v>
      </c>
      <c r="E56" s="4" t="s">
        <v>2133</v>
      </c>
      <c r="F56" s="3"/>
      <c r="G56" s="3"/>
      <c r="P56" s="52">
        <v>190</v>
      </c>
      <c r="S56" s="52"/>
      <c r="T56" s="52"/>
    </row>
    <row r="57" spans="1:20" x14ac:dyDescent="0.25">
      <c r="A57">
        <v>56</v>
      </c>
      <c r="B57" t="s">
        <v>295</v>
      </c>
      <c r="C57" t="s">
        <v>1995</v>
      </c>
      <c r="D57" s="44" t="s">
        <v>2134</v>
      </c>
      <c r="E57" s="3" t="s">
        <v>2135</v>
      </c>
      <c r="F57" s="3"/>
      <c r="G57" s="3"/>
      <c r="P57" s="52">
        <v>170</v>
      </c>
      <c r="S57" s="52"/>
      <c r="T57" s="52"/>
    </row>
    <row r="58" spans="1:20" x14ac:dyDescent="0.25">
      <c r="A58">
        <v>57</v>
      </c>
      <c r="B58" t="s">
        <v>896</v>
      </c>
      <c r="C58" t="s">
        <v>1995</v>
      </c>
      <c r="D58" s="44" t="s">
        <v>2136</v>
      </c>
      <c r="E58" s="3" t="s">
        <v>2137</v>
      </c>
      <c r="F58" s="3"/>
      <c r="G58" s="3"/>
      <c r="P58" s="52">
        <v>180</v>
      </c>
      <c r="S58" s="52"/>
      <c r="T58" s="52"/>
    </row>
    <row r="59" spans="1:20" x14ac:dyDescent="0.25">
      <c r="A59">
        <v>58</v>
      </c>
      <c r="B59" t="s">
        <v>106</v>
      </c>
      <c r="C59" t="s">
        <v>1995</v>
      </c>
      <c r="D59" s="44" t="s">
        <v>2138</v>
      </c>
      <c r="E59" s="3" t="s">
        <v>2139</v>
      </c>
      <c r="F59" s="3"/>
      <c r="G59" s="3"/>
      <c r="P59" s="52">
        <v>180</v>
      </c>
      <c r="S59" s="52"/>
      <c r="T59" s="52"/>
    </row>
    <row r="60" spans="1:20" x14ac:dyDescent="0.25">
      <c r="A60">
        <v>59</v>
      </c>
      <c r="B60" t="s">
        <v>2140</v>
      </c>
      <c r="C60" t="s">
        <v>1995</v>
      </c>
      <c r="D60" s="44" t="s">
        <v>2141</v>
      </c>
      <c r="E60" s="3" t="s">
        <v>2142</v>
      </c>
      <c r="F60" s="3"/>
      <c r="G60" s="3"/>
      <c r="P60" s="52">
        <v>180</v>
      </c>
      <c r="S60" s="52"/>
      <c r="T60" s="52"/>
    </row>
    <row r="61" spans="1:20" x14ac:dyDescent="0.25">
      <c r="A61">
        <v>60</v>
      </c>
      <c r="B61" t="s">
        <v>2143</v>
      </c>
      <c r="C61" t="s">
        <v>1995</v>
      </c>
      <c r="D61" s="44" t="s">
        <v>2144</v>
      </c>
      <c r="E61" s="3" t="s">
        <v>2145</v>
      </c>
      <c r="F61" s="3"/>
      <c r="G61" s="3"/>
      <c r="P61" s="52">
        <v>180</v>
      </c>
      <c r="S61" s="52"/>
      <c r="T61" s="52"/>
    </row>
    <row r="62" spans="1:20" x14ac:dyDescent="0.25">
      <c r="A62">
        <v>61</v>
      </c>
      <c r="B62" t="s">
        <v>2146</v>
      </c>
      <c r="C62" t="s">
        <v>1995</v>
      </c>
      <c r="D62" s="44" t="s">
        <v>2147</v>
      </c>
      <c r="E62" s="3" t="s">
        <v>2148</v>
      </c>
      <c r="F62" s="3"/>
      <c r="G62" s="3"/>
      <c r="S62" s="52"/>
      <c r="T62" s="52"/>
    </row>
    <row r="63" spans="1:20" x14ac:dyDescent="0.25">
      <c r="A63">
        <v>62</v>
      </c>
      <c r="B63" t="s">
        <v>2149</v>
      </c>
      <c r="D63" s="44" t="s">
        <v>2150</v>
      </c>
      <c r="E63" s="44" t="s">
        <v>2151</v>
      </c>
      <c r="F63" s="44"/>
      <c r="G63" s="44"/>
      <c r="S63" s="52"/>
      <c r="T63" s="52"/>
    </row>
    <row r="64" spans="1:20" x14ac:dyDescent="0.25">
      <c r="A64">
        <v>63</v>
      </c>
      <c r="B64" t="s">
        <v>2152</v>
      </c>
      <c r="C64" t="s">
        <v>1995</v>
      </c>
      <c r="D64" s="44" t="s">
        <v>2153</v>
      </c>
      <c r="E64" s="3" t="s">
        <v>2154</v>
      </c>
      <c r="F64" s="3"/>
      <c r="G64" s="3"/>
      <c r="P64" s="52">
        <v>180</v>
      </c>
      <c r="S64" s="52"/>
      <c r="T64" s="52"/>
    </row>
    <row r="65" spans="1:20" x14ac:dyDescent="0.25">
      <c r="A65">
        <v>64</v>
      </c>
      <c r="B65" t="s">
        <v>691</v>
      </c>
      <c r="D65" s="44" t="s">
        <v>2155</v>
      </c>
      <c r="E65" s="3" t="s">
        <v>2156</v>
      </c>
      <c r="F65" s="3"/>
      <c r="G65" s="3"/>
      <c r="S65" s="52"/>
      <c r="T65" s="52"/>
    </row>
    <row r="66" spans="1:20" x14ac:dyDescent="0.25">
      <c r="A66">
        <v>65</v>
      </c>
      <c r="B66" t="s">
        <v>821</v>
      </c>
      <c r="C66" t="s">
        <v>1995</v>
      </c>
      <c r="D66" s="44" t="s">
        <v>2157</v>
      </c>
      <c r="E66" s="4" t="s">
        <v>2158</v>
      </c>
      <c r="F66" s="4"/>
      <c r="G66" s="4"/>
      <c r="P66" s="52">
        <v>180</v>
      </c>
      <c r="S66" s="52"/>
      <c r="T66" s="52"/>
    </row>
    <row r="67" spans="1:20" x14ac:dyDescent="0.25">
      <c r="A67">
        <v>66</v>
      </c>
      <c r="B67" t="s">
        <v>488</v>
      </c>
      <c r="C67" t="s">
        <v>1995</v>
      </c>
      <c r="D67" s="44" t="s">
        <v>2159</v>
      </c>
      <c r="E67" s="3" t="s">
        <v>2160</v>
      </c>
      <c r="F67" s="3"/>
      <c r="G67" s="3"/>
      <c r="P67" s="52">
        <v>180</v>
      </c>
      <c r="S67" s="52"/>
      <c r="T67" s="52"/>
    </row>
    <row r="68" spans="1:20" x14ac:dyDescent="0.25">
      <c r="A68">
        <v>67</v>
      </c>
      <c r="B68" t="s">
        <v>478</v>
      </c>
      <c r="C68" t="s">
        <v>1995</v>
      </c>
      <c r="D68" s="44" t="s">
        <v>2161</v>
      </c>
      <c r="E68" s="3" t="s">
        <v>2162</v>
      </c>
      <c r="F68" s="3"/>
      <c r="G68" s="3"/>
      <c r="P68" s="52">
        <v>190</v>
      </c>
      <c r="S68" s="52"/>
      <c r="T68" s="52"/>
    </row>
    <row r="69" spans="1:20" x14ac:dyDescent="0.25">
      <c r="A69">
        <v>68</v>
      </c>
      <c r="B69" t="s">
        <v>2086</v>
      </c>
      <c r="D69" s="44" t="s">
        <v>2163</v>
      </c>
      <c r="E69" s="3" t="s">
        <v>2164</v>
      </c>
      <c r="F69" s="3"/>
      <c r="G69" s="3"/>
      <c r="P69" s="52">
        <v>190</v>
      </c>
      <c r="S69" s="52"/>
      <c r="T69" s="52"/>
    </row>
    <row r="70" spans="1:20" x14ac:dyDescent="0.25">
      <c r="A70">
        <v>69</v>
      </c>
      <c r="B70" t="s">
        <v>2165</v>
      </c>
      <c r="D70" s="44" t="s">
        <v>2166</v>
      </c>
      <c r="E70" s="3" t="s">
        <v>2167</v>
      </c>
      <c r="F70" s="3"/>
      <c r="G70" s="3"/>
      <c r="S70" s="52"/>
      <c r="T70" s="52"/>
    </row>
    <row r="71" spans="1:20" x14ac:dyDescent="0.25">
      <c r="A71">
        <v>70</v>
      </c>
      <c r="B71" t="s">
        <v>2168</v>
      </c>
      <c r="D71" s="44" t="s">
        <v>2169</v>
      </c>
      <c r="E71" s="3" t="s">
        <v>2170</v>
      </c>
      <c r="F71" s="3"/>
      <c r="G71" s="3" t="s">
        <v>2171</v>
      </c>
      <c r="S71" s="52"/>
      <c r="T71" s="52"/>
    </row>
    <row r="72" spans="1:20" x14ac:dyDescent="0.25">
      <c r="A72">
        <v>71</v>
      </c>
      <c r="B72" t="s">
        <v>233</v>
      </c>
      <c r="C72" t="s">
        <v>1995</v>
      </c>
      <c r="D72" s="44" t="s">
        <v>2172</v>
      </c>
      <c r="E72" s="3" t="s">
        <v>2173</v>
      </c>
      <c r="F72" s="3"/>
      <c r="G72" s="3"/>
      <c r="P72" s="52">
        <v>190</v>
      </c>
      <c r="S72" s="52"/>
      <c r="T72" s="52"/>
    </row>
    <row r="73" spans="1:20" x14ac:dyDescent="0.25">
      <c r="A73">
        <v>72</v>
      </c>
      <c r="B73" t="s">
        <v>2174</v>
      </c>
      <c r="C73" t="s">
        <v>1995</v>
      </c>
      <c r="D73" s="44" t="s">
        <v>2175</v>
      </c>
      <c r="E73" s="3" t="s">
        <v>2176</v>
      </c>
      <c r="F73" s="3"/>
      <c r="G73" s="3"/>
      <c r="P73" s="52">
        <v>190</v>
      </c>
      <c r="S73" s="52"/>
      <c r="T73" s="52"/>
    </row>
    <row r="74" spans="1:20" x14ac:dyDescent="0.25">
      <c r="A74">
        <v>73</v>
      </c>
      <c r="B74" t="s">
        <v>2177</v>
      </c>
      <c r="C74" t="s">
        <v>1995</v>
      </c>
      <c r="D74" s="44" t="s">
        <v>2178</v>
      </c>
      <c r="E74" s="3" t="s">
        <v>2179</v>
      </c>
      <c r="F74" s="3"/>
      <c r="G74" s="3"/>
      <c r="P74" s="52">
        <v>180</v>
      </c>
      <c r="S74" s="52"/>
      <c r="T74" s="52"/>
    </row>
    <row r="75" spans="1:20" x14ac:dyDescent="0.25">
      <c r="A75">
        <v>74</v>
      </c>
      <c r="B75" t="s">
        <v>2180</v>
      </c>
      <c r="C75" t="s">
        <v>1995</v>
      </c>
      <c r="D75" s="44" t="s">
        <v>2181</v>
      </c>
      <c r="E75" s="3" t="s">
        <v>2182</v>
      </c>
      <c r="F75" s="3"/>
      <c r="G75" s="3"/>
      <c r="P75" s="52">
        <v>150</v>
      </c>
      <c r="S75" s="52"/>
      <c r="T75" s="52"/>
    </row>
    <row r="76" spans="1:20" x14ac:dyDescent="0.25">
      <c r="A76">
        <v>75</v>
      </c>
      <c r="B76" t="s">
        <v>255</v>
      </c>
      <c r="D76" s="44" t="s">
        <v>2183</v>
      </c>
      <c r="E76" s="3" t="s">
        <v>2184</v>
      </c>
      <c r="F76" s="3"/>
      <c r="G76" s="3"/>
      <c r="S76" s="52"/>
      <c r="T76" s="52"/>
    </row>
    <row r="77" spans="1:20" x14ac:dyDescent="0.25">
      <c r="A77">
        <v>76</v>
      </c>
      <c r="B77" t="s">
        <v>2185</v>
      </c>
      <c r="C77" t="s">
        <v>1995</v>
      </c>
      <c r="D77" s="44" t="s">
        <v>2186</v>
      </c>
      <c r="E77" s="3" t="s">
        <v>2187</v>
      </c>
      <c r="F77" s="3"/>
      <c r="G77" s="3"/>
      <c r="P77" s="52">
        <v>190</v>
      </c>
      <c r="S77" s="52"/>
      <c r="T77" s="52"/>
    </row>
    <row r="78" spans="1:20" x14ac:dyDescent="0.25">
      <c r="A78">
        <v>77</v>
      </c>
      <c r="B78" t="s">
        <v>63</v>
      </c>
      <c r="C78" t="s">
        <v>1995</v>
      </c>
      <c r="D78" s="44" t="s">
        <v>2188</v>
      </c>
      <c r="E78" s="4" t="s">
        <v>2189</v>
      </c>
      <c r="F78" s="3"/>
      <c r="G78" s="3"/>
      <c r="P78" s="52">
        <v>190</v>
      </c>
      <c r="S78" s="52"/>
      <c r="T78" s="52"/>
    </row>
    <row r="79" spans="1:20" x14ac:dyDescent="0.25">
      <c r="A79">
        <v>78</v>
      </c>
      <c r="B79" t="s">
        <v>156</v>
      </c>
      <c r="D79" s="44" t="s">
        <v>2190</v>
      </c>
      <c r="E79" s="3" t="s">
        <v>2191</v>
      </c>
      <c r="F79" s="3"/>
      <c r="G79" s="3"/>
      <c r="S79" s="52"/>
      <c r="T79" s="52"/>
    </row>
    <row r="80" spans="1:20" x14ac:dyDescent="0.25">
      <c r="A80">
        <v>79</v>
      </c>
      <c r="B80" t="s">
        <v>1104</v>
      </c>
      <c r="C80" t="s">
        <v>1995</v>
      </c>
      <c r="D80" s="44" t="s">
        <v>2192</v>
      </c>
      <c r="E80" s="4" t="s">
        <v>2193</v>
      </c>
      <c r="F80" s="4"/>
      <c r="G80" s="4"/>
      <c r="P80" s="52">
        <v>190</v>
      </c>
      <c r="S80" s="52"/>
      <c r="T80" s="52"/>
    </row>
    <row r="81" spans="1:20" x14ac:dyDescent="0.25">
      <c r="A81">
        <v>80</v>
      </c>
      <c r="B81" t="s">
        <v>2194</v>
      </c>
      <c r="C81" t="s">
        <v>1995</v>
      </c>
      <c r="D81" s="44" t="s">
        <v>2195</v>
      </c>
      <c r="E81" s="3" t="s">
        <v>2196</v>
      </c>
      <c r="F81" s="3"/>
      <c r="G81" s="3"/>
      <c r="P81" s="52">
        <v>190</v>
      </c>
      <c r="S81" s="52"/>
      <c r="T81" s="52"/>
    </row>
    <row r="82" spans="1:20" x14ac:dyDescent="0.25">
      <c r="A82">
        <v>81</v>
      </c>
      <c r="B82" t="s">
        <v>1287</v>
      </c>
      <c r="C82" t="s">
        <v>1995</v>
      </c>
      <c r="D82" s="44" t="s">
        <v>2197</v>
      </c>
      <c r="E82" s="3" t="s">
        <v>2198</v>
      </c>
      <c r="F82" s="3"/>
      <c r="G82" s="3"/>
      <c r="P82" s="52">
        <v>190</v>
      </c>
      <c r="S82" s="52"/>
      <c r="T82" s="52"/>
    </row>
    <row r="83" spans="1:20" x14ac:dyDescent="0.25">
      <c r="A83">
        <v>82</v>
      </c>
      <c r="B83" t="s">
        <v>347</v>
      </c>
      <c r="C83" t="s">
        <v>1995</v>
      </c>
      <c r="D83" s="44" t="s">
        <v>2199</v>
      </c>
      <c r="E83" s="3" t="s">
        <v>2200</v>
      </c>
      <c r="F83" s="3"/>
      <c r="G83" s="3"/>
      <c r="P83" s="52">
        <v>190</v>
      </c>
      <c r="S83" s="52"/>
      <c r="T83" s="52"/>
    </row>
    <row r="84" spans="1:20" x14ac:dyDescent="0.25">
      <c r="A84">
        <v>83</v>
      </c>
      <c r="B84" t="s">
        <v>469</v>
      </c>
      <c r="C84" t="s">
        <v>1995</v>
      </c>
      <c r="D84" s="44" t="s">
        <v>2201</v>
      </c>
      <c r="E84" s="3" t="s">
        <v>2202</v>
      </c>
      <c r="F84" s="3"/>
      <c r="G84" s="3"/>
      <c r="P84" s="52">
        <v>180</v>
      </c>
      <c r="S84" s="52"/>
      <c r="T84" s="52"/>
    </row>
    <row r="85" spans="1:20" x14ac:dyDescent="0.25">
      <c r="A85">
        <v>84</v>
      </c>
      <c r="B85" t="s">
        <v>2203</v>
      </c>
      <c r="C85" t="s">
        <v>1995</v>
      </c>
      <c r="D85" s="44" t="s">
        <v>2204</v>
      </c>
      <c r="E85" s="3" t="s">
        <v>2205</v>
      </c>
      <c r="F85" s="3"/>
      <c r="G85" s="3"/>
      <c r="P85" s="52">
        <v>190</v>
      </c>
      <c r="S85" s="52"/>
      <c r="T85" s="52"/>
    </row>
    <row r="86" spans="1:20" x14ac:dyDescent="0.25">
      <c r="A86">
        <v>85</v>
      </c>
      <c r="B86" t="s">
        <v>2206</v>
      </c>
      <c r="C86" t="s">
        <v>1995</v>
      </c>
      <c r="D86" s="44" t="s">
        <v>2207</v>
      </c>
      <c r="E86" s="3" t="s">
        <v>2208</v>
      </c>
      <c r="F86" s="3"/>
      <c r="G86" s="3"/>
      <c r="P86" s="52">
        <v>190</v>
      </c>
      <c r="S86" s="52"/>
      <c r="T86" s="52"/>
    </row>
    <row r="87" spans="1:20" x14ac:dyDescent="0.25">
      <c r="A87">
        <v>86</v>
      </c>
      <c r="B87" t="s">
        <v>2209</v>
      </c>
      <c r="C87" t="s">
        <v>1995</v>
      </c>
      <c r="D87" s="44" t="s">
        <v>2210</v>
      </c>
      <c r="E87" s="4" t="s">
        <v>2211</v>
      </c>
      <c r="F87" s="3"/>
      <c r="G87" s="3"/>
      <c r="S87" s="52"/>
      <c r="T87" s="52"/>
    </row>
    <row r="88" spans="1:20" x14ac:dyDescent="0.25">
      <c r="A88">
        <v>87</v>
      </c>
      <c r="B88" t="s">
        <v>2049</v>
      </c>
      <c r="C88" t="s">
        <v>1995</v>
      </c>
      <c r="D88" s="44" t="s">
        <v>2212</v>
      </c>
      <c r="E88" s="3" t="s">
        <v>2213</v>
      </c>
      <c r="F88" s="3"/>
      <c r="G88" s="3"/>
      <c r="P88" s="52">
        <v>190</v>
      </c>
      <c r="S88" s="52"/>
      <c r="T88" s="52"/>
    </row>
    <row r="89" spans="1:20" x14ac:dyDescent="0.25">
      <c r="A89">
        <v>88</v>
      </c>
      <c r="B89" t="s">
        <v>2214</v>
      </c>
      <c r="C89" t="s">
        <v>1995</v>
      </c>
      <c r="D89" s="44" t="s">
        <v>2215</v>
      </c>
      <c r="E89" s="3" t="s">
        <v>2216</v>
      </c>
      <c r="F89" s="3"/>
      <c r="G89" s="3"/>
      <c r="P89" s="52">
        <v>190</v>
      </c>
      <c r="S89" s="52"/>
      <c r="T89" s="52"/>
    </row>
    <row r="90" spans="1:20" x14ac:dyDescent="0.25">
      <c r="A90">
        <v>89</v>
      </c>
      <c r="B90" t="s">
        <v>156</v>
      </c>
      <c r="C90" t="s">
        <v>1995</v>
      </c>
      <c r="D90" s="44" t="s">
        <v>2217</v>
      </c>
      <c r="E90" s="3" t="s">
        <v>2218</v>
      </c>
      <c r="F90" s="3"/>
      <c r="G90" s="3"/>
      <c r="P90" s="52" t="s">
        <v>2219</v>
      </c>
      <c r="S90" s="52"/>
      <c r="T90" s="52"/>
    </row>
    <row r="91" spans="1:20" x14ac:dyDescent="0.25">
      <c r="A91">
        <v>90</v>
      </c>
      <c r="B91" t="s">
        <v>676</v>
      </c>
      <c r="C91" t="s">
        <v>1995</v>
      </c>
      <c r="D91" s="44" t="s">
        <v>2220</v>
      </c>
      <c r="E91" s="3" t="s">
        <v>2221</v>
      </c>
      <c r="F91" s="3"/>
      <c r="G91" s="3"/>
      <c r="P91" s="52">
        <v>180</v>
      </c>
      <c r="S91" s="52"/>
      <c r="T91" s="52"/>
    </row>
    <row r="92" spans="1:20" x14ac:dyDescent="0.25">
      <c r="A92">
        <v>91</v>
      </c>
      <c r="B92" t="s">
        <v>2222</v>
      </c>
      <c r="C92" t="s">
        <v>1995</v>
      </c>
      <c r="D92" s="44" t="s">
        <v>2223</v>
      </c>
      <c r="E92" s="3" t="s">
        <v>2224</v>
      </c>
      <c r="F92" s="3"/>
      <c r="G92" s="3"/>
      <c r="P92" s="52">
        <v>190</v>
      </c>
      <c r="S92" s="52"/>
      <c r="T92" s="52"/>
    </row>
    <row r="93" spans="1:20" x14ac:dyDescent="0.25">
      <c r="A93">
        <v>92</v>
      </c>
      <c r="B93" t="s">
        <v>2225</v>
      </c>
      <c r="C93" t="s">
        <v>1995</v>
      </c>
      <c r="D93" s="44" t="s">
        <v>2226</v>
      </c>
      <c r="E93" s="3" t="s">
        <v>2227</v>
      </c>
      <c r="F93" s="3"/>
      <c r="G93" s="3"/>
      <c r="P93" s="52">
        <v>190</v>
      </c>
      <c r="S93" s="52"/>
      <c r="T93" s="52"/>
    </row>
    <row r="94" spans="1:20" x14ac:dyDescent="0.25">
      <c r="A94">
        <v>93</v>
      </c>
      <c r="B94" t="s">
        <v>209</v>
      </c>
      <c r="C94" t="s">
        <v>1995</v>
      </c>
      <c r="D94" s="44" t="s">
        <v>2228</v>
      </c>
      <c r="E94" s="3" t="s">
        <v>2229</v>
      </c>
      <c r="F94" s="3"/>
      <c r="G94" s="3"/>
      <c r="P94" s="52">
        <v>190</v>
      </c>
      <c r="S94" s="52"/>
      <c r="T94" s="52"/>
    </row>
    <row r="95" spans="1:20" x14ac:dyDescent="0.25">
      <c r="A95">
        <v>94</v>
      </c>
      <c r="B95" t="s">
        <v>2230</v>
      </c>
      <c r="C95" t="s">
        <v>1995</v>
      </c>
      <c r="D95" s="44" t="s">
        <v>2231</v>
      </c>
      <c r="E95" s="3" t="s">
        <v>2232</v>
      </c>
      <c r="F95" s="3"/>
      <c r="G95" s="3"/>
      <c r="P95" s="52">
        <v>150</v>
      </c>
      <c r="S95" s="52"/>
      <c r="T95" s="52"/>
    </row>
    <row r="96" spans="1:20" x14ac:dyDescent="0.25">
      <c r="A96">
        <v>95</v>
      </c>
      <c r="B96" t="s">
        <v>1864</v>
      </c>
      <c r="C96" t="s">
        <v>1995</v>
      </c>
      <c r="D96" s="44" t="s">
        <v>2233</v>
      </c>
      <c r="E96" s="3" t="s">
        <v>2234</v>
      </c>
      <c r="F96" s="3"/>
      <c r="G96" s="3"/>
      <c r="P96" s="52">
        <v>180</v>
      </c>
      <c r="S96" s="52"/>
      <c r="T96" s="52"/>
    </row>
    <row r="97" spans="1:20" x14ac:dyDescent="0.25">
      <c r="A97">
        <v>96</v>
      </c>
      <c r="B97" t="s">
        <v>2235</v>
      </c>
      <c r="C97" t="s">
        <v>1995</v>
      </c>
      <c r="D97" s="44" t="s">
        <v>2236</v>
      </c>
      <c r="E97" s="3" t="s">
        <v>2237</v>
      </c>
      <c r="F97" s="3"/>
      <c r="G97" s="3"/>
      <c r="P97" s="52">
        <v>190</v>
      </c>
      <c r="S97" s="52"/>
      <c r="T97" s="52"/>
    </row>
    <row r="98" spans="1:20" x14ac:dyDescent="0.25">
      <c r="A98">
        <v>97</v>
      </c>
      <c r="B98" t="s">
        <v>44</v>
      </c>
      <c r="C98" t="s">
        <v>1995</v>
      </c>
      <c r="D98" s="44" t="s">
        <v>2238</v>
      </c>
      <c r="E98" s="3" t="s">
        <v>2239</v>
      </c>
      <c r="F98" s="3"/>
      <c r="G98" s="3"/>
      <c r="P98" s="52" t="s">
        <v>2240</v>
      </c>
      <c r="S98" s="52"/>
      <c r="T98" s="52"/>
    </row>
    <row r="99" spans="1:20" x14ac:dyDescent="0.25">
      <c r="A99">
        <v>98</v>
      </c>
      <c r="B99" t="s">
        <v>2241</v>
      </c>
      <c r="C99" t="s">
        <v>1995</v>
      </c>
      <c r="D99" s="44" t="s">
        <v>2242</v>
      </c>
      <c r="E99" s="3" t="s">
        <v>2243</v>
      </c>
      <c r="F99" s="3"/>
      <c r="G99" s="3"/>
      <c r="P99" s="52">
        <v>190</v>
      </c>
      <c r="S99" s="52"/>
      <c r="T99" s="52"/>
    </row>
    <row r="100" spans="1:20" x14ac:dyDescent="0.25">
      <c r="A100">
        <v>99</v>
      </c>
      <c r="B100" t="s">
        <v>821</v>
      </c>
      <c r="C100" t="s">
        <v>1995</v>
      </c>
      <c r="D100" s="44" t="s">
        <v>2244</v>
      </c>
      <c r="E100" s="3" t="s">
        <v>2245</v>
      </c>
      <c r="F100" s="3"/>
      <c r="G100" s="3"/>
      <c r="P100" s="52">
        <v>190</v>
      </c>
      <c r="S100" s="52"/>
      <c r="T100" s="52"/>
    </row>
    <row r="101" spans="1:20" x14ac:dyDescent="0.25">
      <c r="A101">
        <v>100</v>
      </c>
      <c r="B101" t="s">
        <v>2246</v>
      </c>
      <c r="C101" t="s">
        <v>1995</v>
      </c>
      <c r="D101" s="44" t="s">
        <v>2247</v>
      </c>
      <c r="E101" s="3" t="s">
        <v>2248</v>
      </c>
      <c r="F101" s="3"/>
      <c r="G101" s="3"/>
      <c r="P101" s="52">
        <v>190</v>
      </c>
      <c r="S101" s="52"/>
      <c r="T101" s="52"/>
    </row>
    <row r="102" spans="1:20" x14ac:dyDescent="0.25">
      <c r="A102">
        <v>101</v>
      </c>
      <c r="B102" t="s">
        <v>956</v>
      </c>
      <c r="C102" t="s">
        <v>1995</v>
      </c>
      <c r="D102" s="44" t="s">
        <v>2249</v>
      </c>
      <c r="E102" s="3" t="s">
        <v>2250</v>
      </c>
      <c r="F102" s="3"/>
      <c r="G102" s="3"/>
      <c r="P102" s="52">
        <v>190</v>
      </c>
      <c r="S102" s="52"/>
      <c r="T102" s="52"/>
    </row>
    <row r="103" spans="1:20" x14ac:dyDescent="0.25">
      <c r="A103">
        <v>102</v>
      </c>
      <c r="B103" t="s">
        <v>2251</v>
      </c>
      <c r="C103" t="s">
        <v>1995</v>
      </c>
      <c r="D103" s="44" t="s">
        <v>2252</v>
      </c>
      <c r="E103" s="3" t="s">
        <v>2253</v>
      </c>
      <c r="F103" s="3"/>
      <c r="G103" s="3"/>
      <c r="P103" s="52">
        <v>180</v>
      </c>
      <c r="S103" s="52"/>
      <c r="T103" s="52"/>
    </row>
    <row r="104" spans="1:20" x14ac:dyDescent="0.25">
      <c r="A104">
        <v>103</v>
      </c>
      <c r="B104" t="s">
        <v>2254</v>
      </c>
      <c r="C104" t="s">
        <v>1995</v>
      </c>
      <c r="D104" s="44" t="s">
        <v>2255</v>
      </c>
      <c r="E104" s="3" t="s">
        <v>2256</v>
      </c>
      <c r="F104" s="3"/>
      <c r="G104" s="3"/>
      <c r="P104" s="52">
        <v>190</v>
      </c>
      <c r="S104" s="52"/>
      <c r="T104" s="52"/>
    </row>
    <row r="105" spans="1:20" x14ac:dyDescent="0.25">
      <c r="A105">
        <v>104</v>
      </c>
      <c r="B105" t="s">
        <v>2257</v>
      </c>
      <c r="C105" t="s">
        <v>1995</v>
      </c>
      <c r="D105" s="44" t="s">
        <v>2258</v>
      </c>
      <c r="E105" s="3" t="s">
        <v>2259</v>
      </c>
      <c r="F105" s="3"/>
      <c r="G105" s="3"/>
      <c r="P105" s="52">
        <v>150</v>
      </c>
      <c r="S105" s="52"/>
      <c r="T105" s="52"/>
    </row>
    <row r="106" spans="1:20" x14ac:dyDescent="0.25">
      <c r="A106">
        <v>105</v>
      </c>
      <c r="B106" t="s">
        <v>1303</v>
      </c>
      <c r="C106" t="s">
        <v>1995</v>
      </c>
      <c r="D106" s="44" t="s">
        <v>2260</v>
      </c>
      <c r="E106" s="3" t="s">
        <v>2261</v>
      </c>
      <c r="F106" s="3"/>
      <c r="G106" s="3"/>
      <c r="P106" s="52">
        <v>190</v>
      </c>
      <c r="S106" s="52"/>
      <c r="T106" s="52"/>
    </row>
    <row r="107" spans="1:20" x14ac:dyDescent="0.25">
      <c r="A107">
        <v>106</v>
      </c>
      <c r="B107" t="s">
        <v>494</v>
      </c>
      <c r="C107" t="s">
        <v>1995</v>
      </c>
      <c r="D107" s="44" t="s">
        <v>2262</v>
      </c>
      <c r="E107" s="3" t="s">
        <v>2263</v>
      </c>
      <c r="F107" s="3"/>
      <c r="G107" s="3"/>
      <c r="P107" s="52">
        <v>180</v>
      </c>
      <c r="S107" s="52"/>
      <c r="T107" s="52"/>
    </row>
    <row r="108" spans="1:20" x14ac:dyDescent="0.25">
      <c r="A108">
        <v>107</v>
      </c>
      <c r="B108" t="s">
        <v>2264</v>
      </c>
      <c r="D108" s="44" t="s">
        <v>2265</v>
      </c>
      <c r="E108" s="3" t="s">
        <v>2266</v>
      </c>
      <c r="F108" s="3"/>
      <c r="G108" s="3"/>
      <c r="P108" s="52">
        <v>180</v>
      </c>
      <c r="S108" s="52"/>
      <c r="T108" s="52"/>
    </row>
    <row r="109" spans="1:20" x14ac:dyDescent="0.25">
      <c r="A109">
        <v>108</v>
      </c>
      <c r="B109" t="s">
        <v>1287</v>
      </c>
      <c r="C109" t="s">
        <v>1995</v>
      </c>
      <c r="D109" s="44" t="s">
        <v>2267</v>
      </c>
      <c r="E109" s="44" t="s">
        <v>2268</v>
      </c>
      <c r="F109" s="44"/>
      <c r="G109" s="44"/>
      <c r="P109" s="52">
        <v>190</v>
      </c>
      <c r="S109" s="52"/>
      <c r="T109" s="52"/>
    </row>
    <row r="110" spans="1:20" x14ac:dyDescent="0.25">
      <c r="A110">
        <v>109</v>
      </c>
      <c r="B110" t="s">
        <v>646</v>
      </c>
      <c r="C110" t="s">
        <v>1995</v>
      </c>
      <c r="D110" s="44" t="s">
        <v>2269</v>
      </c>
      <c r="E110" s="3" t="s">
        <v>2270</v>
      </c>
      <c r="F110" s="3"/>
      <c r="G110" s="3"/>
      <c r="P110" s="52">
        <v>180</v>
      </c>
      <c r="S110" s="52"/>
      <c r="T110" s="52"/>
    </row>
    <row r="111" spans="1:20" x14ac:dyDescent="0.25">
      <c r="A111">
        <v>110</v>
      </c>
      <c r="B111" t="s">
        <v>2271</v>
      </c>
      <c r="C111" t="s">
        <v>1995</v>
      </c>
      <c r="D111" s="44" t="s">
        <v>2272</v>
      </c>
      <c r="E111" s="3" t="s">
        <v>2273</v>
      </c>
      <c r="F111" s="3"/>
      <c r="G111" s="3"/>
      <c r="P111" s="52">
        <v>100</v>
      </c>
      <c r="S111" s="52"/>
      <c r="T111" s="52"/>
    </row>
    <row r="112" spans="1:20" x14ac:dyDescent="0.25">
      <c r="A112">
        <v>111</v>
      </c>
      <c r="B112" t="s">
        <v>1672</v>
      </c>
      <c r="C112" t="s">
        <v>1995</v>
      </c>
      <c r="D112" s="44" t="s">
        <v>2011</v>
      </c>
      <c r="E112" s="4" t="s">
        <v>2012</v>
      </c>
      <c r="F112" s="44" t="s">
        <v>2274</v>
      </c>
      <c r="G112" s="44"/>
      <c r="P112" s="52">
        <v>180</v>
      </c>
      <c r="S112" s="52"/>
      <c r="T112" s="52"/>
    </row>
    <row r="113" spans="1:20" x14ac:dyDescent="0.25">
      <c r="A113">
        <v>112</v>
      </c>
      <c r="B113" t="s">
        <v>77</v>
      </c>
      <c r="C113" t="s">
        <v>1995</v>
      </c>
      <c r="D113" s="44" t="s">
        <v>2275</v>
      </c>
      <c r="E113" s="4" t="s">
        <v>2276</v>
      </c>
      <c r="F113" s="3"/>
      <c r="G113" s="3"/>
      <c r="P113" s="52">
        <v>190</v>
      </c>
      <c r="S113" s="52"/>
      <c r="T113" s="52"/>
    </row>
    <row r="114" spans="1:20" x14ac:dyDescent="0.25">
      <c r="A114">
        <v>113</v>
      </c>
      <c r="B114" t="s">
        <v>2277</v>
      </c>
      <c r="C114" t="s">
        <v>1995</v>
      </c>
      <c r="D114" s="44" t="s">
        <v>2081</v>
      </c>
      <c r="E114" s="4" t="s">
        <v>2082</v>
      </c>
      <c r="F114" s="3"/>
      <c r="G114" s="3"/>
      <c r="P114" s="52">
        <v>180</v>
      </c>
      <c r="S114" s="52"/>
      <c r="T114" s="52"/>
    </row>
    <row r="115" spans="1:20" x14ac:dyDescent="0.25">
      <c r="A115">
        <v>114</v>
      </c>
      <c r="B115" t="s">
        <v>2278</v>
      </c>
      <c r="C115" t="s">
        <v>1995</v>
      </c>
      <c r="D115" s="44" t="s">
        <v>2279</v>
      </c>
      <c r="E115" s="4" t="s">
        <v>2280</v>
      </c>
      <c r="F115" s="4"/>
      <c r="G115" s="4"/>
      <c r="P115" s="52">
        <v>190</v>
      </c>
      <c r="S115" s="52"/>
      <c r="T115" s="52"/>
    </row>
    <row r="116" spans="1:20" x14ac:dyDescent="0.25">
      <c r="A116">
        <v>115</v>
      </c>
      <c r="B116" t="s">
        <v>2281</v>
      </c>
      <c r="C116" t="s">
        <v>1995</v>
      </c>
      <c r="D116" s="44" t="s">
        <v>2282</v>
      </c>
      <c r="E116" s="4" t="s">
        <v>2283</v>
      </c>
      <c r="F116" s="4"/>
      <c r="G116" s="4"/>
      <c r="P116" s="52">
        <v>180</v>
      </c>
      <c r="S116" s="52"/>
      <c r="T116" s="52"/>
    </row>
    <row r="117" spans="1:20" x14ac:dyDescent="0.25">
      <c r="A117">
        <v>116</v>
      </c>
      <c r="B117" t="s">
        <v>2284</v>
      </c>
      <c r="C117" t="s">
        <v>1995</v>
      </c>
      <c r="D117" s="44"/>
      <c r="E117" s="4"/>
      <c r="F117" s="44" t="s">
        <v>2285</v>
      </c>
      <c r="G117" s="4" t="s">
        <v>2286</v>
      </c>
      <c r="P117" s="52">
        <v>180</v>
      </c>
      <c r="S117" s="52"/>
      <c r="T117" s="52"/>
    </row>
    <row r="118" spans="1:20" x14ac:dyDescent="0.25">
      <c r="A118">
        <v>117</v>
      </c>
      <c r="B118" t="s">
        <v>44</v>
      </c>
      <c r="C118" t="s">
        <v>1995</v>
      </c>
      <c r="D118" s="44" t="s">
        <v>2287</v>
      </c>
      <c r="E118" s="3" t="s">
        <v>2288</v>
      </c>
      <c r="F118" s="3"/>
      <c r="G118" s="3"/>
      <c r="P118" s="52">
        <v>180</v>
      </c>
      <c r="S118" s="52"/>
      <c r="T118" s="52"/>
    </row>
    <row r="119" spans="1:20" x14ac:dyDescent="0.25">
      <c r="A119">
        <v>118</v>
      </c>
      <c r="B119" t="s">
        <v>2289</v>
      </c>
      <c r="C119" t="s">
        <v>1995</v>
      </c>
      <c r="D119" s="44" t="s">
        <v>2290</v>
      </c>
      <c r="E119" s="3" t="s">
        <v>2291</v>
      </c>
      <c r="F119" s="3"/>
      <c r="G119" s="3"/>
      <c r="P119" s="52">
        <v>180</v>
      </c>
      <c r="S119" s="52"/>
      <c r="T119" s="52"/>
    </row>
    <row r="120" spans="1:20" x14ac:dyDescent="0.25">
      <c r="A120">
        <v>119</v>
      </c>
      <c r="B120" t="s">
        <v>1313</v>
      </c>
      <c r="C120" t="s">
        <v>1995</v>
      </c>
      <c r="D120" t="s">
        <v>2292</v>
      </c>
      <c r="E120" s="44" t="s">
        <v>2293</v>
      </c>
      <c r="F120" s="44"/>
      <c r="G120" s="44"/>
      <c r="P120" s="52">
        <v>190</v>
      </c>
      <c r="S120" s="52"/>
      <c r="T120" s="52"/>
    </row>
    <row r="121" spans="1:20" x14ac:dyDescent="0.25">
      <c r="A121">
        <v>120</v>
      </c>
      <c r="B121" t="s">
        <v>2294</v>
      </c>
      <c r="D121" s="44" t="s">
        <v>2295</v>
      </c>
      <c r="E121" s="3" t="s">
        <v>2296</v>
      </c>
      <c r="F121" s="3"/>
      <c r="G121" s="3"/>
      <c r="S121" s="52"/>
      <c r="T121" s="52"/>
    </row>
    <row r="122" spans="1:20" x14ac:dyDescent="0.25">
      <c r="A122" t="s">
        <v>298</v>
      </c>
      <c r="E122" s="3"/>
      <c r="F122" s="3"/>
      <c r="G122" s="3"/>
      <c r="H122" s="40">
        <f>SUBTOTAL(109,govtbox[BALANCE])</f>
        <v>0</v>
      </c>
      <c r="I122" s="40">
        <f>SUBTOTAL(109,govtbox[JANUARY])</f>
        <v>600</v>
      </c>
      <c r="J122" s="40">
        <f>SUBTOTAL(109,govtbox[FEBEUARY])</f>
        <v>560</v>
      </c>
      <c r="K122" s="40">
        <f>SUBTOTAL(109,govtbox[MARCH])</f>
        <v>570</v>
      </c>
      <c r="L122" s="40">
        <f>SUBTOTAL(109,govtbox[APRIL])</f>
        <v>570</v>
      </c>
      <c r="M122" s="40">
        <f>SUBTOTAL(109,govtbox[MAY])</f>
        <v>0</v>
      </c>
      <c r="N122" s="40">
        <f>SUBTOTAL(109,govtbox[JUNE])</f>
        <v>0</v>
      </c>
      <c r="O122" s="40">
        <f>SUBTOTAL(109,govtbox[JULY])</f>
        <v>0</v>
      </c>
      <c r="P122" s="40">
        <f>SUBTOTAL(109,govtbox[AUGUST])</f>
        <v>17190</v>
      </c>
      <c r="Q122" s="40">
        <f>SUBTOTAL(109,govtbox[SEPTEMBER])</f>
        <v>0</v>
      </c>
      <c r="R122" s="40">
        <f>SUBTOTAL(109,govtbox[OCTOBER])</f>
        <v>0</v>
      </c>
      <c r="S122" s="40">
        <f>SUBTOTAL(109,govtbox[NOVEMBER])</f>
        <v>0</v>
      </c>
      <c r="T122" s="40">
        <f>SUBTOTAL(109,govtbox[DECEMBER])</f>
        <v>0</v>
      </c>
    </row>
    <row r="123" spans="1:20" x14ac:dyDescent="0.25">
      <c r="E123" s="44"/>
    </row>
    <row r="124" spans="1:20" x14ac:dyDescent="0.25">
      <c r="E124" s="44"/>
    </row>
    <row r="125" spans="1:20" x14ac:dyDescent="0.25">
      <c r="B125" s="39" t="s">
        <v>299</v>
      </c>
      <c r="C125" s="39">
        <f>COUNTIF(govtbox[PAID],"P")</f>
        <v>0</v>
      </c>
    </row>
    <row r="126" spans="1:20" x14ac:dyDescent="0.25">
      <c r="D126" t="s">
        <v>2297</v>
      </c>
      <c r="E126" s="44" t="s">
        <v>2298</v>
      </c>
    </row>
    <row r="127" spans="1:20" x14ac:dyDescent="0.25">
      <c r="B127" s="1" t="s">
        <v>301</v>
      </c>
      <c r="C127" s="1">
        <f>COUNTIF(C2:C121,"NP")</f>
        <v>0</v>
      </c>
      <c r="D127" t="s">
        <v>2299</v>
      </c>
    </row>
    <row r="128" spans="1:20" x14ac:dyDescent="0.25">
      <c r="B128" s="5" t="s">
        <v>2300</v>
      </c>
      <c r="C128" s="5">
        <f>C130*80</f>
        <v>0</v>
      </c>
    </row>
    <row r="130" spans="2:3" x14ac:dyDescent="0.25">
      <c r="B130" s="39" t="s">
        <v>302</v>
      </c>
      <c r="C130" s="39">
        <f>C125+C127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S29"/>
  <sheetViews>
    <sheetView zoomScale="115" zoomScaleNormal="115" workbookViewId="0">
      <pane ySplit="1" topLeftCell="A16" activePane="bottomLeft" state="frozen"/>
      <selection activeCell="D19" sqref="D19"/>
      <selection pane="bottomLeft" activeCell="K31" sqref="K31"/>
    </sheetView>
  </sheetViews>
  <sheetFormatPr defaultRowHeight="15" x14ac:dyDescent="0.25"/>
  <cols>
    <col min="1" max="1" width="6.28515625" style="61" customWidth="1"/>
    <col min="2" max="2" width="23.42578125" style="62" customWidth="1"/>
    <col min="3" max="3" width="13.28515625" style="16" hidden="1" customWidth="1"/>
    <col min="4" max="4" width="13" style="16" hidden="1" customWidth="1"/>
    <col min="5" max="5" width="13.85546875" style="16" hidden="1" customWidth="1"/>
    <col min="6" max="6" width="13.5703125" style="16" hidden="1" customWidth="1"/>
    <col min="7" max="7" width="14.42578125" style="16" hidden="1" customWidth="1"/>
    <col min="8" max="8" width="13.85546875" style="16" hidden="1" customWidth="1"/>
    <col min="9" max="9" width="14" style="16" hidden="1" customWidth="1"/>
    <col min="10" max="10" width="14.28515625" style="16" customWidth="1"/>
    <col min="11" max="11" width="15.5703125" style="16" customWidth="1"/>
    <col min="12" max="12" width="13.42578125" style="16" customWidth="1"/>
    <col min="13" max="13" width="14.28515625" style="16" customWidth="1"/>
    <col min="14" max="14" width="12.5703125" style="16" customWidth="1"/>
    <col min="15" max="15" width="13.42578125" style="61" customWidth="1"/>
    <col min="16" max="16" width="11.28515625" style="61" customWidth="1"/>
    <col min="17" max="17" width="11.7109375" style="61" customWidth="1"/>
    <col min="18" max="18" width="10.28515625" style="61" customWidth="1"/>
    <col min="19" max="19" width="12.42578125" style="61" customWidth="1"/>
  </cols>
  <sheetData>
    <row r="1" spans="1:16" x14ac:dyDescent="0.25">
      <c r="A1" t="s">
        <v>0</v>
      </c>
      <c r="B1" s="62" t="s">
        <v>2301</v>
      </c>
      <c r="C1" s="16" t="s">
        <v>6</v>
      </c>
      <c r="D1" s="16" t="s">
        <v>2302</v>
      </c>
      <c r="E1" s="16" t="s">
        <v>8</v>
      </c>
      <c r="F1" s="16" t="s">
        <v>9</v>
      </c>
      <c r="G1" s="16" t="s">
        <v>10</v>
      </c>
      <c r="H1" s="16" t="s">
        <v>11</v>
      </c>
      <c r="I1" s="16" t="s">
        <v>12</v>
      </c>
      <c r="J1" s="16" t="s">
        <v>13</v>
      </c>
      <c r="K1" s="16" t="s">
        <v>14</v>
      </c>
      <c r="L1" s="16" t="s">
        <v>15</v>
      </c>
      <c r="M1" s="16" t="s">
        <v>16</v>
      </c>
      <c r="N1" s="16" t="s">
        <v>17</v>
      </c>
      <c r="O1" s="16" t="s">
        <v>2303</v>
      </c>
      <c r="P1" s="16" t="s">
        <v>2304</v>
      </c>
    </row>
    <row r="2" spans="1:16" x14ac:dyDescent="0.25">
      <c r="A2">
        <v>1</v>
      </c>
      <c r="B2" s="62" t="s">
        <v>2305</v>
      </c>
      <c r="C2" s="16">
        <f>vallur1[[#Totals],[JANUARY]]</f>
        <v>0</v>
      </c>
      <c r="D2" s="16">
        <f>vallur1[[#Totals],[FEBEUARY]]</f>
        <v>0</v>
      </c>
      <c r="E2" s="16">
        <f>vallur1[[#Totals],[MARCH]]</f>
        <v>0</v>
      </c>
      <c r="F2" s="16">
        <f>vallur1[[#Totals],[APRIL]]</f>
        <v>0</v>
      </c>
      <c r="G2" s="16">
        <f>vallur1[[#Totals],[MAY]]</f>
        <v>0</v>
      </c>
      <c r="H2" s="16">
        <f>vallur1[[#Totals],[JUNE]]</f>
        <v>0</v>
      </c>
      <c r="I2" s="16">
        <f>vallur1[[#Totals],[JULY]]</f>
        <v>0</v>
      </c>
      <c r="J2" s="16">
        <f>vallur1[[#Totals],[AUGUST]]</f>
        <v>7980</v>
      </c>
      <c r="K2" s="16">
        <f>vallur1[[#Totals],[SEPTEMBER]]</f>
        <v>9850</v>
      </c>
      <c r="L2" s="16">
        <f>vallur1[[#Totals],[OCTOBER]]</f>
        <v>0</v>
      </c>
      <c r="M2" s="16">
        <f>vallur1[[#Totals],[NOVEMBER]]</f>
        <v>0</v>
      </c>
      <c r="N2" s="16">
        <f>vallur1[[#Totals],[DECEMBER]]</f>
        <v>0</v>
      </c>
      <c r="O2" s="62">
        <f>vallur1[[#Totals],[Package]]</f>
        <v>67</v>
      </c>
      <c r="P2" s="62">
        <f>'Vallur-1'!C100</f>
        <v>0</v>
      </c>
    </row>
    <row r="3" spans="1:16" s="2" customFormat="1" x14ac:dyDescent="0.25">
      <c r="A3">
        <v>2</v>
      </c>
      <c r="B3" s="62" t="s">
        <v>2306</v>
      </c>
      <c r="C3" s="16">
        <f>vallur2[[#Totals],[JANUARY]]</f>
        <v>0</v>
      </c>
      <c r="D3" s="16">
        <f>vallur2[[#Totals],[FEBEUARY]]</f>
        <v>0</v>
      </c>
      <c r="E3" s="16">
        <f>vallur2[[#Totals],[MARCH]]</f>
        <v>0</v>
      </c>
      <c r="F3" s="16">
        <f>vallur2[[#Totals],[APRIL]]</f>
        <v>0</v>
      </c>
      <c r="G3" s="16">
        <f>vallur2[[#Totals],[MAY]]</f>
        <v>0</v>
      </c>
      <c r="H3" s="16">
        <f>vallur2[[#Totals],[JUNE]]</f>
        <v>0</v>
      </c>
      <c r="I3" s="16">
        <f>vallur2[[#Totals],[JULY]]</f>
        <v>0</v>
      </c>
      <c r="J3" s="16">
        <f>vallur2[[#Totals],[AUGUST]]</f>
        <v>2900</v>
      </c>
      <c r="K3" s="16">
        <f>vallur2[[#Totals],[SEPTEMBER]]</f>
        <v>3520</v>
      </c>
      <c r="L3" s="16">
        <f>vallur2[[#Totals],[OCTOBER]]</f>
        <v>0</v>
      </c>
      <c r="M3" s="16">
        <f>vallur2[[#Totals],[NOVEMBER]]</f>
        <v>0</v>
      </c>
      <c r="N3" s="16">
        <f>vallur2[[#Totals],[DECEMBER]]</f>
        <v>0</v>
      </c>
      <c r="O3" s="62">
        <f>vallur2[[#Totals],[Package]]</f>
        <v>25</v>
      </c>
      <c r="P3" s="62">
        <f>'Vallur-2'!C38</f>
        <v>0</v>
      </c>
    </row>
    <row r="4" spans="1:16" x14ac:dyDescent="0.25">
      <c r="A4">
        <v>3</v>
      </c>
      <c r="B4" s="62" t="s">
        <v>2307</v>
      </c>
      <c r="C4" s="16">
        <f>sankark[[#Totals],[JANUARY]]</f>
        <v>0</v>
      </c>
      <c r="D4" s="16">
        <f>sankark[[#Totals],[FEBEUARY]]</f>
        <v>0</v>
      </c>
      <c r="E4" s="16">
        <f>sankark[[#Totals],[MARCH]]</f>
        <v>0</v>
      </c>
      <c r="F4" s="16">
        <f>sankark[[#Totals],[APRIL]]</f>
        <v>0</v>
      </c>
      <c r="G4" s="16">
        <f>sankark[[#Totals],[MAY]]</f>
        <v>0</v>
      </c>
      <c r="H4" s="16">
        <f>sankark[[#Totals],[JUNE]]</f>
        <v>0</v>
      </c>
      <c r="I4" s="16">
        <f>sankark[[#Totals],[JULY]]</f>
        <v>0</v>
      </c>
      <c r="J4" s="16">
        <f>sankark[[#Totals],[AUGUST]]</f>
        <v>1000</v>
      </c>
      <c r="K4" s="16">
        <f>sankark[[#Totals],[SEPTEMBER]]</f>
        <v>800</v>
      </c>
      <c r="L4" s="16">
        <f>sankark[[#Totals],[OCTOBER]]</f>
        <v>0</v>
      </c>
      <c r="M4" s="16">
        <f>sankark[[#Totals],[NOVEMBER]]</f>
        <v>0</v>
      </c>
      <c r="N4" s="16">
        <f>sankark[[#Totals],[DECEMBER]]</f>
        <v>0</v>
      </c>
      <c r="O4" s="62">
        <f>sankark[[#Totals],[Package]]</f>
        <v>6</v>
      </c>
      <c r="P4" s="62">
        <f>SankarK!C15</f>
        <v>4</v>
      </c>
    </row>
    <row r="5" spans="1:16" x14ac:dyDescent="0.25">
      <c r="A5">
        <v>4</v>
      </c>
      <c r="B5" s="62" t="s">
        <v>2308</v>
      </c>
      <c r="C5" s="16">
        <f>pudhur[[#Totals],[JANUARY]]</f>
        <v>0</v>
      </c>
      <c r="D5" s="16">
        <f>pudhur[[#Totals],[FEBEUARY]]</f>
        <v>0</v>
      </c>
      <c r="E5" s="16">
        <f>pudhur[[#Totals],[MARCH]]</f>
        <v>0</v>
      </c>
      <c r="F5" s="16">
        <f>pudhur[[#Totals],[APRIL]]</f>
        <v>0</v>
      </c>
      <c r="G5" s="16">
        <f>pudhur[[#Totals],[MAY]]</f>
        <v>0</v>
      </c>
      <c r="H5" s="16">
        <f>pudhur[[#Totals],[JUNE]]</f>
        <v>0</v>
      </c>
      <c r="I5" s="16">
        <f>pudhur[[#Totals],[JULY]]</f>
        <v>0</v>
      </c>
      <c r="J5" s="16">
        <f>pudhur[[#Totals],[AUGUST]]</f>
        <v>4600</v>
      </c>
      <c r="K5" s="16">
        <f>pudhur[[#Totals],[SEPTEMBER]]</f>
        <v>4200</v>
      </c>
      <c r="L5" s="16">
        <f>pudhur[[#Totals],[OCTOBER]]</f>
        <v>0</v>
      </c>
      <c r="M5" s="16">
        <f>pudhur[[#Totals],[NOVEMBER]]</f>
        <v>0</v>
      </c>
      <c r="N5" s="16">
        <f>pudhur[[#Totals],[DECEMBER]]</f>
        <v>0</v>
      </c>
      <c r="O5" s="62">
        <f>pudhur[[#Totals],[Package]]</f>
        <v>24</v>
      </c>
      <c r="P5" s="62">
        <f>Pudhur!C32</f>
        <v>0</v>
      </c>
    </row>
    <row r="6" spans="1:16" x14ac:dyDescent="0.25">
      <c r="A6">
        <v>5</v>
      </c>
      <c r="B6" s="62" t="s">
        <v>2309</v>
      </c>
      <c r="C6" s="16">
        <f>muslismst[[#Totals],[JANUARY]]</f>
        <v>0</v>
      </c>
      <c r="D6" s="16">
        <f>muslismst[[#Totals],[FEBEUARY]]</f>
        <v>0</v>
      </c>
      <c r="E6" s="16">
        <f>muslismst[[#Totals],[MARCH]]</f>
        <v>0</v>
      </c>
      <c r="F6" s="16">
        <f>muslismst[[#Totals],[APRIL]]</f>
        <v>0</v>
      </c>
      <c r="G6" s="16">
        <f>muslismst[[#Totals],[MAY]]</f>
        <v>0</v>
      </c>
      <c r="H6" s="16">
        <f>muslismst[[#Totals],[JUNE]]</f>
        <v>0</v>
      </c>
      <c r="I6" s="16">
        <f>muslismst[[#Totals],[JULY]]</f>
        <v>600</v>
      </c>
      <c r="J6" s="16">
        <f>muslismst[[#Totals],[AUGUST]]</f>
        <v>3850</v>
      </c>
      <c r="K6" s="16">
        <f>muslismst[[#Totals],[SEPTEMBER]]</f>
        <v>4850</v>
      </c>
      <c r="L6" s="16">
        <f>muslismst[[#Totals],[OCTOBER]]</f>
        <v>0</v>
      </c>
      <c r="M6" s="16">
        <f>muslismst[[#Totals],[NOVEMBER]]</f>
        <v>0</v>
      </c>
      <c r="N6" s="16">
        <f>muslismst[[#Totals],[DECEMBER]]</f>
        <v>0</v>
      </c>
      <c r="O6" s="62">
        <f>muslismst[[#Totals],[Package]]</f>
        <v>26</v>
      </c>
      <c r="P6" s="62">
        <f>'Muslim St'!C39</f>
        <v>23</v>
      </c>
    </row>
    <row r="7" spans="1:16" x14ac:dyDescent="0.25">
      <c r="A7">
        <v>6</v>
      </c>
      <c r="B7" s="62" t="s">
        <v>2310</v>
      </c>
      <c r="C7" s="16">
        <f>acolony[[#Totals],[JANUARY]]</f>
        <v>0</v>
      </c>
      <c r="D7" s="16">
        <f>acolony[[#Totals],[FEBEUARY]]</f>
        <v>0</v>
      </c>
      <c r="E7" s="16">
        <f>acolony[[#Totals],[MARCH]]</f>
        <v>0</v>
      </c>
      <c r="F7" s="16">
        <f>acolony[[#Totals],[APRIL]]</f>
        <v>0</v>
      </c>
      <c r="G7" s="16">
        <f>acolony[[#Totals],[MAY]]</f>
        <v>0</v>
      </c>
      <c r="H7" s="16">
        <f>acolony[[#Totals],[JUNE]]</f>
        <v>0</v>
      </c>
      <c r="I7" s="16">
        <f>acolony[[#Totals],[JULY]]</f>
        <v>5030</v>
      </c>
      <c r="J7" s="16">
        <f>acolony[[#Totals],[AUGUST]]</f>
        <v>6240</v>
      </c>
      <c r="K7" s="16">
        <f>acolony[[#Totals],[SEPTEMBER]]</f>
        <v>7690</v>
      </c>
      <c r="L7" s="16">
        <f>acolony[[#Totals],[OCTOBER]]</f>
        <v>0</v>
      </c>
      <c r="M7" s="16">
        <f>acolony[[#Totals],[NOVEMBER]]</f>
        <v>0</v>
      </c>
      <c r="N7" s="16">
        <f>acolony[[#Totals],[DECEMBER]]</f>
        <v>0</v>
      </c>
      <c r="O7" s="62">
        <f>acolony[[#Totals],[Package]]</f>
        <v>37</v>
      </c>
      <c r="P7" s="62">
        <f>A.Colony!C70</f>
        <v>0</v>
      </c>
    </row>
    <row r="8" spans="1:16" x14ac:dyDescent="0.25">
      <c r="A8">
        <v>7</v>
      </c>
      <c r="B8" s="62" t="s">
        <v>2311</v>
      </c>
      <c r="C8" s="16">
        <f>kamarajnagar[[#Totals],[JANUARY]]</f>
        <v>5560</v>
      </c>
      <c r="D8" s="16">
        <f>kamarajnagar[[#Totals],[FEBEUARY]]</f>
        <v>5460</v>
      </c>
      <c r="E8" s="16">
        <f>kamarajnagar[[#Totals],[MARCH]]</f>
        <v>5560</v>
      </c>
      <c r="F8" s="16">
        <f>kamarajnagar[[#Totals],[APRIL]]</f>
        <v>4960</v>
      </c>
      <c r="G8" s="16">
        <f>kamarajnagar[[#Totals],[MAY]]</f>
        <v>0</v>
      </c>
      <c r="H8" s="16">
        <f>kamarajnagar[[#Totals],[JUNE]]</f>
        <v>0</v>
      </c>
      <c r="I8" s="16">
        <f>kamarajnagar[[#Totals],[JULY]]</f>
        <v>0</v>
      </c>
      <c r="J8" s="16">
        <f>kamarajnagar[[#Totals],[AUGUST]]</f>
        <v>5560</v>
      </c>
      <c r="K8" s="16">
        <f>kamarajnagar[[#Totals],[SEPTEMBER]]</f>
        <v>5310</v>
      </c>
      <c r="L8" s="16">
        <f>kamarajnagar[[#Totals],[OCTOBER]]</f>
        <v>0</v>
      </c>
      <c r="M8" s="16">
        <f>kamarajnagar[[#Totals],[NOVEMBER]]</f>
        <v>0</v>
      </c>
      <c r="N8" s="16">
        <f>kamarajnagar[[#Totals],[DECEMBER]]</f>
        <v>0</v>
      </c>
      <c r="O8" s="62">
        <f>kamarajnagar[[#Totals],[Package]]</f>
        <v>30</v>
      </c>
      <c r="P8" s="62">
        <f>'Kamaraj Nagar'!C41</f>
        <v>27</v>
      </c>
    </row>
    <row r="9" spans="1:16" x14ac:dyDescent="0.25">
      <c r="A9">
        <v>8</v>
      </c>
      <c r="B9" s="62" t="s">
        <v>2312</v>
      </c>
      <c r="C9" s="16">
        <f>mariamman[[#Totals],[JANUARY]]</f>
        <v>0</v>
      </c>
      <c r="D9" s="16">
        <f>mariamman[[#Totals],[FEBEUARY]]</f>
        <v>0</v>
      </c>
      <c r="E9" s="16">
        <f>mariamman[[#Totals],[MARCH]]</f>
        <v>0</v>
      </c>
      <c r="F9" s="16">
        <f>mariamman[[#Totals],[APRIL]]</f>
        <v>0</v>
      </c>
      <c r="G9" s="16">
        <f>mariamman[[#Totals],[MAY]]</f>
        <v>0</v>
      </c>
      <c r="H9" s="16">
        <f>mariamman[[#Totals],[JUNE]]</f>
        <v>0</v>
      </c>
      <c r="I9" s="16">
        <f>mariamman[[#Totals],[JULY]]</f>
        <v>0</v>
      </c>
      <c r="J9" s="16">
        <f>mariamman[[#Totals],[AUGUST]]</f>
        <v>0</v>
      </c>
      <c r="K9" s="16">
        <f>mariamman[[#Totals],[SEPTEMBER]]</f>
        <v>6210</v>
      </c>
      <c r="L9" s="16">
        <f>mariamman[[#Totals],[OCTOBER]]</f>
        <v>0</v>
      </c>
      <c r="M9" s="16">
        <f>mariamman[[#Totals],[NOVEMBER]]</f>
        <v>0</v>
      </c>
      <c r="N9" s="16">
        <f>mariamman[[#Totals],[DECEMBER]]</f>
        <v>0</v>
      </c>
      <c r="O9" s="62">
        <f>mariamman[[#Totals],[Package]]</f>
        <v>34</v>
      </c>
      <c r="P9" s="62">
        <f>M.Mariamman!C43</f>
        <v>0</v>
      </c>
    </row>
    <row r="10" spans="1:16" x14ac:dyDescent="0.25">
      <c r="A10">
        <v>9</v>
      </c>
      <c r="B10" s="62" t="s">
        <v>2313</v>
      </c>
      <c r="C10" s="16">
        <f>kmudhaliyar[[#Totals],[JANUARY]]</f>
        <v>0</v>
      </c>
      <c r="D10" s="16">
        <f>kmudhaliyar[[#Totals],[FEBEUARY]]</f>
        <v>0</v>
      </c>
      <c r="E10" s="16">
        <f>kmudhaliyar[[#Totals],[MARCH]]</f>
        <v>0</v>
      </c>
      <c r="F10" s="16">
        <f>kmudhaliyar[[#Totals],[APRIL]]</f>
        <v>0</v>
      </c>
      <c r="G10" s="16">
        <f>kmudhaliyar[[#Totals],[MAY]]</f>
        <v>0</v>
      </c>
      <c r="H10" s="16">
        <f>kmudhaliyar[[#Totals],[JUNE]]</f>
        <v>0</v>
      </c>
      <c r="I10" s="16">
        <f>kmudhaliyar[[#Totals],[JULY]]</f>
        <v>0</v>
      </c>
      <c r="J10" s="16">
        <f>kmudhaliyar[[#Totals],[AUGUST]]</f>
        <v>0</v>
      </c>
      <c r="K10" s="16">
        <f>kmudhaliyar[[#Totals],[SEPTEMBER]]</f>
        <v>3670</v>
      </c>
      <c r="L10" s="16">
        <f>kmudhaliyar[[#Totals],[OCTOBER]]</f>
        <v>0</v>
      </c>
      <c r="M10" s="16">
        <f>kmudhaliyar[[#Totals],[NOVEMBER]]</f>
        <v>0</v>
      </c>
      <c r="N10" s="16">
        <f>kmudhaliyar[[#Totals],[DECEMBER]]</f>
        <v>0</v>
      </c>
      <c r="O10" s="62">
        <f>kmudhaliyar[[#Totals],[Package]]</f>
        <v>26</v>
      </c>
      <c r="P10" s="62">
        <f>K.Mudhaliyar!C35</f>
        <v>1</v>
      </c>
    </row>
    <row r="11" spans="1:16" x14ac:dyDescent="0.25">
      <c r="A11">
        <v>10</v>
      </c>
      <c r="B11" s="62" t="s">
        <v>2314</v>
      </c>
      <c r="C11" s="16">
        <f>agalist[[#Totals],[JANUARY]]</f>
        <v>0</v>
      </c>
      <c r="D11" s="16">
        <f>agalist[[#Totals],[FEBEUARY]]</f>
        <v>0</v>
      </c>
      <c r="E11" s="16">
        <f>agalist[[#Totals],[MARCH]]</f>
        <v>0</v>
      </c>
      <c r="F11" s="16">
        <f>agalist[[#Totals],[APRIL]]</f>
        <v>0</v>
      </c>
      <c r="G11" s="16">
        <f>agalist[[#Totals],[MAY]]</f>
        <v>0</v>
      </c>
      <c r="H11" s="16">
        <f>agalist[[#Totals],[JUNE]]</f>
        <v>0</v>
      </c>
      <c r="I11" s="16">
        <f>agalist[[#Totals],[JULY]]</f>
        <v>900</v>
      </c>
      <c r="J11" s="16">
        <f>agalist[[#Totals],[AUGUST]]</f>
        <v>1260</v>
      </c>
      <c r="K11" s="16">
        <f>agalist[[#Totals],[SEPTEMBER]]</f>
        <v>860</v>
      </c>
      <c r="L11" s="16">
        <f>agalist[[#Totals],[OCTOBER]]</f>
        <v>0</v>
      </c>
      <c r="M11" s="16">
        <f>agalist[[#Totals],[NOVEMBER]]</f>
        <v>0</v>
      </c>
      <c r="N11" s="16">
        <f>agalist[[#Totals],[DECEMBER]]</f>
        <v>0</v>
      </c>
      <c r="O11" s="62">
        <f>agalist[[#Totals],[Package]]</f>
        <v>9</v>
      </c>
      <c r="P11" s="62">
        <f>'Agali Theru'!C17</f>
        <v>6</v>
      </c>
    </row>
    <row r="12" spans="1:16" x14ac:dyDescent="0.25">
      <c r="A12">
        <v>11</v>
      </c>
      <c r="B12" s="62" t="s">
        <v>2315</v>
      </c>
      <c r="C12" s="16">
        <f>Mannikam_Muthaliyar1[[#Totals],[JANUARY]]</f>
        <v>0</v>
      </c>
      <c r="D12" s="16">
        <f>Mannikam_Muthaliyar1[[#Totals],[FEBEUARY]]</f>
        <v>0</v>
      </c>
      <c r="E12" s="16">
        <f>Mannikam_Muthaliyar1[[#Totals],[MARCH]]</f>
        <v>0</v>
      </c>
      <c r="F12" s="16">
        <f>Mannikam_Muthaliyar1[[#Totals],[APRIL]]</f>
        <v>0</v>
      </c>
      <c r="G12" s="16">
        <f>Mannikam_Muthaliyar1[[#Totals],[MAY]]</f>
        <v>0</v>
      </c>
      <c r="H12" s="16">
        <f>Mannikam_Muthaliyar1[[#Totals],[JUNE]]</f>
        <v>0</v>
      </c>
      <c r="I12" s="16">
        <f>Mannikam_Muthaliyar1[[#Totals],[JULY]]</f>
        <v>0</v>
      </c>
      <c r="J12" s="16">
        <f>Mannikam_Muthaliyar1[[#Totals],[AUGUST]]</f>
        <v>0</v>
      </c>
      <c r="K12" s="16">
        <f>Mannikam_Muthaliyar1[[#Totals],[SEPTEMBER]]</f>
        <v>2640</v>
      </c>
      <c r="L12" s="16">
        <f>Mannikam_Muthaliyar1[[#Totals],[OCTOBER]]</f>
        <v>0</v>
      </c>
      <c r="M12" s="16">
        <f>Mannikam_Muthaliyar1[[#Totals],[NOVEMBER]]</f>
        <v>0</v>
      </c>
      <c r="N12" s="16">
        <f>Mannikam_Muthaliyar1[[#Totals],[DECEMBER]]</f>
        <v>0</v>
      </c>
      <c r="O12" s="62">
        <f>Mannikam_Muthaliyar1[[#Totals],[Package]]</f>
        <v>17</v>
      </c>
      <c r="P12" s="62">
        <f>'Mannikam_Muthaliyar-I'!C23</f>
        <v>0</v>
      </c>
    </row>
    <row r="13" spans="1:16" x14ac:dyDescent="0.25">
      <c r="A13">
        <v>12</v>
      </c>
      <c r="B13" s="62" t="s">
        <v>2316</v>
      </c>
      <c r="J13" s="16">
        <f>Mannikam_Muthaliyar2[[#Totals],[AUGUST]]</f>
        <v>0</v>
      </c>
      <c r="K13" s="16">
        <f>Mannikam_Muthaliyar2[[#Totals],[SEPTEMBER]]</f>
        <v>2170</v>
      </c>
      <c r="L13" s="16">
        <f>Mannikam_Muthaliyar2[[#Totals],[OCTOBER]]</f>
        <v>0</v>
      </c>
      <c r="M13" s="16">
        <f>Mannikam_Muthaliyar2[[#Totals],[NOVEMBER]]</f>
        <v>0</v>
      </c>
      <c r="N13" s="16">
        <f>Mannikam_Muthaliyar2[[#Totals],[DECEMBER]]</f>
        <v>0</v>
      </c>
      <c r="O13" s="62"/>
      <c r="P13" s="54"/>
    </row>
    <row r="14" spans="1:16" x14ac:dyDescent="0.25">
      <c r="A14">
        <v>12</v>
      </c>
      <c r="B14" s="62" t="s">
        <v>2317</v>
      </c>
      <c r="C14" s="16">
        <f>bharadhidhasan[[#Totals],[JANUARY]]</f>
        <v>0</v>
      </c>
      <c r="D14" s="16">
        <f>bharadhidhasan[[#Totals],[FEBEUARY]]</f>
        <v>0</v>
      </c>
      <c r="E14" s="16">
        <f>bharadhidhasan[[#Totals],[MARCH]]</f>
        <v>0</v>
      </c>
      <c r="F14" s="16">
        <f>bharadhidhasan[[#Totals],[APRIL]]</f>
        <v>0</v>
      </c>
      <c r="G14" s="16">
        <f>bharadhidhasan[[#Totals],[MAY]]</f>
        <v>0</v>
      </c>
      <c r="H14" s="16">
        <f>bharadhidhasan[[#Totals],[JUNE]]</f>
        <v>0</v>
      </c>
      <c r="I14" s="16">
        <f>bharadhidhasan[[#Totals],[JULY]]</f>
        <v>0</v>
      </c>
      <c r="J14" s="16">
        <f>bharadhidhasan[[#Totals],[AUGUST]]</f>
        <v>0</v>
      </c>
      <c r="K14" s="16">
        <f>bharadhidhasan[[#Totals],[SEPTEMBER]]</f>
        <v>6010</v>
      </c>
      <c r="L14" s="16">
        <f>bharadhidhasan[[#Totals],[OCTOBER]]</f>
        <v>0</v>
      </c>
      <c r="M14" s="16">
        <f>bharadhidhasan[[#Totals],[NOVEMBER]]</f>
        <v>0</v>
      </c>
      <c r="N14" s="16">
        <f>bharadhidhasan[[#Totals],[DECEMBER]]</f>
        <v>0</v>
      </c>
      <c r="O14" s="62">
        <f>bharadhidhasan[[#Totals],[Package]]</f>
        <v>58</v>
      </c>
      <c r="P14" s="62">
        <f>Bharadhidhasan!C70</f>
        <v>1</v>
      </c>
    </row>
    <row r="15" spans="1:16" x14ac:dyDescent="0.25">
      <c r="A15">
        <v>14</v>
      </c>
      <c r="B15" s="62" t="s">
        <v>2318</v>
      </c>
      <c r="C15" s="16">
        <f>subramaniyasiva[[#Totals],[JANUARY]]</f>
        <v>0</v>
      </c>
      <c r="D15" s="16">
        <f>subramaniyasiva[[#Totals],[FEBEUARY]]</f>
        <v>0</v>
      </c>
      <c r="E15" s="16">
        <f>subramaniyasiva[[#Totals],[MARCH]]</f>
        <v>0</v>
      </c>
      <c r="F15" s="16">
        <f>subramaniyasiva[[#Totals],[APRIL]]</f>
        <v>0</v>
      </c>
      <c r="G15" s="16">
        <f>subramaniyasiva[[#Totals],[MAY]]</f>
        <v>0</v>
      </c>
      <c r="H15" s="16">
        <f>subramaniyasiva[[#Totals],[JUNE]]</f>
        <v>0</v>
      </c>
      <c r="I15" s="16">
        <f>subramaniyasiva[[#Totals],[JULY]]</f>
        <v>0</v>
      </c>
      <c r="J15" s="16">
        <f>subramaniyasiva[[#Totals],[AUGUST]]</f>
        <v>0</v>
      </c>
      <c r="K15" s="16">
        <f>subramaniyasiva[[#Totals],[SEPTEMBER]]</f>
        <v>7700</v>
      </c>
      <c r="L15" s="16">
        <f>subramaniyasiva[[#Totals],[OCTOBER]]</f>
        <v>0</v>
      </c>
      <c r="M15" s="16">
        <f>subramaniyasiva[[#Totals],[NOVEMBER]]</f>
        <v>0</v>
      </c>
      <c r="N15" s="16">
        <f>subramaniyasiva[[#Totals],[DECEMBER]]</f>
        <v>0</v>
      </c>
      <c r="O15" s="62">
        <f>subramaniyasiva[[#Totals],[Package]]</f>
        <v>59</v>
      </c>
      <c r="P15" s="62">
        <f>Subramaniya_Siva!C70</f>
        <v>0</v>
      </c>
    </row>
    <row r="16" spans="1:16" x14ac:dyDescent="0.25">
      <c r="A16">
        <v>16</v>
      </c>
      <c r="B16" s="62" t="s">
        <v>2319</v>
      </c>
      <c r="C16" s="16">
        <f>PillaiyarKovil[[#Totals],[JANUARY]]</f>
        <v>0</v>
      </c>
      <c r="D16" s="16">
        <f>PillaiyarKovil[[#Totals],[FEBEUARY]]</f>
        <v>0</v>
      </c>
      <c r="E16" s="16">
        <f>PillaiyarKovil[[#Totals],[MARCH]]</f>
        <v>0</v>
      </c>
      <c r="F16" s="16">
        <f>PillaiyarKovil[[#Totals],[APRIL]]</f>
        <v>0</v>
      </c>
      <c r="G16" s="16">
        <f>PillaiyarKovil[[#Totals],[MAY]]</f>
        <v>0</v>
      </c>
      <c r="H16" s="16">
        <f>PillaiyarKovil[[#Totals],[JUNE]]</f>
        <v>0</v>
      </c>
      <c r="I16" s="16">
        <f>PillaiyarKovil[[#Totals],[JULY]]</f>
        <v>0</v>
      </c>
      <c r="J16" s="16">
        <f>PillaiyarKovil[[#Totals],[AUGUST]]</f>
        <v>0</v>
      </c>
      <c r="K16" s="16">
        <f>PillaiyarKovil[[#Totals],[SEPTEMBER]]</f>
        <v>8000</v>
      </c>
      <c r="L16" s="16">
        <f>PillaiyarKovil[[#Totals],[OCTOBER]]</f>
        <v>0</v>
      </c>
      <c r="M16" s="16">
        <f>PillaiyarKovil[[#Totals],[NOVEMBER]]</f>
        <v>0</v>
      </c>
      <c r="N16" s="16">
        <f>PillaiyarKovil[[#Totals],[DECEMBER]]</f>
        <v>0</v>
      </c>
      <c r="O16" s="62">
        <f>PillaiyarKovil[[#Totals],[Package]]</f>
        <v>42</v>
      </c>
      <c r="P16" s="62">
        <f>PillaiyarKovil!C49</f>
        <v>0</v>
      </c>
    </row>
    <row r="17" spans="1:16" x14ac:dyDescent="0.25">
      <c r="A17">
        <v>17</v>
      </c>
      <c r="B17" s="62" t="s">
        <v>2320</v>
      </c>
      <c r="C17" s="16">
        <f>Ramasami_Mudhaliyar[[#Totals],[JANUARY]]</f>
        <v>0</v>
      </c>
      <c r="D17" s="16">
        <f>Ramasami_Mudhaliyar[[#Totals],[FEBEUARY]]</f>
        <v>0</v>
      </c>
      <c r="E17" s="16">
        <f>Ramasami_Mudhaliyar[[#Totals],[MARCH]]</f>
        <v>0</v>
      </c>
      <c r="F17" s="16">
        <f>Ramasami_Mudhaliyar[[#Totals],[APRIL]]</f>
        <v>0</v>
      </c>
      <c r="G17" s="16">
        <f>Ramasami_Mudhaliyar[[#Totals],[MAY]]</f>
        <v>0</v>
      </c>
      <c r="H17" s="16">
        <f>Ramasami_Mudhaliyar[[#Totals],[JUNE]]</f>
        <v>0</v>
      </c>
      <c r="I17" s="16">
        <f>Ramasami_Mudhaliyar[[#Totals],[JULY]]</f>
        <v>0</v>
      </c>
      <c r="J17" s="16">
        <f>Ramasami_Mudhaliyar[[#Totals],[AUGUST]]</f>
        <v>0</v>
      </c>
      <c r="K17" s="16">
        <f>Ramasami_Mudhaliyar[[#Totals],[SEPTEMBER]]</f>
        <v>6545</v>
      </c>
      <c r="L17" s="16">
        <f>Ramasami_Mudhaliyar[[#Totals],[OCTOBER]]</f>
        <v>0</v>
      </c>
      <c r="M17" s="16">
        <f>Ramasami_Mudhaliyar[[#Totals],[NOVEMBER]]</f>
        <v>0</v>
      </c>
      <c r="N17" s="16">
        <f>Ramasami_Mudhaliyar[[#Totals],[DECEMBER]]</f>
        <v>0</v>
      </c>
      <c r="O17" s="62"/>
      <c r="P17" s="62"/>
    </row>
    <row r="18" spans="1:16" x14ac:dyDescent="0.25">
      <c r="A18">
        <v>18</v>
      </c>
      <c r="B18" s="62" t="s">
        <v>2321</v>
      </c>
      <c r="C18" s="16" t="e">
        <f>#REF!</f>
        <v>#REF!</v>
      </c>
      <c r="D18" s="16" t="e">
        <f>#REF!</f>
        <v>#REF!</v>
      </c>
      <c r="E18" s="16" t="e">
        <f>#REF!</f>
        <v>#REF!</v>
      </c>
      <c r="F18" s="16" t="e">
        <f>#REF!</f>
        <v>#REF!</v>
      </c>
      <c r="G18" s="16" t="e">
        <f>#REF!</f>
        <v>#REF!</v>
      </c>
      <c r="H18" s="16" t="e">
        <f>#REF!</f>
        <v>#REF!</v>
      </c>
      <c r="I18" s="16" t="e">
        <f>#REF!</f>
        <v>#REF!</v>
      </c>
      <c r="J18" s="16">
        <f>mainroad29[[#Totals],[AUGUST]]</f>
        <v>3510</v>
      </c>
      <c r="K18" s="16">
        <f>mainroad29[[#Totals],[SEPTEMBER]]</f>
        <v>4140</v>
      </c>
      <c r="L18" s="16">
        <f>mainroad29[[#Totals],[OCTOBER]]</f>
        <v>0</v>
      </c>
      <c r="M18" s="16">
        <f>mainroad29[[#Totals],[NOVEMBER]]</f>
        <v>0</v>
      </c>
      <c r="N18" s="16">
        <f>mainroad29[[#Totals],[DECEMBER]]</f>
        <v>0</v>
      </c>
      <c r="O18" s="62"/>
      <c r="P18" s="62"/>
    </row>
    <row r="19" spans="1:16" x14ac:dyDescent="0.25">
      <c r="A19">
        <v>19</v>
      </c>
      <c r="B19" s="62" t="s">
        <v>2322</v>
      </c>
      <c r="C19" s="16" t="e">
        <f>#REF!</f>
        <v>#REF!</v>
      </c>
      <c r="D19" s="16" t="e">
        <f>#REF!</f>
        <v>#REF!</v>
      </c>
      <c r="E19" s="16" t="e">
        <f>#REF!</f>
        <v>#REF!</v>
      </c>
      <c r="F19" s="16" t="e">
        <f>#REF!</f>
        <v>#REF!</v>
      </c>
      <c r="G19" s="16" t="e">
        <f>#REF!</f>
        <v>#REF!</v>
      </c>
      <c r="H19" s="16" t="e">
        <f>#REF!</f>
        <v>#REF!</v>
      </c>
      <c r="I19" s="16" t="e">
        <f>#REF!</f>
        <v>#REF!</v>
      </c>
      <c r="J19" s="16">
        <f>bharathipuram130[[#Totals],[AUGUST]]</f>
        <v>5020</v>
      </c>
      <c r="K19" s="16">
        <f>bharathipuram130[[#Totals],[SEPTEMBER]]</f>
        <v>4800</v>
      </c>
      <c r="L19" s="16">
        <f>bharathipuram130[[#Totals],[OCTOBER]]</f>
        <v>0</v>
      </c>
      <c r="M19" s="16">
        <f>bharathipuram130[[#Totals],[NOVEMBER]]</f>
        <v>0</v>
      </c>
      <c r="N19" s="16">
        <f>bharathipuram130[[#Totals],[DECEMBER]]</f>
        <v>0</v>
      </c>
      <c r="O19" s="62"/>
      <c r="P19" s="62"/>
    </row>
    <row r="20" spans="1:16" x14ac:dyDescent="0.25">
      <c r="A20">
        <v>20</v>
      </c>
      <c r="B20" s="62" t="s">
        <v>2323</v>
      </c>
      <c r="C20" s="16" t="e">
        <f>#REF!</f>
        <v>#REF!</v>
      </c>
      <c r="D20" s="16" t="e">
        <f>#REF!</f>
        <v>#REF!</v>
      </c>
      <c r="E20" s="16" t="e">
        <f>#REF!</f>
        <v>#REF!</v>
      </c>
      <c r="F20" s="16" t="e">
        <f>#REF!</f>
        <v>#REF!</v>
      </c>
      <c r="G20" s="16" t="e">
        <f>#REF!</f>
        <v>#REF!</v>
      </c>
      <c r="H20" s="16" t="e">
        <f>#REF!</f>
        <v>#REF!</v>
      </c>
      <c r="I20" s="16" t="e">
        <f>#REF!</f>
        <v>#REF!</v>
      </c>
      <c r="J20" s="16">
        <f>bharathipuram231[[#Totals],[AUGUST]]</f>
        <v>3000</v>
      </c>
      <c r="K20" s="16">
        <f>bharathipuram231[[#Totals],[SEPTEMBER]]</f>
        <v>4370</v>
      </c>
      <c r="L20" s="16">
        <f>bharathipuram231[[#Totals],[OCTOBER]]</f>
        <v>0</v>
      </c>
      <c r="M20" s="16">
        <f>bharathipuram231[[#Totals],[NOVEMBER]]</f>
        <v>0</v>
      </c>
      <c r="N20" s="16">
        <f>bharathipuram231[[#Totals],[DECEMBER]]</f>
        <v>0</v>
      </c>
      <c r="O20" s="62"/>
      <c r="P20" s="62"/>
    </row>
    <row r="21" spans="1:16" x14ac:dyDescent="0.25">
      <c r="A21">
        <v>21</v>
      </c>
      <c r="B21" s="62" t="s">
        <v>2324</v>
      </c>
      <c r="C21" s="16">
        <f>govtbox[[#Totals],[JANUARY]]</f>
        <v>600</v>
      </c>
      <c r="D21" s="16">
        <f>govtbox[[#Totals],[FEBEUARY]]</f>
        <v>560</v>
      </c>
      <c r="E21" s="16">
        <f>govtbox[[#Totals],[MARCH]]</f>
        <v>570</v>
      </c>
      <c r="F21" s="16">
        <f>govtbox[[#Totals],[APRIL]]</f>
        <v>570</v>
      </c>
      <c r="G21" s="16">
        <f>govtbox[[#Totals],[MAY]]</f>
        <v>0</v>
      </c>
      <c r="H21" s="16">
        <f>govtbox[[#Totals],[JUNE]]</f>
        <v>0</v>
      </c>
      <c r="I21" s="16">
        <f>govtbox[[#Totals],[JULY]]</f>
        <v>0</v>
      </c>
      <c r="J21" s="16">
        <f>govtbox[[#Totals],[AUGUST]]</f>
        <v>17190</v>
      </c>
      <c r="K21" s="16">
        <f>govtbox[[#Totals],[SEPTEMBER]]</f>
        <v>0</v>
      </c>
      <c r="L21" s="16">
        <f>govtbox[[#Totals],[OCTOBER]]</f>
        <v>0</v>
      </c>
      <c r="M21" s="16">
        <f>govtbox[[#Totals],[NOVEMBER]]</f>
        <v>0</v>
      </c>
      <c r="N21" s="16">
        <f>govtbox[[#Totals],[DECEMBER]]</f>
        <v>0</v>
      </c>
      <c r="O21" s="62"/>
      <c r="P21" s="62"/>
    </row>
    <row r="22" spans="1:16" x14ac:dyDescent="0.25">
      <c r="A22" s="33" t="s">
        <v>298</v>
      </c>
      <c r="B22" s="68"/>
      <c r="I22" s="16" t="e">
        <f>SUBTOTAL(109,Table26[JULY])</f>
        <v>#REF!</v>
      </c>
      <c r="J22" s="16">
        <f>SUBTOTAL(109,Table26[AUGUST])</f>
        <v>62110</v>
      </c>
      <c r="K22" s="16">
        <f>SUBTOTAL(109,Table26[SEPTEMBER])</f>
        <v>93335</v>
      </c>
      <c r="L22" s="16">
        <f>SUBTOTAL(109,Table26[OCTOBER])</f>
        <v>0</v>
      </c>
      <c r="M22" s="16">
        <f>SUBTOTAL(109,Table26[NOVEMBER])</f>
        <v>0</v>
      </c>
      <c r="N22" s="16">
        <f>SUBTOTAL(109,Table26[DECEMBER])</f>
        <v>0</v>
      </c>
      <c r="O22" s="69">
        <f>SUM(O2:O20)</f>
        <v>460</v>
      </c>
      <c r="P22" s="68">
        <f>SUBTOTAL(109,Table26[TOTAL PAID])</f>
        <v>62</v>
      </c>
    </row>
    <row r="24" spans="1:16" ht="15.75" customHeight="1" x14ac:dyDescent="0.25"/>
    <row r="25" spans="1:16" ht="16.5" customHeight="1" thickBot="1" x14ac:dyDescent="0.3">
      <c r="B25" s="26" t="s">
        <v>2325</v>
      </c>
      <c r="C25" s="27">
        <f t="shared" ref="C25:J25" si="0">SUM(C2,C3)</f>
        <v>0</v>
      </c>
      <c r="D25" s="27">
        <f t="shared" si="0"/>
        <v>0</v>
      </c>
      <c r="E25" s="27">
        <f t="shared" si="0"/>
        <v>0</v>
      </c>
      <c r="F25" s="27">
        <f t="shared" si="0"/>
        <v>0</v>
      </c>
      <c r="G25" s="27">
        <f t="shared" si="0"/>
        <v>0</v>
      </c>
      <c r="H25" s="27">
        <f t="shared" si="0"/>
        <v>0</v>
      </c>
      <c r="I25" s="27">
        <f t="shared" si="0"/>
        <v>0</v>
      </c>
      <c r="J25" s="27">
        <f t="shared" si="0"/>
        <v>10880</v>
      </c>
      <c r="K25" s="27">
        <f>SUM(K2)</f>
        <v>9850</v>
      </c>
      <c r="L25" s="27">
        <f>SUM(L2,L3)</f>
        <v>0</v>
      </c>
      <c r="M25" s="27">
        <f>SUM(M2,M3)</f>
        <v>0</v>
      </c>
      <c r="N25" s="27">
        <f>SUM(N2,N3)</f>
        <v>0</v>
      </c>
    </row>
    <row r="26" spans="1:16" ht="15.75" customHeight="1" thickTop="1" thickBot="1" x14ac:dyDescent="0.3">
      <c r="B26" s="26" t="s">
        <v>2326</v>
      </c>
      <c r="C26" s="27" t="e">
        <f>SUM(C7,C9,C10,C11,C12,C14,#REF!,C15,#REF!,C16,C17,C18,C19,C20)</f>
        <v>#REF!</v>
      </c>
      <c r="D26" s="27" t="e">
        <f>SUM(D7,D9,D10,D11,D12,D14,#REF!,D15,#REF!,D16,D17,D18,D19,D20)</f>
        <v>#REF!</v>
      </c>
      <c r="E26" s="27" t="e">
        <f>SUM(E7,E9,E10,E11,E12,E14,#REF!,E15,#REF!,E16,E17,E18,E19,E20)</f>
        <v>#REF!</v>
      </c>
      <c r="F26" s="27" t="e">
        <f>SUM(F7,F9,F10,F11,F12,F14,#REF!,F15,#REF!,F16,F17,F18,F19,F20)</f>
        <v>#REF!</v>
      </c>
      <c r="G26" s="27" t="e">
        <f>SUM(G7,G9,G10,G11,G12,G14,#REF!,G15,#REF!,G16,G17,G18,G19,G20)</f>
        <v>#REF!</v>
      </c>
      <c r="H26" s="27" t="e">
        <f>SUM(H7,H9,H10,H11,H12,H14,#REF!,H15,#REF!,H16,H17,H18,H19,H20)</f>
        <v>#REF!</v>
      </c>
      <c r="I26" s="27" t="e">
        <f>SUM(I7,I9,I10,I11,I12,I14,#REF!,I15,#REF!,I16,I17,I18,I19,I20)</f>
        <v>#REF!</v>
      </c>
      <c r="J26" s="27">
        <f>SUM(J9:J20,J7,J3)</f>
        <v>21930</v>
      </c>
      <c r="K26" s="27">
        <f>SUM(K9:K20,K7,K3)</f>
        <v>68325</v>
      </c>
      <c r="L26" s="27">
        <f>SUM(L9:L20,L7,L3)</f>
        <v>0</v>
      </c>
      <c r="M26" s="27">
        <f>SUM(M9:M20,M7,M3)</f>
        <v>0</v>
      </c>
      <c r="N26" s="27">
        <f>SUM(N9:N20,N7,N3)</f>
        <v>0</v>
      </c>
    </row>
    <row r="27" spans="1:16" ht="16.5" customHeight="1" thickTop="1" thickBot="1" x14ac:dyDescent="0.3">
      <c r="B27" s="26" t="s">
        <v>2327</v>
      </c>
      <c r="C27" s="27">
        <f t="shared" ref="C27:N27" si="1">SUM(C21,C8,C6,C5,C4)</f>
        <v>6160</v>
      </c>
      <c r="D27" s="27">
        <f t="shared" si="1"/>
        <v>6020</v>
      </c>
      <c r="E27" s="27">
        <f t="shared" si="1"/>
        <v>6130</v>
      </c>
      <c r="F27" s="27">
        <f t="shared" si="1"/>
        <v>5530</v>
      </c>
      <c r="G27" s="27">
        <f t="shared" si="1"/>
        <v>0</v>
      </c>
      <c r="H27" s="27">
        <f t="shared" si="1"/>
        <v>0</v>
      </c>
      <c r="I27" s="27">
        <f t="shared" si="1"/>
        <v>600</v>
      </c>
      <c r="J27" s="27">
        <f t="shared" si="1"/>
        <v>32200</v>
      </c>
      <c r="K27" s="27">
        <f t="shared" si="1"/>
        <v>15160</v>
      </c>
      <c r="L27" s="27">
        <f t="shared" si="1"/>
        <v>0</v>
      </c>
      <c r="M27" s="27">
        <f t="shared" si="1"/>
        <v>0</v>
      </c>
      <c r="N27" s="27">
        <f t="shared" si="1"/>
        <v>0</v>
      </c>
    </row>
    <row r="28" spans="1:16" ht="16.5" customHeight="1" thickTop="1" x14ac:dyDescent="0.25">
      <c r="B28" s="28" t="s">
        <v>2328</v>
      </c>
      <c r="C28" s="29" t="e">
        <f t="shared" ref="C28:N28" si="2">SUM(C25:C27)</f>
        <v>#REF!</v>
      </c>
      <c r="D28" s="29" t="e">
        <f t="shared" si="2"/>
        <v>#REF!</v>
      </c>
      <c r="E28" s="29" t="e">
        <f t="shared" si="2"/>
        <v>#REF!</v>
      </c>
      <c r="F28" s="29" t="e">
        <f t="shared" si="2"/>
        <v>#REF!</v>
      </c>
      <c r="G28" s="29" t="e">
        <f t="shared" si="2"/>
        <v>#REF!</v>
      </c>
      <c r="H28" s="29" t="e">
        <f t="shared" si="2"/>
        <v>#REF!</v>
      </c>
      <c r="I28" s="29" t="e">
        <f t="shared" si="2"/>
        <v>#REF!</v>
      </c>
      <c r="J28" s="29">
        <f t="shared" si="2"/>
        <v>65010</v>
      </c>
      <c r="K28" s="29">
        <f t="shared" si="2"/>
        <v>93335</v>
      </c>
      <c r="L28" s="29">
        <f t="shared" si="2"/>
        <v>0</v>
      </c>
      <c r="M28" s="29">
        <f t="shared" si="2"/>
        <v>0</v>
      </c>
      <c r="N28" s="29">
        <f t="shared" si="2"/>
        <v>0</v>
      </c>
    </row>
    <row r="29" spans="1:16" ht="15.75" customHeight="1" x14ac:dyDescent="0.25">
      <c r="B29" s="24" t="s">
        <v>2329</v>
      </c>
      <c r="C29" s="25" t="e">
        <f>SUM(Table26[JANUARY])</f>
        <v>#REF!</v>
      </c>
      <c r="D29" s="25" t="e">
        <f>SUM(Table26[FEBUARY])</f>
        <v>#REF!</v>
      </c>
      <c r="E29" s="25" t="e">
        <f>SUM(Table26[MARCH])</f>
        <v>#REF!</v>
      </c>
      <c r="F29" s="25" t="e">
        <f>SUM(Table26[APRIL])</f>
        <v>#REF!</v>
      </c>
      <c r="G29" s="25" t="e">
        <f>SUM(Table26[MAY])</f>
        <v>#REF!</v>
      </c>
      <c r="H29" s="25" t="e">
        <f>SUM(Table26[JUNE])</f>
        <v>#REF!</v>
      </c>
      <c r="I29" s="25" t="e">
        <f>SUM(Table26[JULY])</f>
        <v>#REF!</v>
      </c>
      <c r="J29" s="25">
        <f>SUM(Table26[AUGUST])</f>
        <v>62110</v>
      </c>
      <c r="K29" s="25">
        <f>SUM(Table26[SEPTEMBER])</f>
        <v>93335</v>
      </c>
      <c r="L29" s="25">
        <f>SUM(Table26[OCTOBER])</f>
        <v>0</v>
      </c>
      <c r="M29" s="25">
        <f>SUM(Table26[NOVEMBER])</f>
        <v>0</v>
      </c>
      <c r="N29" s="25">
        <f>SUM(Table26[DECEMBER])</f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L38"/>
  <sheetViews>
    <sheetView topLeftCell="C15" zoomScale="130" zoomScaleNormal="130" workbookViewId="0">
      <selection activeCell="G27" sqref="G27"/>
    </sheetView>
  </sheetViews>
  <sheetFormatPr defaultRowHeight="15" x14ac:dyDescent="0.25"/>
  <cols>
    <col min="2" max="2" width="13.85546875" style="61" customWidth="1"/>
    <col min="3" max="3" width="14.28515625" style="61" customWidth="1"/>
    <col min="4" max="4" width="14.5703125" style="61" customWidth="1"/>
    <col min="5" max="5" width="11.5703125" style="61" customWidth="1"/>
    <col min="6" max="6" width="14.140625" style="61" customWidth="1"/>
    <col min="7" max="7" width="15.5703125" style="61" customWidth="1"/>
    <col min="8" max="8" width="12" style="61" customWidth="1"/>
    <col min="9" max="9" width="14" style="61" customWidth="1"/>
    <col min="10" max="10" width="12.5703125" style="61" customWidth="1"/>
    <col min="11" max="11" width="12.42578125" style="61" customWidth="1"/>
    <col min="12" max="12" width="14.85546875" style="61" customWidth="1"/>
  </cols>
  <sheetData>
    <row r="1" spans="2:12" ht="22.5" customHeight="1" x14ac:dyDescent="0.3">
      <c r="B1" s="90" t="s">
        <v>2330</v>
      </c>
      <c r="C1" s="77"/>
      <c r="D1" s="77"/>
      <c r="E1" s="77"/>
      <c r="F1" s="77"/>
      <c r="H1" s="90" t="s">
        <v>2331</v>
      </c>
      <c r="I1" s="77"/>
      <c r="J1" s="77"/>
      <c r="K1" s="77"/>
      <c r="L1" s="77"/>
    </row>
    <row r="2" spans="2:12" x14ac:dyDescent="0.25">
      <c r="B2" t="s">
        <v>2332</v>
      </c>
      <c r="C2" t="s">
        <v>2326</v>
      </c>
      <c r="D2" t="s">
        <v>2333</v>
      </c>
      <c r="E2" t="s">
        <v>2334</v>
      </c>
      <c r="F2" t="s">
        <v>2327</v>
      </c>
      <c r="H2" t="s">
        <v>2332</v>
      </c>
      <c r="I2" t="s">
        <v>2326</v>
      </c>
      <c r="J2" t="s">
        <v>2333</v>
      </c>
      <c r="K2" t="s">
        <v>2334</v>
      </c>
      <c r="L2" t="s">
        <v>2327</v>
      </c>
    </row>
    <row r="3" spans="2:12" x14ac:dyDescent="0.25">
      <c r="B3" s="41">
        <v>44044</v>
      </c>
      <c r="C3" s="52">
        <v>400</v>
      </c>
      <c r="D3" s="52"/>
      <c r="E3" s="41">
        <v>44046</v>
      </c>
      <c r="F3" s="52">
        <v>2000</v>
      </c>
      <c r="H3" s="41">
        <v>44075</v>
      </c>
      <c r="I3" s="52">
        <v>400</v>
      </c>
      <c r="J3" s="52"/>
      <c r="K3" s="41"/>
      <c r="L3" s="52"/>
    </row>
    <row r="4" spans="2:12" x14ac:dyDescent="0.25">
      <c r="B4" s="41">
        <v>44045</v>
      </c>
      <c r="C4" s="52">
        <v>1500</v>
      </c>
      <c r="D4" s="52"/>
      <c r="E4" s="41">
        <v>44049</v>
      </c>
      <c r="F4" s="52">
        <v>2000</v>
      </c>
      <c r="H4" s="41">
        <v>44079</v>
      </c>
      <c r="I4" s="52">
        <v>10520</v>
      </c>
      <c r="J4" s="52"/>
      <c r="K4" s="41"/>
      <c r="L4" s="52"/>
    </row>
    <row r="5" spans="2:12" x14ac:dyDescent="0.25">
      <c r="B5" s="41">
        <v>44046</v>
      </c>
      <c r="C5" s="52">
        <v>500</v>
      </c>
      <c r="D5" s="52"/>
      <c r="E5" s="41">
        <v>44050</v>
      </c>
      <c r="F5" s="52">
        <v>5000</v>
      </c>
      <c r="H5" s="41">
        <v>44080</v>
      </c>
      <c r="I5" s="52">
        <v>5270</v>
      </c>
      <c r="J5" s="52"/>
      <c r="K5" s="41"/>
      <c r="L5" s="52"/>
    </row>
    <row r="6" spans="2:12" x14ac:dyDescent="0.25">
      <c r="B6" s="41">
        <v>44048</v>
      </c>
      <c r="C6" s="52">
        <v>7400</v>
      </c>
      <c r="D6" s="52"/>
      <c r="E6" s="41">
        <v>44053</v>
      </c>
      <c r="F6" s="52">
        <v>2000</v>
      </c>
      <c r="H6" s="41">
        <v>44080</v>
      </c>
      <c r="I6" s="52">
        <v>3600</v>
      </c>
      <c r="J6" s="52">
        <v>650</v>
      </c>
      <c r="K6" s="41"/>
      <c r="L6" s="52"/>
    </row>
    <row r="7" spans="2:12" x14ac:dyDescent="0.25">
      <c r="B7" s="41">
        <v>44049</v>
      </c>
      <c r="C7" s="52">
        <v>4100</v>
      </c>
      <c r="D7" s="52"/>
      <c r="E7" s="41">
        <v>44057</v>
      </c>
      <c r="F7" s="52">
        <v>5000</v>
      </c>
      <c r="H7" s="41"/>
      <c r="I7" s="52">
        <v>4150</v>
      </c>
      <c r="J7" s="52">
        <v>100</v>
      </c>
      <c r="K7" s="41"/>
      <c r="L7" s="52"/>
    </row>
    <row r="8" spans="2:12" x14ac:dyDescent="0.25">
      <c r="B8" s="41">
        <v>44051</v>
      </c>
      <c r="C8" s="52">
        <v>5300</v>
      </c>
      <c r="D8" s="52"/>
      <c r="E8" s="41">
        <v>44059</v>
      </c>
      <c r="F8" s="52">
        <v>3000</v>
      </c>
      <c r="H8" s="41"/>
      <c r="I8" s="52">
        <v>5930</v>
      </c>
      <c r="J8" s="52">
        <v>5000</v>
      </c>
      <c r="K8" s="41"/>
      <c r="L8" s="52"/>
    </row>
    <row r="9" spans="2:12" x14ac:dyDescent="0.25">
      <c r="B9" s="41">
        <v>44052</v>
      </c>
      <c r="C9" s="52">
        <v>4930</v>
      </c>
      <c r="D9" s="52"/>
      <c r="E9" s="41">
        <v>44063</v>
      </c>
      <c r="F9" s="52">
        <v>2000</v>
      </c>
      <c r="H9" s="41">
        <v>44086</v>
      </c>
      <c r="I9" s="52">
        <v>3800</v>
      </c>
      <c r="J9" s="52"/>
      <c r="K9" s="41"/>
      <c r="L9" s="52"/>
    </row>
    <row r="10" spans="2:12" x14ac:dyDescent="0.25">
      <c r="B10" s="41">
        <v>44053</v>
      </c>
      <c r="C10" s="52">
        <v>6600</v>
      </c>
      <c r="D10" s="52">
        <v>4600</v>
      </c>
      <c r="E10" s="41">
        <v>44064</v>
      </c>
      <c r="F10" s="52">
        <v>9000</v>
      </c>
      <c r="H10" s="41">
        <v>44086</v>
      </c>
      <c r="I10" s="52">
        <v>5000</v>
      </c>
      <c r="J10" s="52"/>
      <c r="K10" s="41"/>
      <c r="L10" s="52"/>
    </row>
    <row r="11" spans="2:12" x14ac:dyDescent="0.25">
      <c r="B11" s="41">
        <v>44055</v>
      </c>
      <c r="C11" s="52">
        <v>6000</v>
      </c>
      <c r="D11" s="52"/>
      <c r="E11" s="41"/>
      <c r="F11" s="52"/>
      <c r="H11" s="41">
        <v>44086</v>
      </c>
      <c r="I11" s="52">
        <v>2800</v>
      </c>
      <c r="J11" s="52"/>
      <c r="K11" s="41"/>
      <c r="L11" s="52"/>
    </row>
    <row r="12" spans="2:12" x14ac:dyDescent="0.25">
      <c r="B12" s="41">
        <v>44056</v>
      </c>
      <c r="C12" s="52">
        <v>3460</v>
      </c>
      <c r="D12" s="52">
        <v>3460</v>
      </c>
      <c r="E12" s="41"/>
      <c r="F12" s="52"/>
      <c r="H12" s="41">
        <v>44087</v>
      </c>
      <c r="I12" s="52">
        <v>2330</v>
      </c>
      <c r="J12" s="52"/>
      <c r="K12" s="41"/>
      <c r="L12" s="52"/>
    </row>
    <row r="13" spans="2:12" x14ac:dyDescent="0.25">
      <c r="B13" s="41">
        <v>44057</v>
      </c>
      <c r="C13" s="52">
        <v>1020</v>
      </c>
      <c r="D13" s="52"/>
      <c r="E13" s="41"/>
      <c r="F13" s="52"/>
      <c r="H13" s="41">
        <v>44088</v>
      </c>
      <c r="I13" s="52">
        <v>840</v>
      </c>
      <c r="J13" s="52"/>
      <c r="K13" s="41"/>
      <c r="L13" s="52"/>
    </row>
    <row r="14" spans="2:12" x14ac:dyDescent="0.25">
      <c r="B14" s="41">
        <v>44058</v>
      </c>
      <c r="C14" s="52">
        <v>4310</v>
      </c>
      <c r="D14" s="52"/>
      <c r="E14" s="41"/>
      <c r="F14" s="52"/>
      <c r="H14" s="41">
        <v>44090</v>
      </c>
      <c r="I14" s="52">
        <v>3600</v>
      </c>
      <c r="J14" s="52"/>
      <c r="K14" s="41"/>
      <c r="L14" s="52"/>
    </row>
    <row r="15" spans="2:12" x14ac:dyDescent="0.25">
      <c r="B15" s="41">
        <v>44060</v>
      </c>
      <c r="C15" s="52">
        <v>5100</v>
      </c>
      <c r="D15" s="52">
        <v>4000</v>
      </c>
      <c r="E15" s="41"/>
      <c r="F15" s="52"/>
      <c r="H15" s="41">
        <v>44090</v>
      </c>
      <c r="I15" s="52">
        <v>4000</v>
      </c>
      <c r="J15" s="52">
        <v>4000</v>
      </c>
      <c r="K15" s="41"/>
      <c r="L15" s="52"/>
    </row>
    <row r="16" spans="2:12" x14ac:dyDescent="0.25">
      <c r="B16" s="41">
        <v>44063</v>
      </c>
      <c r="C16" s="52">
        <v>4000</v>
      </c>
      <c r="D16" s="52"/>
      <c r="E16" s="41"/>
      <c r="F16" s="52"/>
      <c r="H16" s="41">
        <v>44091</v>
      </c>
      <c r="I16" s="52">
        <v>4400</v>
      </c>
      <c r="J16" s="52"/>
      <c r="K16" s="41"/>
      <c r="L16" s="52"/>
    </row>
    <row r="17" spans="2:12" x14ac:dyDescent="0.25">
      <c r="B17" s="41">
        <v>44064</v>
      </c>
      <c r="C17" s="52">
        <v>1000</v>
      </c>
      <c r="D17" s="52"/>
      <c r="E17" s="41"/>
      <c r="F17" s="52"/>
      <c r="H17" s="41">
        <v>44095</v>
      </c>
      <c r="I17" s="52">
        <v>5500</v>
      </c>
      <c r="J17" s="52">
        <v>3000</v>
      </c>
      <c r="K17" s="41"/>
      <c r="L17" s="52"/>
    </row>
    <row r="18" spans="2:12" x14ac:dyDescent="0.25">
      <c r="B18" s="41">
        <v>44068</v>
      </c>
      <c r="C18" s="52">
        <v>2000</v>
      </c>
      <c r="D18" s="52"/>
      <c r="E18" s="41"/>
      <c r="F18" s="52"/>
      <c r="H18" s="41">
        <v>44098</v>
      </c>
      <c r="I18" s="52">
        <v>2300</v>
      </c>
      <c r="J18" s="52"/>
      <c r="K18" s="41"/>
      <c r="L18" s="52"/>
    </row>
    <row r="19" spans="2:12" x14ac:dyDescent="0.25">
      <c r="B19" s="41">
        <v>44069</v>
      </c>
      <c r="C19" s="52">
        <v>170</v>
      </c>
      <c r="D19" s="52"/>
      <c r="E19" s="41"/>
      <c r="F19" s="52"/>
      <c r="H19" s="41">
        <v>44099</v>
      </c>
      <c r="I19" s="52">
        <v>1800</v>
      </c>
      <c r="J19" s="52"/>
      <c r="K19" s="41"/>
      <c r="L19" s="52"/>
    </row>
    <row r="20" spans="2:12" x14ac:dyDescent="0.25">
      <c r="B20" t="s">
        <v>13</v>
      </c>
      <c r="C20" s="52">
        <f>SUBTOTAL(109,Table25[MURUGAN])</f>
        <v>57790</v>
      </c>
      <c r="D20" s="52">
        <f>SUBTOTAL(109,Table25[SALARY])</f>
        <v>12060</v>
      </c>
      <c r="E20" t="s">
        <v>13</v>
      </c>
      <c r="F20" s="52">
        <f>SUBTOTAL(109,Table25[GOVINDHAN])</f>
        <v>30000</v>
      </c>
      <c r="H20" s="41">
        <v>44100</v>
      </c>
      <c r="I20" s="52">
        <v>2000</v>
      </c>
      <c r="J20" s="52"/>
      <c r="K20" s="41"/>
      <c r="L20" s="52"/>
    </row>
    <row r="21" spans="2:12" x14ac:dyDescent="0.25">
      <c r="H21" s="41"/>
      <c r="I21" s="52"/>
      <c r="J21" s="52"/>
      <c r="K21" s="41"/>
      <c r="L21" s="52"/>
    </row>
    <row r="22" spans="2:12" x14ac:dyDescent="0.25">
      <c r="H22" t="s">
        <v>14</v>
      </c>
      <c r="I22" s="52">
        <f>SUBTOTAL(109,Table2528[MURUGAN])</f>
        <v>68240</v>
      </c>
      <c r="J22" s="52">
        <f>SUBTOTAL(109,Table2528[SALARY])</f>
        <v>12750</v>
      </c>
      <c r="K22" t="s">
        <v>14</v>
      </c>
      <c r="L22" s="52">
        <f>SUBTOTAL(109,Table2528[GOVINDHAN])</f>
        <v>0</v>
      </c>
    </row>
    <row r="23" spans="2:12" x14ac:dyDescent="0.25">
      <c r="B23" s="82" t="s">
        <v>2326</v>
      </c>
      <c r="C23" s="83"/>
      <c r="D23" s="83"/>
      <c r="E23" s="84"/>
      <c r="H23" t="s">
        <v>2335</v>
      </c>
      <c r="I23" s="15">
        <v>750</v>
      </c>
      <c r="J23" s="61" t="s">
        <v>2400</v>
      </c>
    </row>
    <row r="24" spans="2:12" x14ac:dyDescent="0.25">
      <c r="B24" s="76" t="s">
        <v>2336</v>
      </c>
      <c r="C24" s="77"/>
      <c r="D24" s="87">
        <f>Table25[[#Totals],[MURUGAN]]</f>
        <v>57790</v>
      </c>
      <c r="E24" s="77"/>
    </row>
    <row r="25" spans="2:12" x14ac:dyDescent="0.25">
      <c r="B25" s="80" t="s">
        <v>2337</v>
      </c>
      <c r="C25" s="77"/>
      <c r="D25" s="81">
        <f>'Total Collection'!J26</f>
        <v>21930</v>
      </c>
      <c r="E25" s="77"/>
      <c r="H25" s="91" t="s">
        <v>2326</v>
      </c>
      <c r="I25" s="77"/>
      <c r="J25" s="77"/>
      <c r="K25" s="77"/>
    </row>
    <row r="26" spans="2:12" x14ac:dyDescent="0.25">
      <c r="B26" s="85" t="s">
        <v>18</v>
      </c>
      <c r="C26" s="77"/>
      <c r="D26" s="86">
        <f>(D24-D25)+(12000-Table25[[#Totals],[SALARY]])</f>
        <v>35800</v>
      </c>
      <c r="E26" s="77"/>
      <c r="H26" s="88" t="s">
        <v>2336</v>
      </c>
      <c r="I26" s="77"/>
      <c r="J26" s="89">
        <f>Table2528[[#Totals],[MURUGAN]]</f>
        <v>68240</v>
      </c>
      <c r="K26" s="77"/>
    </row>
    <row r="27" spans="2:12" x14ac:dyDescent="0.25">
      <c r="H27" s="88" t="s">
        <v>2337</v>
      </c>
      <c r="I27" s="77"/>
      <c r="J27" s="89">
        <f>'Total Collection'!K26</f>
        <v>68325</v>
      </c>
      <c r="K27" s="77"/>
    </row>
    <row r="28" spans="2:12" x14ac:dyDescent="0.25">
      <c r="B28" s="82" t="s">
        <v>2327</v>
      </c>
      <c r="C28" s="83"/>
      <c r="D28" s="83"/>
      <c r="E28" s="84"/>
      <c r="H28" s="88" t="s">
        <v>18</v>
      </c>
      <c r="I28" s="77"/>
      <c r="J28" s="89">
        <f>J26-J27-I23</f>
        <v>-835</v>
      </c>
      <c r="K28" s="77"/>
    </row>
    <row r="29" spans="2:12" x14ac:dyDescent="0.25">
      <c r="B29" s="76" t="s">
        <v>2336</v>
      </c>
      <c r="C29" s="77"/>
      <c r="D29" s="87">
        <f>Table25[[#Totals],[GOVINDHAN]]</f>
        <v>30000</v>
      </c>
      <c r="E29" s="77"/>
    </row>
    <row r="30" spans="2:12" x14ac:dyDescent="0.25">
      <c r="B30" s="80" t="s">
        <v>2337</v>
      </c>
      <c r="C30" s="77"/>
      <c r="D30" s="81">
        <f>'Total Collection'!J27</f>
        <v>32200</v>
      </c>
      <c r="E30" s="77"/>
      <c r="H30" s="91" t="s">
        <v>2327</v>
      </c>
      <c r="I30" s="77"/>
      <c r="J30" s="77"/>
      <c r="K30" s="77"/>
    </row>
    <row r="31" spans="2:12" x14ac:dyDescent="0.25">
      <c r="B31" s="85" t="s">
        <v>18</v>
      </c>
      <c r="C31" s="77"/>
      <c r="D31" s="86">
        <f>D29-D30</f>
        <v>-2200</v>
      </c>
      <c r="E31" s="77"/>
      <c r="H31" s="88" t="s">
        <v>2336</v>
      </c>
      <c r="I31" s="77"/>
      <c r="J31" s="89">
        <f>Table2528[[#Totals],[GOVINDHAN]]</f>
        <v>0</v>
      </c>
      <c r="K31" s="77"/>
    </row>
    <row r="32" spans="2:12" x14ac:dyDescent="0.25">
      <c r="H32" s="88" t="s">
        <v>2337</v>
      </c>
      <c r="I32" s="77"/>
      <c r="J32" s="89">
        <f>'Total Collection'!K27</f>
        <v>15160</v>
      </c>
      <c r="K32" s="77"/>
    </row>
    <row r="33" spans="2:11" x14ac:dyDescent="0.25">
      <c r="B33" s="82" t="s">
        <v>2325</v>
      </c>
      <c r="C33" s="83"/>
      <c r="D33" s="83"/>
      <c r="E33" s="84"/>
      <c r="H33" s="88" t="s">
        <v>18</v>
      </c>
      <c r="I33" s="77"/>
      <c r="J33" s="89">
        <f>J31-J32</f>
        <v>-15160</v>
      </c>
      <c r="K33" s="77"/>
    </row>
    <row r="34" spans="2:11" x14ac:dyDescent="0.25">
      <c r="B34" s="76" t="s">
        <v>2336</v>
      </c>
      <c r="C34" s="77"/>
      <c r="D34" s="78">
        <v>9680</v>
      </c>
      <c r="E34" s="79"/>
    </row>
    <row r="35" spans="2:11" ht="15.75" customHeight="1" x14ac:dyDescent="0.25">
      <c r="B35" s="80" t="s">
        <v>2337</v>
      </c>
      <c r="C35" s="77"/>
      <c r="D35" s="81">
        <f>'Total Collection'!J25</f>
        <v>10880</v>
      </c>
      <c r="E35" s="77"/>
    </row>
    <row r="36" spans="2:11" ht="18.75" customHeight="1" thickBot="1" x14ac:dyDescent="0.3"/>
    <row r="37" spans="2:11" ht="15.75" customHeight="1" thickTop="1" thickBot="1" x14ac:dyDescent="0.35">
      <c r="B37" s="72" t="s">
        <v>2338</v>
      </c>
      <c r="C37" s="73"/>
      <c r="D37" s="74">
        <f>D24+D29+D34</f>
        <v>97470</v>
      </c>
      <c r="E37" s="75"/>
    </row>
    <row r="38" spans="2:11" ht="15.75" customHeight="1" thickTop="1" x14ac:dyDescent="0.25"/>
  </sheetData>
  <mergeCells count="37">
    <mergeCell ref="B1:F1"/>
    <mergeCell ref="B24:C24"/>
    <mergeCell ref="B25:C25"/>
    <mergeCell ref="H33:I33"/>
    <mergeCell ref="J33:K33"/>
    <mergeCell ref="H28:I28"/>
    <mergeCell ref="J28:K28"/>
    <mergeCell ref="H30:K30"/>
    <mergeCell ref="H31:I31"/>
    <mergeCell ref="J31:K31"/>
    <mergeCell ref="H32:I32"/>
    <mergeCell ref="J32:K32"/>
    <mergeCell ref="H1:L1"/>
    <mergeCell ref="H25:K25"/>
    <mergeCell ref="H26:I26"/>
    <mergeCell ref="J26:K26"/>
    <mergeCell ref="H27:I27"/>
    <mergeCell ref="J27:K27"/>
    <mergeCell ref="B23:E23"/>
    <mergeCell ref="B30:C30"/>
    <mergeCell ref="D30:E30"/>
    <mergeCell ref="B26:C26"/>
    <mergeCell ref="D24:E24"/>
    <mergeCell ref="D25:E25"/>
    <mergeCell ref="D26:E26"/>
    <mergeCell ref="B33:E33"/>
    <mergeCell ref="B31:C31"/>
    <mergeCell ref="D31:E31"/>
    <mergeCell ref="B28:E28"/>
    <mergeCell ref="B29:C29"/>
    <mergeCell ref="D29:E29"/>
    <mergeCell ref="B37:C37"/>
    <mergeCell ref="D37:E37"/>
    <mergeCell ref="B34:C34"/>
    <mergeCell ref="D34:E34"/>
    <mergeCell ref="B35:C35"/>
    <mergeCell ref="D35:E35"/>
  </mergeCells>
  <conditionalFormatting sqref="B26:C26">
    <cfRule type="dataBar" priority="4">
      <dataBar>
        <cfvo type="min"/>
        <cfvo type="max"/>
        <color rgb="FF63C384"/>
      </dataBar>
    </cfRule>
  </conditionalFormatting>
  <conditionalFormatting sqref="B31:C31">
    <cfRule type="dataBar" priority="3">
      <dataBar>
        <cfvo type="min"/>
        <cfvo type="max"/>
        <color rgb="FF63C384"/>
      </dataBar>
    </cfRule>
  </conditionalFormatting>
  <conditionalFormatting sqref="H28:I28">
    <cfRule type="dataBar" priority="2">
      <dataBar>
        <cfvo type="min"/>
        <cfvo type="max"/>
        <color rgb="FF63C384"/>
      </dataBar>
    </cfRule>
  </conditionalFormatting>
  <conditionalFormatting sqref="H33:I33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D45"/>
  <sheetViews>
    <sheetView zoomScale="115" zoomScaleNormal="115" workbookViewId="0">
      <pane ySplit="1" topLeftCell="A2" activePane="bottomLeft" state="frozen"/>
      <selection activeCell="D19" sqref="D19"/>
      <selection pane="bottomLeft" activeCell="A11" sqref="A11"/>
    </sheetView>
  </sheetViews>
  <sheetFormatPr defaultRowHeight="15" x14ac:dyDescent="0.25"/>
  <cols>
    <col min="1" max="1" width="36" style="44" customWidth="1"/>
    <col min="2" max="2" width="29.28515625" style="44" customWidth="1"/>
    <col min="3" max="3" width="24.28515625" style="61" customWidth="1"/>
    <col min="4" max="4" width="28.140625" style="61" customWidth="1"/>
  </cols>
  <sheetData>
    <row r="1" spans="1:4" x14ac:dyDescent="0.25">
      <c r="A1" s="44" t="s">
        <v>2339</v>
      </c>
      <c r="B1" s="44" t="s">
        <v>2340</v>
      </c>
      <c r="C1" t="s">
        <v>2301</v>
      </c>
      <c r="D1" t="s">
        <v>19</v>
      </c>
    </row>
    <row r="2" spans="1:4" x14ac:dyDescent="0.25">
      <c r="A2" s="44" t="s">
        <v>296</v>
      </c>
      <c r="B2" s="44" t="s">
        <v>2341</v>
      </c>
      <c r="C2" t="s">
        <v>2342</v>
      </c>
    </row>
    <row r="3" spans="1:4" x14ac:dyDescent="0.25">
      <c r="A3" s="44" t="s">
        <v>825</v>
      </c>
      <c r="B3" s="44" t="s">
        <v>824</v>
      </c>
      <c r="D3" t="s">
        <v>2343</v>
      </c>
    </row>
    <row r="4" spans="1:4" x14ac:dyDescent="0.25">
      <c r="A4" s="44" t="s">
        <v>2344</v>
      </c>
      <c r="B4" s="44" t="s">
        <v>2344</v>
      </c>
      <c r="C4" s="44" t="s">
        <v>2344</v>
      </c>
      <c r="D4" s="44" t="s">
        <v>2344</v>
      </c>
    </row>
    <row r="5" spans="1:4" x14ac:dyDescent="0.25">
      <c r="A5" s="44" t="s">
        <v>625</v>
      </c>
      <c r="B5" s="44" t="s">
        <v>2345</v>
      </c>
    </row>
    <row r="6" spans="1:4" x14ac:dyDescent="0.25">
      <c r="A6" s="44" t="s">
        <v>975</v>
      </c>
      <c r="B6" s="44" t="s">
        <v>2346</v>
      </c>
    </row>
    <row r="7" spans="1:4" x14ac:dyDescent="0.25">
      <c r="A7" s="44" t="s">
        <v>977</v>
      </c>
      <c r="B7" s="44" t="s">
        <v>2346</v>
      </c>
    </row>
    <row r="8" spans="1:4" x14ac:dyDescent="0.25">
      <c r="A8" s="44" t="s">
        <v>1090</v>
      </c>
      <c r="B8" s="44" t="s">
        <v>2347</v>
      </c>
    </row>
    <row r="9" spans="1:4" x14ac:dyDescent="0.25">
      <c r="A9" s="44" t="s">
        <v>1087</v>
      </c>
      <c r="B9" s="44" t="s">
        <v>2345</v>
      </c>
    </row>
    <row r="10" spans="1:4" x14ac:dyDescent="0.25">
      <c r="A10" s="44" t="s">
        <v>740</v>
      </c>
      <c r="B10" s="44" t="s">
        <v>2348</v>
      </c>
    </row>
    <row r="11" spans="1:4" x14ac:dyDescent="0.25">
      <c r="A11" s="44" t="s">
        <v>547</v>
      </c>
      <c r="B11" s="44" t="s">
        <v>2349</v>
      </c>
      <c r="D11" t="s">
        <v>81</v>
      </c>
    </row>
    <row r="12" spans="1:4" x14ac:dyDescent="0.25">
      <c r="A12" s="44" t="s">
        <v>398</v>
      </c>
      <c r="B12" s="44" t="s">
        <v>2350</v>
      </c>
      <c r="D12" t="s">
        <v>81</v>
      </c>
    </row>
    <row r="13" spans="1:4" x14ac:dyDescent="0.25">
      <c r="A13" s="44" t="s">
        <v>395</v>
      </c>
      <c r="B13" s="44" t="s">
        <v>2351</v>
      </c>
    </row>
    <row r="14" spans="1:4" x14ac:dyDescent="0.25">
      <c r="A14" s="44" t="s">
        <v>1145</v>
      </c>
      <c r="B14" s="44" t="s">
        <v>2352</v>
      </c>
    </row>
    <row r="15" spans="1:4" x14ac:dyDescent="0.25">
      <c r="A15" s="44" t="s">
        <v>1515</v>
      </c>
      <c r="B15" s="44" t="s">
        <v>2353</v>
      </c>
    </row>
    <row r="16" spans="1:4" x14ac:dyDescent="0.25">
      <c r="A16" s="44" t="s">
        <v>486</v>
      </c>
      <c r="B16" s="44" t="s">
        <v>2354</v>
      </c>
      <c r="D16" t="s">
        <v>585</v>
      </c>
    </row>
    <row r="17" spans="1:4" x14ac:dyDescent="0.25">
      <c r="A17" s="44" t="s">
        <v>509</v>
      </c>
      <c r="B17" s="44" t="s">
        <v>2355</v>
      </c>
      <c r="D17" t="s">
        <v>585</v>
      </c>
    </row>
    <row r="18" spans="1:4" x14ac:dyDescent="0.25">
      <c r="A18" s="44" t="s">
        <v>583</v>
      </c>
      <c r="B18" s="44" t="s">
        <v>2356</v>
      </c>
      <c r="D18" t="s">
        <v>585</v>
      </c>
    </row>
    <row r="19" spans="1:4" x14ac:dyDescent="0.25">
      <c r="A19" s="44" t="s">
        <v>512</v>
      </c>
      <c r="B19" s="44" t="s">
        <v>2357</v>
      </c>
      <c r="D19" t="s">
        <v>585</v>
      </c>
    </row>
    <row r="20" spans="1:4" x14ac:dyDescent="0.25">
      <c r="A20" s="44" t="s">
        <v>524</v>
      </c>
      <c r="B20" s="44" t="s">
        <v>2358</v>
      </c>
    </row>
    <row r="21" spans="1:4" x14ac:dyDescent="0.25">
      <c r="A21" s="44" t="s">
        <v>541</v>
      </c>
      <c r="B21" s="44" t="s">
        <v>344</v>
      </c>
      <c r="D21">
        <v>2000</v>
      </c>
    </row>
    <row r="22" spans="1:4" x14ac:dyDescent="0.25">
      <c r="A22" s="44" t="s">
        <v>550</v>
      </c>
      <c r="B22" s="44" t="s">
        <v>2359</v>
      </c>
      <c r="D22" t="s">
        <v>2360</v>
      </c>
    </row>
    <row r="23" spans="1:4" x14ac:dyDescent="0.25">
      <c r="A23" s="44" t="s">
        <v>712</v>
      </c>
      <c r="B23" s="44" t="s">
        <v>2361</v>
      </c>
    </row>
    <row r="24" spans="1:4" x14ac:dyDescent="0.25">
      <c r="A24" s="44" t="s">
        <v>715</v>
      </c>
      <c r="B24" s="44" t="s">
        <v>2361</v>
      </c>
    </row>
    <row r="25" spans="1:4" x14ac:dyDescent="0.25">
      <c r="A25" s="44" t="s">
        <v>954</v>
      </c>
      <c r="B25" s="44" t="s">
        <v>2362</v>
      </c>
    </row>
    <row r="26" spans="1:4" x14ac:dyDescent="0.25">
      <c r="A26" s="44" t="s">
        <v>601</v>
      </c>
      <c r="B26" s="44" t="s">
        <v>66</v>
      </c>
      <c r="D26" t="s">
        <v>2363</v>
      </c>
    </row>
    <row r="27" spans="1:4" x14ac:dyDescent="0.25">
      <c r="A27" s="44" t="s">
        <v>907</v>
      </c>
      <c r="B27" s="44" t="s">
        <v>2364</v>
      </c>
      <c r="D27" t="s">
        <v>2363</v>
      </c>
    </row>
    <row r="28" spans="1:4" x14ac:dyDescent="0.25">
      <c r="A28" s="44" t="s">
        <v>609</v>
      </c>
      <c r="B28" s="44" t="s">
        <v>2365</v>
      </c>
      <c r="D28" t="s">
        <v>2363</v>
      </c>
    </row>
    <row r="29" spans="1:4" x14ac:dyDescent="0.25">
      <c r="A29" s="44" t="s">
        <v>859</v>
      </c>
      <c r="B29" s="44" t="s">
        <v>2366</v>
      </c>
      <c r="D29" t="s">
        <v>2363</v>
      </c>
    </row>
    <row r="30" spans="1:4" x14ac:dyDescent="0.25">
      <c r="A30" s="44" t="s">
        <v>877</v>
      </c>
      <c r="B30" s="44" t="s">
        <v>2367</v>
      </c>
      <c r="D30" t="s">
        <v>2363</v>
      </c>
    </row>
    <row r="31" spans="1:4" x14ac:dyDescent="0.25">
      <c r="A31" s="44" t="s">
        <v>2368</v>
      </c>
      <c r="B31" s="44" t="s">
        <v>2369</v>
      </c>
    </row>
    <row r="32" spans="1:4" x14ac:dyDescent="0.25">
      <c r="A32" s="44" t="s">
        <v>406</v>
      </c>
      <c r="B32" s="44" t="s">
        <v>2370</v>
      </c>
      <c r="D32" t="s">
        <v>81</v>
      </c>
    </row>
    <row r="33" spans="1:4" x14ac:dyDescent="0.25">
      <c r="A33" s="44" t="s">
        <v>506</v>
      </c>
      <c r="B33" s="44" t="s">
        <v>505</v>
      </c>
      <c r="C33" s="44" t="s">
        <v>2371</v>
      </c>
      <c r="D33" t="s">
        <v>321</v>
      </c>
    </row>
    <row r="34" spans="1:4" x14ac:dyDescent="0.25">
      <c r="A34" s="44" t="s">
        <v>293</v>
      </c>
      <c r="B34" s="44" t="s">
        <v>292</v>
      </c>
      <c r="C34" s="44"/>
      <c r="D34" t="s">
        <v>344</v>
      </c>
    </row>
    <row r="35" spans="1:4" x14ac:dyDescent="0.25">
      <c r="A35" s="44" t="s">
        <v>2372</v>
      </c>
      <c r="B35" s="44" t="s">
        <v>2373</v>
      </c>
      <c r="C35" s="44" t="s">
        <v>2374</v>
      </c>
      <c r="D35" t="s">
        <v>2375</v>
      </c>
    </row>
    <row r="36" spans="1:4" x14ac:dyDescent="0.25">
      <c r="A36" s="44" t="s">
        <v>462</v>
      </c>
      <c r="B36" s="44" t="s">
        <v>2376</v>
      </c>
      <c r="C36" s="44"/>
    </row>
    <row r="37" spans="1:4" x14ac:dyDescent="0.25">
      <c r="A37" s="44" t="s">
        <v>459</v>
      </c>
      <c r="B37" s="44" t="s">
        <v>2377</v>
      </c>
      <c r="C37" s="44"/>
    </row>
    <row r="38" spans="1:4" x14ac:dyDescent="0.25">
      <c r="A38" s="44" t="s">
        <v>2378</v>
      </c>
      <c r="B38" s="44" t="s">
        <v>2379</v>
      </c>
      <c r="C38" s="44"/>
    </row>
    <row r="39" spans="1:4" x14ac:dyDescent="0.25">
      <c r="A39" s="44" t="s">
        <v>1541</v>
      </c>
      <c r="C39" s="44"/>
      <c r="D39" t="s">
        <v>2380</v>
      </c>
    </row>
    <row r="44" spans="1:4" x14ac:dyDescent="0.25">
      <c r="A44" s="44" t="s">
        <v>2381</v>
      </c>
      <c r="C44" t="s">
        <v>2382</v>
      </c>
      <c r="D44" t="s">
        <v>2383</v>
      </c>
    </row>
    <row r="45" spans="1:4" x14ac:dyDescent="0.25">
      <c r="A45" s="44" t="s">
        <v>2384</v>
      </c>
      <c r="C45" t="s">
        <v>2385</v>
      </c>
      <c r="D45" t="s">
        <v>2386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Etteiyampatti</vt:lpstr>
      <vt:lpstr>Pudhur</vt:lpstr>
      <vt:lpstr>SankarK</vt:lpstr>
      <vt:lpstr>Kamaraj Nagar</vt:lpstr>
      <vt:lpstr>Muslim St</vt:lpstr>
      <vt:lpstr>GovtBox</vt:lpstr>
      <vt:lpstr>Total Collection</vt:lpstr>
      <vt:lpstr>Calculations</vt:lpstr>
      <vt:lpstr>MissingNumbers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2020-08-27T15:32:11Z</cp:lastPrinted>
  <dcterms:created xsi:type="dcterms:W3CDTF">2006-09-16T00:00:00Z</dcterms:created>
  <dcterms:modified xsi:type="dcterms:W3CDTF">2020-10-09T07:23:39Z</dcterms:modified>
</cp:coreProperties>
</file>