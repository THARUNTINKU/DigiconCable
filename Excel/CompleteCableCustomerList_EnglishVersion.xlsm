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ables/table7.xml" ContentType="application/vnd.openxmlformats-officedocument.spreadsheetml.table+xml"/>
  <Override PartName="/xl/comments7.xml" ContentType="application/vnd.openxmlformats-officedocument.spreadsheetml.comments+xml"/>
  <Override PartName="/xl/tables/table8.xml" ContentType="application/vnd.openxmlformats-officedocument.spreadsheetml.table+xml"/>
  <Override PartName="/xl/comments8.xml" ContentType="application/vnd.openxmlformats-officedocument.spreadsheetml.comments+xml"/>
  <Override PartName="/xl/tables/table9.xml" ContentType="application/vnd.openxmlformats-officedocument.spreadsheetml.table+xml"/>
  <Override PartName="/xl/comments9.xml" ContentType="application/vnd.openxmlformats-officedocument.spreadsheetml.comments+xml"/>
  <Override PartName="/xl/tables/table10.xml" ContentType="application/vnd.openxmlformats-officedocument.spreadsheetml.table+xml"/>
  <Override PartName="/xl/comments10.xml" ContentType="application/vnd.openxmlformats-officedocument.spreadsheetml.comments+xml"/>
  <Override PartName="/xl/tables/table11.xml" ContentType="application/vnd.openxmlformats-officedocument.spreadsheetml.table+xml"/>
  <Override PartName="/xl/comments11.xml" ContentType="application/vnd.openxmlformats-officedocument.spreadsheetml.comments+xml"/>
  <Override PartName="/xl/tables/table12.xml" ContentType="application/vnd.openxmlformats-officedocument.spreadsheetml.table+xml"/>
  <Override PartName="/xl/comments12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17.xml" ContentType="application/vnd.openxmlformats-officedocument.spreadsheetml.comments+xml"/>
  <Override PartName="/xl/tables/table20.xml" ContentType="application/vnd.openxmlformats-officedocument.spreadsheetml.table+xml"/>
  <Override PartName="/xl/comments18.xml" ContentType="application/vnd.openxmlformats-officedocument.spreadsheetml.comments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9.xml" ContentType="application/vnd.openxmlformats-officedocument.spreadsheetml.comments+xml"/>
  <Override PartName="/xl/tables/table23.xml" ContentType="application/vnd.openxmlformats-officedocument.spreadsheetml.table+xml"/>
  <Override PartName="/xl/comments20.xml" ContentType="application/vnd.openxmlformats-officedocument.spreadsheetml.comment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2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ersonal\GitHub\Digicon_Cable\CompleteLists\"/>
    </mc:Choice>
  </mc:AlternateContent>
  <xr:revisionPtr revIDLastSave="0" documentId="8_{1B147C4D-DC41-4AFC-861B-28853530639C}" xr6:coauthVersionLast="45" xr6:coauthVersionMax="45" xr10:uidLastSave="{00000000-0000-0000-0000-000000000000}"/>
  <bookViews>
    <workbookView xWindow="-120" yWindow="-120" windowWidth="20730" windowHeight="11160" tabRatio="561" firstSheet="3" activeTab="6" xr2:uid="{00000000-000D-0000-FFFF-FFFF00000000}"/>
  </bookViews>
  <sheets>
    <sheet name="Vallur-1" sheetId="1" r:id="rId1"/>
    <sheet name="Vallur-2" sheetId="2" r:id="rId2"/>
    <sheet name="Subramaniya_Siva" sheetId="3" r:id="rId3"/>
    <sheet name="Bharadhidhasan" sheetId="4" r:id="rId4"/>
    <sheet name="Poothu_Kovil" sheetId="5" r:id="rId5"/>
    <sheet name="Mannikam_Muthaliyar-I" sheetId="6" r:id="rId6"/>
    <sheet name="Mannikam_Muthaliyar-II" sheetId="7" r:id="rId7"/>
    <sheet name="Ramasami_Mudhaliyar" sheetId="8" r:id="rId8"/>
    <sheet name="PillaiyarKovil" sheetId="9" r:id="rId9"/>
    <sheet name="K.Mudhaliyar" sheetId="10" r:id="rId10"/>
    <sheet name="M.Mariamman" sheetId="11" r:id="rId11"/>
    <sheet name="A.Colony" sheetId="12" r:id="rId12"/>
    <sheet name="A.Colony-OLD" sheetId="13" state="hidden" r:id="rId13"/>
    <sheet name="Main Road" sheetId="14" r:id="rId14"/>
    <sheet name="Bharathipuram-1" sheetId="15" r:id="rId15"/>
    <sheet name="Bharathipuram-2" sheetId="16" r:id="rId16"/>
    <sheet name="Agali Theru" sheetId="17" r:id="rId17"/>
    <sheet name="Etteiyampatti" sheetId="18" r:id="rId18"/>
    <sheet name="Pudhur" sheetId="19" r:id="rId19"/>
    <sheet name="SankarK" sheetId="20" r:id="rId20"/>
    <sheet name="Kamaraj Nagar" sheetId="21" r:id="rId21"/>
    <sheet name="Muslim St" sheetId="22" r:id="rId22"/>
    <sheet name="GovtBox" sheetId="23" r:id="rId23"/>
    <sheet name="Govt_ActiveCheck" sheetId="24" r:id="rId24"/>
    <sheet name="Total Collection" sheetId="25" r:id="rId25"/>
    <sheet name="Balance Calculation" sheetId="26" r:id="rId2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11" l="1"/>
  <c r="C114" i="23" l="1" a="1"/>
  <c r="C114" i="23" s="1"/>
  <c r="C29" i="22" l="1"/>
  <c r="C43" i="9" l="1" a="1"/>
  <c r="C43" i="9" s="1"/>
  <c r="C75" i="1" a="1"/>
  <c r="C75" i="1" s="1"/>
  <c r="C31" i="16" a="1"/>
  <c r="C31" i="16" s="1"/>
  <c r="C44" i="12" a="1"/>
  <c r="C44" i="12" s="1"/>
  <c r="C59" i="4" l="1" a="1"/>
  <c r="C59" i="4" s="1"/>
  <c r="C68" i="3" a="1"/>
  <c r="C68" i="3" s="1"/>
  <c r="E35" i="26"/>
  <c r="B35" i="26"/>
  <c r="AJ25" i="26"/>
  <c r="AI25" i="26"/>
  <c r="AG25" i="26"/>
  <c r="AF25" i="26"/>
  <c r="AD25" i="26"/>
  <c r="AC25" i="26"/>
  <c r="AA25" i="26"/>
  <c r="Z25" i="26"/>
  <c r="X25" i="26"/>
  <c r="W25" i="26"/>
  <c r="U25" i="26"/>
  <c r="T25" i="26"/>
  <c r="R25" i="26"/>
  <c r="Q25" i="26"/>
  <c r="O25" i="26"/>
  <c r="N25" i="26"/>
  <c r="L25" i="26"/>
  <c r="K25" i="26"/>
  <c r="I25" i="26"/>
  <c r="H25" i="26"/>
  <c r="F25" i="26"/>
  <c r="E25" i="26"/>
  <c r="C25" i="26"/>
  <c r="B25" i="26"/>
  <c r="B23" i="26"/>
  <c r="B18" i="26"/>
  <c r="P23" i="25"/>
  <c r="O23" i="25" s="1"/>
  <c r="N23" i="25"/>
  <c r="N22" i="25"/>
  <c r="N21" i="25"/>
  <c r="I21" i="25"/>
  <c r="N20" i="25"/>
  <c r="N19" i="25"/>
  <c r="H19" i="25"/>
  <c r="S18" i="25"/>
  <c r="R18" i="25"/>
  <c r="N16" i="25"/>
  <c r="N15" i="25"/>
  <c r="N13" i="25"/>
  <c r="N12" i="25"/>
  <c r="N11" i="25"/>
  <c r="N10" i="25"/>
  <c r="N8" i="25"/>
  <c r="N7" i="25"/>
  <c r="N6" i="25"/>
  <c r="N5" i="25"/>
  <c r="N4" i="25"/>
  <c r="N3" i="25"/>
  <c r="T123" i="23"/>
  <c r="R123" i="23"/>
  <c r="M23" i="25" s="1"/>
  <c r="Q123" i="23"/>
  <c r="L23" i="25" s="1"/>
  <c r="P123" i="23"/>
  <c r="K23" i="25" s="1"/>
  <c r="O123" i="23"/>
  <c r="J23" i="25" s="1"/>
  <c r="N123" i="23"/>
  <c r="I23" i="25" s="1"/>
  <c r="M123" i="23"/>
  <c r="H23" i="25" s="1"/>
  <c r="L123" i="23"/>
  <c r="G23" i="25" s="1"/>
  <c r="K123" i="23"/>
  <c r="F23" i="25" s="1"/>
  <c r="J123" i="23"/>
  <c r="E23" i="25" s="1"/>
  <c r="I123" i="23"/>
  <c r="D23" i="25" s="1"/>
  <c r="H123" i="23"/>
  <c r="C23" i="25" s="1"/>
  <c r="G123" i="23"/>
  <c r="E123" i="23"/>
  <c r="D123" i="23"/>
  <c r="C122" i="23" a="1"/>
  <c r="C122" i="23" s="1"/>
  <c r="C121" i="23" a="1"/>
  <c r="C121" i="23" s="1"/>
  <c r="C120" i="23" a="1"/>
  <c r="C120" i="23" s="1"/>
  <c r="C119" i="23" a="1"/>
  <c r="C119" i="23" s="1"/>
  <c r="C118" i="23" a="1"/>
  <c r="C118" i="23" s="1"/>
  <c r="C117" i="23" a="1"/>
  <c r="C117" i="23" s="1"/>
  <c r="C116" i="23" a="1"/>
  <c r="C116" i="23" s="1"/>
  <c r="C115" i="23" a="1"/>
  <c r="C115" i="23" s="1"/>
  <c r="C113" i="23" a="1"/>
  <c r="C113" i="23" s="1"/>
  <c r="C112" i="23" a="1"/>
  <c r="C112" i="23" s="1"/>
  <c r="C111" i="23" a="1"/>
  <c r="C111" i="23" s="1"/>
  <c r="C110" i="23" a="1"/>
  <c r="C110" i="23" s="1"/>
  <c r="C109" i="23" a="1"/>
  <c r="C109" i="23" s="1"/>
  <c r="C108" i="23" a="1"/>
  <c r="C108" i="23" s="1"/>
  <c r="C107" i="23" a="1"/>
  <c r="C107" i="23" s="1"/>
  <c r="C106" i="23" a="1"/>
  <c r="C106" i="23" s="1"/>
  <c r="C105" i="23" a="1"/>
  <c r="C105" i="23" s="1"/>
  <c r="C104" i="23" a="1"/>
  <c r="C104" i="23" s="1"/>
  <c r="C103" i="23" a="1"/>
  <c r="C103" i="23" s="1"/>
  <c r="C102" i="23" a="1"/>
  <c r="C102" i="23" s="1"/>
  <c r="C101" i="23" a="1"/>
  <c r="C101" i="23" s="1"/>
  <c r="C100" i="23" a="1"/>
  <c r="C100" i="23" s="1"/>
  <c r="C99" i="23" a="1"/>
  <c r="C99" i="23" s="1"/>
  <c r="C98" i="23" a="1"/>
  <c r="C98" i="23" s="1"/>
  <c r="C97" i="23" a="1"/>
  <c r="C97" i="23" s="1"/>
  <c r="C96" i="23" a="1"/>
  <c r="C96" i="23" s="1"/>
  <c r="C95" i="23" a="1"/>
  <c r="C95" i="23" s="1"/>
  <c r="C94" i="23" a="1"/>
  <c r="C94" i="23" s="1"/>
  <c r="C93" i="23" a="1"/>
  <c r="C93" i="23" s="1"/>
  <c r="C92" i="23" a="1"/>
  <c r="C92" i="23" s="1"/>
  <c r="C91" i="23" a="1"/>
  <c r="C91" i="23" s="1"/>
  <c r="C90" i="23" a="1"/>
  <c r="C90" i="23" s="1"/>
  <c r="C89" i="23" a="1"/>
  <c r="C89" i="23" s="1"/>
  <c r="C88" i="23" a="1"/>
  <c r="C88" i="23" s="1"/>
  <c r="C87" i="23" a="1"/>
  <c r="C87" i="23" s="1"/>
  <c r="C86" i="23" a="1"/>
  <c r="C86" i="23" s="1"/>
  <c r="C85" i="23" a="1"/>
  <c r="C85" i="23" s="1"/>
  <c r="C84" i="23" a="1"/>
  <c r="C84" i="23" s="1"/>
  <c r="C83" i="23" a="1"/>
  <c r="C83" i="23" s="1"/>
  <c r="C82" i="23" a="1"/>
  <c r="C82" i="23" s="1"/>
  <c r="C81" i="23" a="1"/>
  <c r="C81" i="23" s="1"/>
  <c r="C80" i="23" a="1"/>
  <c r="C80" i="23" s="1"/>
  <c r="C79" i="23" a="1"/>
  <c r="C79" i="23" s="1"/>
  <c r="C78" i="23" a="1"/>
  <c r="C78" i="23" s="1"/>
  <c r="C77" i="23" a="1"/>
  <c r="C77" i="23" s="1"/>
  <c r="C76" i="23" a="1"/>
  <c r="C76" i="23" s="1"/>
  <c r="C75" i="23" a="1"/>
  <c r="C75" i="23" s="1"/>
  <c r="C74" i="23" a="1"/>
  <c r="C74" i="23" s="1"/>
  <c r="C73" i="23" a="1"/>
  <c r="C73" i="23" s="1"/>
  <c r="C72" i="23" a="1"/>
  <c r="C72" i="23" s="1"/>
  <c r="C71" i="23" a="1"/>
  <c r="C71" i="23" s="1"/>
  <c r="C70" i="23" a="1"/>
  <c r="C70" i="23" s="1"/>
  <c r="C69" i="23" a="1"/>
  <c r="C69" i="23" s="1"/>
  <c r="C68" i="23" a="1"/>
  <c r="C68" i="23" s="1"/>
  <c r="C67" i="23" a="1"/>
  <c r="C67" i="23" s="1"/>
  <c r="C66" i="23" a="1"/>
  <c r="C66" i="23" s="1"/>
  <c r="C65" i="23" a="1"/>
  <c r="C65" i="23" s="1"/>
  <c r="C64" i="23" a="1"/>
  <c r="C64" i="23" s="1"/>
  <c r="C63" i="23" a="1"/>
  <c r="C63" i="23" s="1"/>
  <c r="C62" i="23" a="1"/>
  <c r="C62" i="23" s="1"/>
  <c r="C61" i="23" a="1"/>
  <c r="C61" i="23" s="1"/>
  <c r="C60" i="23" a="1"/>
  <c r="C60" i="23" s="1"/>
  <c r="C59" i="23" a="1"/>
  <c r="C59" i="23" s="1"/>
  <c r="C58" i="23" a="1"/>
  <c r="C58" i="23" s="1"/>
  <c r="C57" i="23" a="1"/>
  <c r="C57" i="23" s="1"/>
  <c r="C56" i="23" a="1"/>
  <c r="C56" i="23" s="1"/>
  <c r="C55" i="23" a="1"/>
  <c r="C55" i="23" s="1"/>
  <c r="C54" i="23" a="1"/>
  <c r="C54" i="23" s="1"/>
  <c r="C53" i="23" a="1"/>
  <c r="C53" i="23" s="1"/>
  <c r="C52" i="23" a="1"/>
  <c r="C52" i="23" s="1"/>
  <c r="C51" i="23" a="1"/>
  <c r="C51" i="23" s="1"/>
  <c r="C50" i="23" a="1"/>
  <c r="C50" i="23" s="1"/>
  <c r="C49" i="23" a="1"/>
  <c r="C49" i="23" s="1"/>
  <c r="C48" i="23" a="1"/>
  <c r="C48" i="23" s="1"/>
  <c r="C47" i="23" a="1"/>
  <c r="C47" i="23" s="1"/>
  <c r="C46" i="23" a="1"/>
  <c r="C46" i="23" s="1"/>
  <c r="C45" i="23" a="1"/>
  <c r="C45" i="23" s="1"/>
  <c r="C44" i="23" a="1"/>
  <c r="C44" i="23" s="1"/>
  <c r="C43" i="23" a="1"/>
  <c r="C43" i="23" s="1"/>
  <c r="C42" i="23" a="1"/>
  <c r="C42" i="23" s="1"/>
  <c r="C41" i="23" a="1"/>
  <c r="C41" i="23" s="1"/>
  <c r="C40" i="23" a="1"/>
  <c r="C40" i="23" s="1"/>
  <c r="C39" i="23" a="1"/>
  <c r="C39" i="23" s="1"/>
  <c r="C38" i="23" a="1"/>
  <c r="C38" i="23" s="1"/>
  <c r="C37" i="23" a="1"/>
  <c r="C37" i="23" s="1"/>
  <c r="C36" i="23" a="1"/>
  <c r="C36" i="23" s="1"/>
  <c r="C35" i="23" a="1"/>
  <c r="C35" i="23" s="1"/>
  <c r="C34" i="23" a="1"/>
  <c r="C34" i="23" s="1"/>
  <c r="C33" i="23" a="1"/>
  <c r="C33" i="23" s="1"/>
  <c r="C32" i="23" a="1"/>
  <c r="C32" i="23" s="1"/>
  <c r="C31" i="23" a="1"/>
  <c r="C31" i="23" s="1"/>
  <c r="C30" i="23" a="1"/>
  <c r="C30" i="23" s="1"/>
  <c r="C29" i="23" a="1"/>
  <c r="C29" i="23" s="1"/>
  <c r="C28" i="23" a="1"/>
  <c r="C28" i="23" s="1"/>
  <c r="C27" i="23" a="1"/>
  <c r="C27" i="23" s="1"/>
  <c r="C26" i="23" a="1"/>
  <c r="C26" i="23" s="1"/>
  <c r="C25" i="23" a="1"/>
  <c r="C25" i="23" s="1"/>
  <c r="C24" i="23" a="1"/>
  <c r="C24" i="23" s="1"/>
  <c r="C23" i="23" a="1"/>
  <c r="C23" i="23" s="1"/>
  <c r="C22" i="23" a="1"/>
  <c r="C22" i="23" s="1"/>
  <c r="C21" i="23" a="1"/>
  <c r="C21" i="23" s="1"/>
  <c r="C20" i="23" a="1"/>
  <c r="C20" i="23" s="1"/>
  <c r="C19" i="23" a="1"/>
  <c r="C19" i="23" s="1"/>
  <c r="C18" i="23" a="1"/>
  <c r="C18" i="23" s="1"/>
  <c r="C17" i="23" a="1"/>
  <c r="C17" i="23" s="1"/>
  <c r="C16" i="23" a="1"/>
  <c r="C16" i="23" s="1"/>
  <c r="C15" i="23" a="1"/>
  <c r="C15" i="23" s="1"/>
  <c r="C14" i="23" a="1"/>
  <c r="C14" i="23" s="1"/>
  <c r="C13" i="23" a="1"/>
  <c r="C13" i="23" s="1"/>
  <c r="C12" i="23" a="1"/>
  <c r="C12" i="23" s="1"/>
  <c r="C11" i="23" a="1"/>
  <c r="C11" i="23" s="1"/>
  <c r="C10" i="23" a="1"/>
  <c r="C10" i="23" s="1"/>
  <c r="C9" i="23" a="1"/>
  <c r="C9" i="23" s="1"/>
  <c r="C8" i="23" a="1"/>
  <c r="C8" i="23" s="1"/>
  <c r="C7" i="23" a="1"/>
  <c r="C7" i="23" s="1"/>
  <c r="C6" i="23" a="1"/>
  <c r="C6" i="23" s="1"/>
  <c r="C5" i="23" a="1"/>
  <c r="C5" i="23" s="1"/>
  <c r="C4" i="23" a="1"/>
  <c r="C4" i="23" s="1"/>
  <c r="C3" i="23" a="1"/>
  <c r="C3" i="23" s="1"/>
  <c r="C2" i="23" a="1"/>
  <c r="C2" i="23" s="1"/>
  <c r="U27" i="22"/>
  <c r="S27" i="22"/>
  <c r="M22" i="25" s="1"/>
  <c r="R27" i="22"/>
  <c r="L22" i="25" s="1"/>
  <c r="Q27" i="22"/>
  <c r="K22" i="25" s="1"/>
  <c r="P27" i="22"/>
  <c r="J22" i="25" s="1"/>
  <c r="O27" i="22"/>
  <c r="I22" i="25" s="1"/>
  <c r="N27" i="22"/>
  <c r="H22" i="25" s="1"/>
  <c r="M27" i="22"/>
  <c r="G22" i="25" s="1"/>
  <c r="L27" i="22"/>
  <c r="F22" i="25" s="1"/>
  <c r="K27" i="22"/>
  <c r="E22" i="25" s="1"/>
  <c r="J27" i="22"/>
  <c r="D22" i="25" s="1"/>
  <c r="I27" i="22"/>
  <c r="C22" i="25" s="1"/>
  <c r="H27" i="22"/>
  <c r="F27" i="22"/>
  <c r="E27" i="22"/>
  <c r="D27" i="22"/>
  <c r="P22" i="25" s="1"/>
  <c r="C25" i="22" a="1"/>
  <c r="C25" i="22" s="1"/>
  <c r="C24" i="22" a="1"/>
  <c r="C24" i="22" s="1"/>
  <c r="C23" i="22" a="1"/>
  <c r="C23" i="22" s="1"/>
  <c r="C22" i="22" a="1"/>
  <c r="C22" i="22" s="1"/>
  <c r="C21" i="22" a="1"/>
  <c r="C21" i="22" s="1"/>
  <c r="C20" i="22" a="1"/>
  <c r="C20" i="22" s="1"/>
  <c r="C19" i="22" a="1"/>
  <c r="C19" i="22" s="1"/>
  <c r="C18" i="22" a="1"/>
  <c r="C18" i="22" s="1"/>
  <c r="C17" i="22" a="1"/>
  <c r="C17" i="22" s="1"/>
  <c r="C16" i="22" a="1"/>
  <c r="C16" i="22" s="1"/>
  <c r="C15" i="22" a="1"/>
  <c r="C15" i="22" s="1"/>
  <c r="C14" i="22" a="1"/>
  <c r="C14" i="22" s="1"/>
  <c r="C13" i="22" a="1"/>
  <c r="C13" i="22" s="1"/>
  <c r="C12" i="22" a="1"/>
  <c r="C12" i="22" s="1"/>
  <c r="C11" i="22" a="1"/>
  <c r="C11" i="22" s="1"/>
  <c r="C10" i="22" a="1"/>
  <c r="C10" i="22" s="1"/>
  <c r="C9" i="22" a="1"/>
  <c r="C9" i="22" s="1"/>
  <c r="C8" i="22" a="1"/>
  <c r="C8" i="22" s="1"/>
  <c r="C7" i="22" a="1"/>
  <c r="C7" i="22" s="1"/>
  <c r="C6" i="22" a="1"/>
  <c r="C6" i="22" s="1"/>
  <c r="C5" i="22" a="1"/>
  <c r="C5" i="22" s="1"/>
  <c r="C4" i="22" a="1"/>
  <c r="C4" i="22" s="1"/>
  <c r="C3" i="22" a="1"/>
  <c r="C3" i="22" s="1"/>
  <c r="C2" i="22" a="1"/>
  <c r="C2" i="22" s="1"/>
  <c r="U34" i="21"/>
  <c r="S34" i="21"/>
  <c r="M21" i="25" s="1"/>
  <c r="R34" i="21"/>
  <c r="L21" i="25" s="1"/>
  <c r="Q34" i="21"/>
  <c r="K21" i="25" s="1"/>
  <c r="P34" i="21"/>
  <c r="J21" i="25" s="1"/>
  <c r="O34" i="21"/>
  <c r="N34" i="21"/>
  <c r="H21" i="25" s="1"/>
  <c r="M34" i="21"/>
  <c r="G21" i="25" s="1"/>
  <c r="L34" i="21"/>
  <c r="F21" i="25" s="1"/>
  <c r="K34" i="21"/>
  <c r="E21" i="25" s="1"/>
  <c r="J34" i="21"/>
  <c r="D21" i="25" s="1"/>
  <c r="I34" i="21"/>
  <c r="C21" i="25" s="1"/>
  <c r="H34" i="21"/>
  <c r="F34" i="21"/>
  <c r="E34" i="21"/>
  <c r="D34" i="21"/>
  <c r="P21" i="25" s="1"/>
  <c r="C33" i="21" a="1"/>
  <c r="C33" i="21" s="1"/>
  <c r="C32" i="21" a="1"/>
  <c r="C32" i="21" s="1"/>
  <c r="C31" i="21" a="1"/>
  <c r="C31" i="21" s="1"/>
  <c r="C30" i="21" a="1"/>
  <c r="C30" i="21"/>
  <c r="C29" i="21" a="1"/>
  <c r="C29" i="21" s="1"/>
  <c r="C28" i="21" a="1"/>
  <c r="C28" i="21" s="1"/>
  <c r="C27" i="21" a="1"/>
  <c r="C27" i="21" s="1"/>
  <c r="C26" i="21" a="1"/>
  <c r="C26" i="21" s="1"/>
  <c r="C25" i="21" a="1"/>
  <c r="C25" i="21" s="1"/>
  <c r="C24" i="21" a="1"/>
  <c r="C24" i="21" s="1"/>
  <c r="C23" i="21" a="1"/>
  <c r="C23" i="21"/>
  <c r="C22" i="21" a="1"/>
  <c r="C22" i="21" s="1"/>
  <c r="C21" i="21" a="1"/>
  <c r="C21" i="21" s="1"/>
  <c r="C20" i="21" a="1"/>
  <c r="C20" i="21" s="1"/>
  <c r="C19" i="21" a="1"/>
  <c r="C19" i="21" s="1"/>
  <c r="C18" i="21" a="1"/>
  <c r="C18" i="21" s="1"/>
  <c r="C17" i="21" a="1"/>
  <c r="C17" i="21" s="1"/>
  <c r="C16" i="21" a="1"/>
  <c r="C16" i="21" s="1"/>
  <c r="C15" i="21" a="1"/>
  <c r="C15" i="21"/>
  <c r="C14" i="21" a="1"/>
  <c r="C14" i="21" s="1"/>
  <c r="C13" i="21" a="1"/>
  <c r="C13" i="21" s="1"/>
  <c r="C12" i="21" a="1"/>
  <c r="C12" i="21" s="1"/>
  <c r="C11" i="21" a="1"/>
  <c r="C11" i="21"/>
  <c r="C10" i="21" a="1"/>
  <c r="C10" i="21" s="1"/>
  <c r="C9" i="21" a="1"/>
  <c r="C9" i="21" s="1"/>
  <c r="C8" i="21" a="1"/>
  <c r="C8" i="21" s="1"/>
  <c r="C7" i="21" a="1"/>
  <c r="C7" i="21"/>
  <c r="C6" i="21" a="1"/>
  <c r="C6" i="21" s="1"/>
  <c r="C5" i="21" a="1"/>
  <c r="C5" i="21" s="1"/>
  <c r="C4" i="21" a="1"/>
  <c r="C4" i="21" s="1"/>
  <c r="C3" i="21" a="1"/>
  <c r="C3" i="21" s="1"/>
  <c r="C37" i="21" s="1"/>
  <c r="R21" i="25" s="1"/>
  <c r="C2" i="21" a="1"/>
  <c r="C2" i="21" s="1"/>
  <c r="U10" i="20"/>
  <c r="S10" i="20"/>
  <c r="M20" i="25" s="1"/>
  <c r="R10" i="20"/>
  <c r="L20" i="25" s="1"/>
  <c r="Q10" i="20"/>
  <c r="K20" i="25" s="1"/>
  <c r="P10" i="20"/>
  <c r="J20" i="25" s="1"/>
  <c r="O10" i="20"/>
  <c r="I20" i="25" s="1"/>
  <c r="N10" i="20"/>
  <c r="H20" i="25" s="1"/>
  <c r="M10" i="20"/>
  <c r="G20" i="25" s="1"/>
  <c r="L10" i="20"/>
  <c r="F20" i="25" s="1"/>
  <c r="K10" i="20"/>
  <c r="E20" i="25" s="1"/>
  <c r="J10" i="20"/>
  <c r="D20" i="25" s="1"/>
  <c r="I10" i="20"/>
  <c r="C20" i="25" s="1"/>
  <c r="H10" i="20"/>
  <c r="F10" i="20"/>
  <c r="E10" i="20"/>
  <c r="D10" i="20"/>
  <c r="P20" i="25" s="1"/>
  <c r="C9" i="20" a="1"/>
  <c r="C9" i="20" s="1"/>
  <c r="C8" i="20" a="1"/>
  <c r="C8" i="20" s="1"/>
  <c r="C7" i="20" a="1"/>
  <c r="C7" i="20" s="1"/>
  <c r="C6" i="20" a="1"/>
  <c r="C6" i="20"/>
  <c r="C5" i="20" a="1"/>
  <c r="C5" i="20" s="1"/>
  <c r="C4" i="20" a="1"/>
  <c r="C4" i="20" s="1"/>
  <c r="C3" i="20" a="1"/>
  <c r="C3" i="20"/>
  <c r="C2" i="20" a="1"/>
  <c r="C2" i="20"/>
  <c r="U28" i="19"/>
  <c r="S28" i="19"/>
  <c r="M19" i="25" s="1"/>
  <c r="R28" i="19"/>
  <c r="L19" i="25" s="1"/>
  <c r="Q28" i="19"/>
  <c r="K19" i="25" s="1"/>
  <c r="P28" i="19"/>
  <c r="J19" i="25" s="1"/>
  <c r="O28" i="19"/>
  <c r="I19" i="25" s="1"/>
  <c r="N28" i="19"/>
  <c r="M28" i="19"/>
  <c r="G19" i="25" s="1"/>
  <c r="L28" i="19"/>
  <c r="F19" i="25" s="1"/>
  <c r="K28" i="19"/>
  <c r="E19" i="25" s="1"/>
  <c r="J28" i="19"/>
  <c r="D19" i="25" s="1"/>
  <c r="I28" i="19"/>
  <c r="C19" i="25" s="1"/>
  <c r="H28" i="19"/>
  <c r="F28" i="19"/>
  <c r="E28" i="19"/>
  <c r="D28" i="19"/>
  <c r="P19" i="25" s="1"/>
  <c r="C27" i="19" a="1"/>
  <c r="C27" i="19" s="1"/>
  <c r="C26" i="19" a="1"/>
  <c r="C26" i="19"/>
  <c r="C25" i="19" a="1"/>
  <c r="C25" i="19" s="1"/>
  <c r="C24" i="19" a="1"/>
  <c r="C24" i="19" s="1"/>
  <c r="C23" i="19" a="1"/>
  <c r="C23" i="19" s="1"/>
  <c r="C22" i="19" a="1"/>
  <c r="C22" i="19"/>
  <c r="C21" i="19" a="1"/>
  <c r="C21" i="19" s="1"/>
  <c r="C20" i="19" a="1"/>
  <c r="C20" i="19" s="1"/>
  <c r="C19" i="19" a="1"/>
  <c r="C19" i="19" s="1"/>
  <c r="C18" i="19" a="1"/>
  <c r="C18" i="19"/>
  <c r="C17" i="19" a="1"/>
  <c r="C17" i="19" s="1"/>
  <c r="C16" i="19" a="1"/>
  <c r="C16" i="19" s="1"/>
  <c r="C15" i="19" a="1"/>
  <c r="C15" i="19" s="1"/>
  <c r="C14" i="19" a="1"/>
  <c r="C14" i="19"/>
  <c r="C13" i="19" a="1"/>
  <c r="C13" i="19" s="1"/>
  <c r="C12" i="19" a="1"/>
  <c r="C12" i="19" s="1"/>
  <c r="C11" i="19" a="1"/>
  <c r="C11" i="19" s="1"/>
  <c r="C10" i="19" a="1"/>
  <c r="C10" i="19"/>
  <c r="C9" i="19" a="1"/>
  <c r="C9" i="19" s="1"/>
  <c r="C8" i="19" a="1"/>
  <c r="C8" i="19" s="1"/>
  <c r="C7" i="19" a="1"/>
  <c r="C7" i="19" s="1"/>
  <c r="C6" i="19" a="1"/>
  <c r="C6" i="19"/>
  <c r="C5" i="19" a="1"/>
  <c r="C5" i="19" s="1"/>
  <c r="C4" i="19" a="1"/>
  <c r="C4" i="19" s="1"/>
  <c r="C3" i="19" a="1"/>
  <c r="C3" i="19" s="1"/>
  <c r="C2" i="19" a="1"/>
  <c r="C2" i="19"/>
  <c r="C14" i="18"/>
  <c r="Q18" i="25" s="1"/>
  <c r="U18" i="25" s="1"/>
  <c r="O18" i="25" s="1"/>
  <c r="F12" i="18"/>
  <c r="E12" i="18"/>
  <c r="D12" i="18"/>
  <c r="P18" i="25" s="1"/>
  <c r="H13" i="17"/>
  <c r="T13" i="17"/>
  <c r="N17" i="25" s="1"/>
  <c r="S13" i="17"/>
  <c r="M17" i="25" s="1"/>
  <c r="R13" i="17"/>
  <c r="L17" i="25" s="1"/>
  <c r="Q13" i="17"/>
  <c r="K17" i="25" s="1"/>
  <c r="P13" i="17"/>
  <c r="J17" i="25" s="1"/>
  <c r="O13" i="17"/>
  <c r="I17" i="25" s="1"/>
  <c r="N13" i="17"/>
  <c r="H17" i="25" s="1"/>
  <c r="M13" i="17"/>
  <c r="G17" i="25" s="1"/>
  <c r="L13" i="17"/>
  <c r="F17" i="25" s="1"/>
  <c r="K13" i="17"/>
  <c r="E17" i="25" s="1"/>
  <c r="J13" i="17"/>
  <c r="D17" i="25" s="1"/>
  <c r="I13" i="17"/>
  <c r="C17" i="25" s="1"/>
  <c r="F13" i="17"/>
  <c r="E13" i="17"/>
  <c r="D13" i="17"/>
  <c r="P17" i="25" s="1"/>
  <c r="C12" i="17" a="1"/>
  <c r="C12" i="17" s="1"/>
  <c r="C11" i="17" a="1"/>
  <c r="C11" i="17" s="1"/>
  <c r="C10" i="17" a="1"/>
  <c r="C10" i="17" s="1"/>
  <c r="C9" i="17" a="1"/>
  <c r="C9" i="17" s="1"/>
  <c r="C8" i="17" a="1"/>
  <c r="C8" i="17" s="1"/>
  <c r="C7" i="17" a="1"/>
  <c r="C7" i="17" s="1"/>
  <c r="C6" i="17" a="1"/>
  <c r="C6" i="17"/>
  <c r="C5" i="17" a="1"/>
  <c r="C5" i="17" s="1"/>
  <c r="C4" i="17" a="1"/>
  <c r="C4" i="17" s="1"/>
  <c r="C3" i="17" a="1"/>
  <c r="C3" i="17" s="1"/>
  <c r="C2" i="17" a="1"/>
  <c r="C2" i="17" s="1"/>
  <c r="I32" i="16"/>
  <c r="T32" i="16"/>
  <c r="M16" i="25" s="1"/>
  <c r="S32" i="16"/>
  <c r="L16" i="25" s="1"/>
  <c r="R32" i="16"/>
  <c r="K16" i="25" s="1"/>
  <c r="Q32" i="16"/>
  <c r="J16" i="25" s="1"/>
  <c r="P32" i="16"/>
  <c r="I16" i="25" s="1"/>
  <c r="O32" i="16"/>
  <c r="H16" i="25" s="1"/>
  <c r="N32" i="16"/>
  <c r="G16" i="25" s="1"/>
  <c r="M32" i="16"/>
  <c r="F16" i="25" s="1"/>
  <c r="L32" i="16"/>
  <c r="E16" i="25" s="1"/>
  <c r="K32" i="16"/>
  <c r="D16" i="25" s="1"/>
  <c r="J32" i="16"/>
  <c r="C16" i="25" s="1"/>
  <c r="H32" i="16"/>
  <c r="F32" i="16"/>
  <c r="E32" i="16"/>
  <c r="D32" i="16"/>
  <c r="P16" i="25" s="1"/>
  <c r="C30" i="16" a="1"/>
  <c r="C30" i="16" s="1"/>
  <c r="C29" i="16" a="1"/>
  <c r="C29" i="16" s="1"/>
  <c r="C28" i="16" a="1"/>
  <c r="C28" i="16" s="1"/>
  <c r="C27" i="16" a="1"/>
  <c r="C27" i="16" s="1"/>
  <c r="C26" i="16" a="1"/>
  <c r="C26" i="16" s="1"/>
  <c r="C25" i="16" a="1"/>
  <c r="C25" i="16" s="1"/>
  <c r="C24" i="16" a="1"/>
  <c r="C24" i="16" s="1"/>
  <c r="C23" i="16" a="1"/>
  <c r="C23" i="16" s="1"/>
  <c r="C22" i="16" a="1"/>
  <c r="C22" i="16" s="1"/>
  <c r="C21" i="16" a="1"/>
  <c r="C21" i="16" s="1"/>
  <c r="C20" i="16" a="1"/>
  <c r="C20" i="16" s="1"/>
  <c r="C19" i="16" a="1"/>
  <c r="C19" i="16" s="1"/>
  <c r="C18" i="16" a="1"/>
  <c r="C18" i="16" s="1"/>
  <c r="C17" i="16" a="1"/>
  <c r="C17" i="16" s="1"/>
  <c r="C16" i="16" a="1"/>
  <c r="C16" i="16" s="1"/>
  <c r="C15" i="16" a="1"/>
  <c r="C15" i="16" s="1"/>
  <c r="C14" i="16" a="1"/>
  <c r="C14" i="16" s="1"/>
  <c r="C13" i="16" a="1"/>
  <c r="C13" i="16" s="1"/>
  <c r="C12" i="16" a="1"/>
  <c r="C12" i="16" s="1"/>
  <c r="C11" i="16" a="1"/>
  <c r="C11" i="16" s="1"/>
  <c r="C10" i="16" a="1"/>
  <c r="C10" i="16" s="1"/>
  <c r="C9" i="16" a="1"/>
  <c r="C9" i="16" s="1"/>
  <c r="C8" i="16" a="1"/>
  <c r="C8" i="16" s="1"/>
  <c r="C7" i="16" a="1"/>
  <c r="C7" i="16" s="1"/>
  <c r="C6" i="16" a="1"/>
  <c r="C6" i="16" s="1"/>
  <c r="C5" i="16" a="1"/>
  <c r="C5" i="16" s="1"/>
  <c r="C4" i="16" a="1"/>
  <c r="C4" i="16" s="1"/>
  <c r="C3" i="16" a="1"/>
  <c r="C3" i="16" s="1"/>
  <c r="C2" i="16" a="1"/>
  <c r="C2" i="16" s="1"/>
  <c r="I30" i="15"/>
  <c r="T30" i="15"/>
  <c r="M15" i="25" s="1"/>
  <c r="S30" i="15"/>
  <c r="L15" i="25" s="1"/>
  <c r="R30" i="15"/>
  <c r="K15" i="25" s="1"/>
  <c r="Q30" i="15"/>
  <c r="J15" i="25" s="1"/>
  <c r="P30" i="15"/>
  <c r="I15" i="25" s="1"/>
  <c r="O30" i="15"/>
  <c r="H15" i="25" s="1"/>
  <c r="N30" i="15"/>
  <c r="G15" i="25" s="1"/>
  <c r="M30" i="15"/>
  <c r="F15" i="25" s="1"/>
  <c r="L30" i="15"/>
  <c r="E15" i="25" s="1"/>
  <c r="K30" i="15"/>
  <c r="D15" i="25" s="1"/>
  <c r="J30" i="15"/>
  <c r="C15" i="25" s="1"/>
  <c r="H30" i="15"/>
  <c r="F30" i="15"/>
  <c r="E30" i="15"/>
  <c r="D30" i="15"/>
  <c r="P15" i="25" s="1"/>
  <c r="C29" i="15" a="1"/>
  <c r="C29" i="15" s="1"/>
  <c r="C28" i="15" a="1"/>
  <c r="C28" i="15" s="1"/>
  <c r="C27" i="15" a="1"/>
  <c r="C27" i="15" s="1"/>
  <c r="C26" i="15" a="1"/>
  <c r="C26" i="15" s="1"/>
  <c r="C25" i="15" a="1"/>
  <c r="C25" i="15" s="1"/>
  <c r="C24" i="15" a="1"/>
  <c r="C24" i="15" s="1"/>
  <c r="C23" i="15" a="1"/>
  <c r="C23" i="15" s="1"/>
  <c r="C22" i="15" a="1"/>
  <c r="C22" i="15" s="1"/>
  <c r="C21" i="15" a="1"/>
  <c r="C21" i="15" s="1"/>
  <c r="C20" i="15" a="1"/>
  <c r="C20" i="15" s="1"/>
  <c r="C19" i="15" a="1"/>
  <c r="C19" i="15" s="1"/>
  <c r="C18" i="15" a="1"/>
  <c r="C18" i="15" s="1"/>
  <c r="C17" i="15" a="1"/>
  <c r="C17" i="15" s="1"/>
  <c r="C16" i="15" a="1"/>
  <c r="C16" i="15" s="1"/>
  <c r="C15" i="15" a="1"/>
  <c r="C15" i="15" s="1"/>
  <c r="C14" i="15" a="1"/>
  <c r="C14" i="15" s="1"/>
  <c r="C13" i="15" a="1"/>
  <c r="C13" i="15" s="1"/>
  <c r="C12" i="15" a="1"/>
  <c r="C12" i="15" s="1"/>
  <c r="C11" i="15" a="1"/>
  <c r="C11" i="15" s="1"/>
  <c r="C10" i="15" a="1"/>
  <c r="C10" i="15" s="1"/>
  <c r="C9" i="15" a="1"/>
  <c r="C9" i="15" s="1"/>
  <c r="C8" i="15" a="1"/>
  <c r="C8" i="15" s="1"/>
  <c r="C7" i="15" a="1"/>
  <c r="C7" i="15" s="1"/>
  <c r="C6" i="15" a="1"/>
  <c r="C6" i="15" s="1"/>
  <c r="C5" i="15" a="1"/>
  <c r="C5" i="15" s="1"/>
  <c r="C3" i="15" a="1"/>
  <c r="C3" i="15" s="1"/>
  <c r="C2" i="15" a="1"/>
  <c r="C2" i="15" s="1"/>
  <c r="I41" i="14"/>
  <c r="U41" i="14"/>
  <c r="N14" i="25" s="1"/>
  <c r="T41" i="14"/>
  <c r="M14" i="25" s="1"/>
  <c r="S41" i="14"/>
  <c r="L14" i="25" s="1"/>
  <c r="R41" i="14"/>
  <c r="K14" i="25" s="1"/>
  <c r="Q41" i="14"/>
  <c r="J14" i="25" s="1"/>
  <c r="P41" i="14"/>
  <c r="I14" i="25" s="1"/>
  <c r="O41" i="14"/>
  <c r="H14" i="25" s="1"/>
  <c r="N41" i="14"/>
  <c r="G14" i="25" s="1"/>
  <c r="M41" i="14"/>
  <c r="F14" i="25" s="1"/>
  <c r="L41" i="14"/>
  <c r="E14" i="25" s="1"/>
  <c r="K41" i="14"/>
  <c r="D14" i="25" s="1"/>
  <c r="J41" i="14"/>
  <c r="C14" i="25" s="1"/>
  <c r="H41" i="14"/>
  <c r="F41" i="14"/>
  <c r="E41" i="14"/>
  <c r="D41" i="14"/>
  <c r="P14" i="25" s="1"/>
  <c r="C40" i="14" a="1"/>
  <c r="C40" i="14" s="1"/>
  <c r="C39" i="14" a="1"/>
  <c r="C39" i="14" s="1"/>
  <c r="C38" i="14" a="1"/>
  <c r="C38" i="14" s="1"/>
  <c r="C37" i="14" a="1"/>
  <c r="C37" i="14" s="1"/>
  <c r="C36" i="14" a="1"/>
  <c r="C36" i="14" s="1"/>
  <c r="C35" i="14" a="1"/>
  <c r="C35" i="14" s="1"/>
  <c r="C34" i="14" a="1"/>
  <c r="C34" i="14" s="1"/>
  <c r="C33" i="14" a="1"/>
  <c r="C33" i="14" s="1"/>
  <c r="C32" i="14" a="1"/>
  <c r="C32" i="14" s="1"/>
  <c r="C31" i="14" a="1"/>
  <c r="C31" i="14" s="1"/>
  <c r="C30" i="14" a="1"/>
  <c r="C30" i="14" s="1"/>
  <c r="C29" i="14" a="1"/>
  <c r="C29" i="14" s="1"/>
  <c r="C28" i="14" a="1"/>
  <c r="C28" i="14" s="1"/>
  <c r="C27" i="14" a="1"/>
  <c r="C27" i="14" s="1"/>
  <c r="C26" i="14" a="1"/>
  <c r="C26" i="14" s="1"/>
  <c r="C25" i="14" a="1"/>
  <c r="C25" i="14" s="1"/>
  <c r="C24" i="14" a="1"/>
  <c r="C24" i="14" s="1"/>
  <c r="C23" i="14" a="1"/>
  <c r="C23" i="14" s="1"/>
  <c r="C22" i="14" a="1"/>
  <c r="C22" i="14" s="1"/>
  <c r="C21" i="14" a="1"/>
  <c r="C21" i="14" s="1"/>
  <c r="C20" i="14" a="1"/>
  <c r="C20" i="14" s="1"/>
  <c r="C19" i="14" a="1"/>
  <c r="C19" i="14" s="1"/>
  <c r="C18" i="14" a="1"/>
  <c r="C18" i="14" s="1"/>
  <c r="C17" i="14" a="1"/>
  <c r="C17" i="14" s="1"/>
  <c r="C16" i="14" a="1"/>
  <c r="C16" i="14" s="1"/>
  <c r="C15" i="14" a="1"/>
  <c r="C15" i="14" s="1"/>
  <c r="C14" i="14" a="1"/>
  <c r="C14" i="14" s="1"/>
  <c r="C13" i="14" a="1"/>
  <c r="C13" i="14" s="1"/>
  <c r="C12" i="14" a="1"/>
  <c r="C12" i="14" s="1"/>
  <c r="C11" i="14" a="1"/>
  <c r="C11" i="14" s="1"/>
  <c r="C10" i="14" a="1"/>
  <c r="C10" i="14" s="1"/>
  <c r="C9" i="14" a="1"/>
  <c r="C9" i="14" s="1"/>
  <c r="C8" i="14" a="1"/>
  <c r="C8" i="14" s="1"/>
  <c r="C7" i="14" a="1"/>
  <c r="C7" i="14" s="1"/>
  <c r="C6" i="14" a="1"/>
  <c r="C6" i="14" s="1"/>
  <c r="C5" i="14" a="1"/>
  <c r="C5" i="14" s="1"/>
  <c r="C4" i="14" a="1"/>
  <c r="C4" i="14" s="1"/>
  <c r="C3" i="14" a="1"/>
  <c r="C3" i="14" s="1"/>
  <c r="C2" i="14" a="1"/>
  <c r="C2" i="14" s="1"/>
  <c r="C53" i="13"/>
  <c r="C51" i="13"/>
  <c r="C50" i="13"/>
  <c r="I45" i="12"/>
  <c r="T45" i="12"/>
  <c r="M13" i="25" s="1"/>
  <c r="S45" i="12"/>
  <c r="L13" i="25" s="1"/>
  <c r="R45" i="12"/>
  <c r="K13" i="25" s="1"/>
  <c r="Q45" i="12"/>
  <c r="J13" i="25" s="1"/>
  <c r="P45" i="12"/>
  <c r="I13" i="25" s="1"/>
  <c r="O45" i="12"/>
  <c r="H13" i="25" s="1"/>
  <c r="N45" i="12"/>
  <c r="G13" i="25" s="1"/>
  <c r="M45" i="12"/>
  <c r="F13" i="25" s="1"/>
  <c r="L45" i="12"/>
  <c r="E13" i="25" s="1"/>
  <c r="K45" i="12"/>
  <c r="D13" i="25" s="1"/>
  <c r="J45" i="12"/>
  <c r="C13" i="25" s="1"/>
  <c r="H45" i="12"/>
  <c r="F45" i="12"/>
  <c r="E45" i="12"/>
  <c r="D45" i="12"/>
  <c r="P13" i="25" s="1"/>
  <c r="C43" i="12" a="1"/>
  <c r="C43" i="12" s="1"/>
  <c r="C42" i="12" a="1"/>
  <c r="C42" i="12" s="1"/>
  <c r="C41" i="12" a="1"/>
  <c r="C41" i="12" s="1"/>
  <c r="C40" i="12" a="1"/>
  <c r="C40" i="12" s="1"/>
  <c r="C39" i="12" a="1"/>
  <c r="C39" i="12" s="1"/>
  <c r="C38" i="12" a="1"/>
  <c r="C38" i="12" s="1"/>
  <c r="C37" i="12" a="1"/>
  <c r="C37" i="12" s="1"/>
  <c r="C36" i="12" a="1"/>
  <c r="C36" i="12" s="1"/>
  <c r="C35" i="12" a="1"/>
  <c r="C35" i="12" s="1"/>
  <c r="C34" i="12" a="1"/>
  <c r="C34" i="12" s="1"/>
  <c r="C33" i="12" a="1"/>
  <c r="C33" i="12" s="1"/>
  <c r="C32" i="12" a="1"/>
  <c r="C32" i="12" s="1"/>
  <c r="C31" i="12" a="1"/>
  <c r="C31" i="12" s="1"/>
  <c r="C30" i="12" a="1"/>
  <c r="C30" i="12" s="1"/>
  <c r="C29" i="12" a="1"/>
  <c r="C29" i="12" s="1"/>
  <c r="C28" i="12" a="1"/>
  <c r="C28" i="12" s="1"/>
  <c r="C27" i="12" a="1"/>
  <c r="C27" i="12" s="1"/>
  <c r="C26" i="12" a="1"/>
  <c r="C26" i="12" s="1"/>
  <c r="C25" i="12" a="1"/>
  <c r="C25" i="12" s="1"/>
  <c r="C24" i="12" a="1"/>
  <c r="C2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8" i="12" a="1"/>
  <c r="C18" i="12" s="1"/>
  <c r="C17" i="12" a="1"/>
  <c r="C17" i="12" s="1"/>
  <c r="C16" i="12" a="1"/>
  <c r="C16" i="12" s="1"/>
  <c r="C15" i="12" a="1"/>
  <c r="C15" i="12" s="1"/>
  <c r="C14" i="12" a="1"/>
  <c r="C14" i="12" s="1"/>
  <c r="C13" i="12" a="1"/>
  <c r="C13" i="12" s="1"/>
  <c r="C12" i="12" a="1"/>
  <c r="C12" i="12" s="1"/>
  <c r="C11" i="12" a="1"/>
  <c r="C11" i="12" s="1"/>
  <c r="C10" i="12" a="1"/>
  <c r="C10" i="12" s="1"/>
  <c r="C9" i="12" a="1"/>
  <c r="C9" i="12" s="1"/>
  <c r="C8" i="12" a="1"/>
  <c r="C8" i="12" s="1"/>
  <c r="C7" i="12" a="1"/>
  <c r="C7" i="12" s="1"/>
  <c r="C6" i="12" a="1"/>
  <c r="C6" i="12" s="1"/>
  <c r="C5" i="12" a="1"/>
  <c r="C5" i="12" s="1"/>
  <c r="C4" i="12" a="1"/>
  <c r="C4" i="12" s="1"/>
  <c r="C3" i="12" a="1"/>
  <c r="C3" i="12" s="1"/>
  <c r="C2" i="12" a="1"/>
  <c r="C2" i="12" s="1"/>
  <c r="I40" i="11"/>
  <c r="T40" i="11"/>
  <c r="M12" i="25" s="1"/>
  <c r="S40" i="11"/>
  <c r="L12" i="25" s="1"/>
  <c r="R40" i="11"/>
  <c r="K12" i="25" s="1"/>
  <c r="Q40" i="11"/>
  <c r="J12" i="25" s="1"/>
  <c r="P40" i="11"/>
  <c r="I12" i="25" s="1"/>
  <c r="O40" i="11"/>
  <c r="H12" i="25" s="1"/>
  <c r="N40" i="11"/>
  <c r="G12" i="25" s="1"/>
  <c r="M40" i="11"/>
  <c r="F12" i="25" s="1"/>
  <c r="L40" i="11"/>
  <c r="E12" i="25" s="1"/>
  <c r="K40" i="11"/>
  <c r="D12" i="25" s="1"/>
  <c r="J40" i="11"/>
  <c r="C12" i="25" s="1"/>
  <c r="H40" i="11"/>
  <c r="F40" i="11"/>
  <c r="E40" i="11"/>
  <c r="D40" i="11"/>
  <c r="P12" i="25" s="1"/>
  <c r="C39" i="11" a="1"/>
  <c r="C39" i="11" s="1"/>
  <c r="C38" i="11" a="1"/>
  <c r="C38" i="11" s="1"/>
  <c r="C37" i="11" a="1"/>
  <c r="C37" i="11" s="1"/>
  <c r="C36" i="11" a="1"/>
  <c r="C36" i="11" s="1"/>
  <c r="C35" i="11" a="1"/>
  <c r="C35" i="11" s="1"/>
  <c r="C34" i="11" a="1"/>
  <c r="C34" i="11" s="1"/>
  <c r="C33" i="11" a="1"/>
  <c r="C33" i="11" s="1"/>
  <c r="C32" i="11" a="1"/>
  <c r="C32" i="11" s="1"/>
  <c r="C31" i="11" a="1"/>
  <c r="C31" i="11" s="1"/>
  <c r="C30" i="11" a="1"/>
  <c r="C30" i="11" s="1"/>
  <c r="C29" i="11" a="1"/>
  <c r="C29" i="11" s="1"/>
  <c r="C28" i="11" a="1"/>
  <c r="C28" i="11" s="1"/>
  <c r="C27" i="11" a="1"/>
  <c r="C27" i="11" s="1"/>
  <c r="C26" i="11" a="1"/>
  <c r="C26" i="11" s="1"/>
  <c r="C25" i="11" a="1"/>
  <c r="C25" i="11" s="1"/>
  <c r="C24" i="11" a="1"/>
  <c r="C24" i="11" s="1"/>
  <c r="C23" i="11" a="1"/>
  <c r="C23" i="11" s="1"/>
  <c r="C22" i="11" a="1"/>
  <c r="C22" i="11" s="1"/>
  <c r="C21" i="11" a="1"/>
  <c r="C21" i="11" s="1"/>
  <c r="C20" i="11" a="1"/>
  <c r="C20" i="11" s="1"/>
  <c r="C19" i="11" a="1"/>
  <c r="C19" i="11" s="1"/>
  <c r="C18" i="11" a="1"/>
  <c r="C18" i="11" s="1"/>
  <c r="C17" i="11" a="1"/>
  <c r="C17" i="11" s="1"/>
  <c r="C16" i="11" a="1"/>
  <c r="C16" i="11" s="1"/>
  <c r="C15" i="11" a="1"/>
  <c r="C15" i="11" s="1"/>
  <c r="C14" i="11" a="1"/>
  <c r="C14" i="11" s="1"/>
  <c r="C13" i="11" a="1"/>
  <c r="C13" i="11" s="1"/>
  <c r="C12" i="11" a="1"/>
  <c r="C12" i="11" s="1"/>
  <c r="C10" i="11" a="1"/>
  <c r="C10" i="11" s="1"/>
  <c r="C9" i="11" a="1"/>
  <c r="C9" i="11" s="1"/>
  <c r="C8" i="11" a="1"/>
  <c r="C8" i="11" s="1"/>
  <c r="C7" i="11" a="1"/>
  <c r="C7" i="11" s="1"/>
  <c r="C6" i="11" a="1"/>
  <c r="C6" i="11" s="1"/>
  <c r="C5" i="11" a="1"/>
  <c r="C5" i="11" s="1"/>
  <c r="C4" i="11" a="1"/>
  <c r="C4" i="11" s="1"/>
  <c r="C3" i="11" a="1"/>
  <c r="C3" i="11" s="1"/>
  <c r="C2" i="11" a="1"/>
  <c r="C2" i="11" s="1"/>
  <c r="I29" i="10"/>
  <c r="T29" i="10"/>
  <c r="M11" i="25" s="1"/>
  <c r="S29" i="10"/>
  <c r="L11" i="25" s="1"/>
  <c r="R29" i="10"/>
  <c r="K11" i="25" s="1"/>
  <c r="Q29" i="10"/>
  <c r="J11" i="25" s="1"/>
  <c r="P29" i="10"/>
  <c r="I11" i="25" s="1"/>
  <c r="O29" i="10"/>
  <c r="H11" i="25" s="1"/>
  <c r="N29" i="10"/>
  <c r="G11" i="25" s="1"/>
  <c r="M29" i="10"/>
  <c r="F11" i="25" s="1"/>
  <c r="L29" i="10"/>
  <c r="E11" i="25" s="1"/>
  <c r="K29" i="10"/>
  <c r="D11" i="25" s="1"/>
  <c r="J29" i="10"/>
  <c r="C11" i="25" s="1"/>
  <c r="H29" i="10"/>
  <c r="F29" i="10"/>
  <c r="E29" i="10"/>
  <c r="D29" i="10"/>
  <c r="P11" i="25" s="1"/>
  <c r="C28" i="10" a="1"/>
  <c r="C28" i="10" s="1"/>
  <c r="C27" i="10" a="1"/>
  <c r="C27" i="10" s="1"/>
  <c r="C26" i="10" a="1"/>
  <c r="C26" i="10" s="1"/>
  <c r="C25" i="10" a="1"/>
  <c r="C25" i="10" s="1"/>
  <c r="C24" i="10" a="1"/>
  <c r="C24" i="10" s="1"/>
  <c r="C23" i="10" a="1"/>
  <c r="C23" i="10" s="1"/>
  <c r="C22" i="10" a="1"/>
  <c r="C22" i="10" s="1"/>
  <c r="C21" i="10" a="1"/>
  <c r="C21" i="10" s="1"/>
  <c r="C20" i="10" a="1"/>
  <c r="C20" i="10" s="1"/>
  <c r="C19" i="10" a="1"/>
  <c r="C19" i="10" s="1"/>
  <c r="C18" i="10" a="1"/>
  <c r="C18" i="10" s="1"/>
  <c r="C17" i="10" a="1"/>
  <c r="C17" i="10" s="1"/>
  <c r="C16" i="10" a="1"/>
  <c r="C16" i="10" s="1"/>
  <c r="C15" i="10" a="1"/>
  <c r="C15" i="10" s="1"/>
  <c r="C14" i="10" a="1"/>
  <c r="C14" i="10" s="1"/>
  <c r="C13" i="10" a="1"/>
  <c r="C13" i="10" s="1"/>
  <c r="C12" i="10" a="1"/>
  <c r="C12" i="10" s="1"/>
  <c r="C11" i="10" a="1"/>
  <c r="C11" i="10" s="1"/>
  <c r="C10" i="10" a="1"/>
  <c r="C10" i="10" s="1"/>
  <c r="C9" i="10" a="1"/>
  <c r="C9" i="10" s="1"/>
  <c r="C8" i="10" a="1"/>
  <c r="C8" i="10" s="1"/>
  <c r="C7" i="10" a="1"/>
  <c r="C7" i="10" s="1"/>
  <c r="C6" i="10" a="1"/>
  <c r="C6" i="10" s="1"/>
  <c r="C5" i="10" a="1"/>
  <c r="C5" i="10" s="1"/>
  <c r="C4" i="10" a="1"/>
  <c r="C4" i="10" s="1"/>
  <c r="C3" i="10" a="1"/>
  <c r="C3" i="10" s="1"/>
  <c r="C2" i="10" a="1"/>
  <c r="C2" i="10" s="1"/>
  <c r="I44" i="9"/>
  <c r="T44" i="9"/>
  <c r="M10" i="25" s="1"/>
  <c r="S44" i="9"/>
  <c r="L10" i="25" s="1"/>
  <c r="R44" i="9"/>
  <c r="K10" i="25" s="1"/>
  <c r="Q44" i="9"/>
  <c r="J10" i="25" s="1"/>
  <c r="P44" i="9"/>
  <c r="I10" i="25" s="1"/>
  <c r="O44" i="9"/>
  <c r="H10" i="25" s="1"/>
  <c r="N44" i="9"/>
  <c r="G10" i="25" s="1"/>
  <c r="M44" i="9"/>
  <c r="F10" i="25" s="1"/>
  <c r="L44" i="9"/>
  <c r="E10" i="25" s="1"/>
  <c r="K44" i="9"/>
  <c r="D10" i="25" s="1"/>
  <c r="J44" i="9"/>
  <c r="C10" i="25" s="1"/>
  <c r="H44" i="9"/>
  <c r="F44" i="9"/>
  <c r="E44" i="9"/>
  <c r="D44" i="9"/>
  <c r="P10" i="25" s="1"/>
  <c r="C42" i="9" a="1"/>
  <c r="C42" i="9" s="1"/>
  <c r="C41" i="9" a="1"/>
  <c r="C41" i="9" s="1"/>
  <c r="C40" i="9" a="1"/>
  <c r="C40" i="9" s="1"/>
  <c r="C39" i="9" a="1"/>
  <c r="C39" i="9" s="1"/>
  <c r="C38" i="9" a="1"/>
  <c r="C38" i="9" s="1"/>
  <c r="C37" i="9" a="1"/>
  <c r="C37" i="9" s="1"/>
  <c r="C36" i="9" a="1"/>
  <c r="C36" i="9" s="1"/>
  <c r="C35" i="9" a="1"/>
  <c r="C35" i="9" s="1"/>
  <c r="C34" i="9" a="1"/>
  <c r="C34" i="9" s="1"/>
  <c r="C33" i="9" a="1"/>
  <c r="C33" i="9" s="1"/>
  <c r="C32" i="9" a="1"/>
  <c r="C32" i="9" s="1"/>
  <c r="C31" i="9" a="1"/>
  <c r="C31" i="9" s="1"/>
  <c r="C30" i="9" a="1"/>
  <c r="C30" i="9" s="1"/>
  <c r="C29" i="9" a="1"/>
  <c r="C29" i="9" s="1"/>
  <c r="C28" i="9" a="1"/>
  <c r="C28" i="9" s="1"/>
  <c r="C27" i="9" a="1"/>
  <c r="C27" i="9" s="1"/>
  <c r="C26" i="9" a="1"/>
  <c r="C26" i="9" s="1"/>
  <c r="C25" i="9" a="1"/>
  <c r="C25" i="9" s="1"/>
  <c r="C24" i="9" a="1"/>
  <c r="C24" i="9" s="1"/>
  <c r="C23" i="9" a="1"/>
  <c r="C23" i="9" s="1"/>
  <c r="C22" i="9" a="1"/>
  <c r="C22" i="9" s="1"/>
  <c r="C21" i="9" a="1"/>
  <c r="C21" i="9" s="1"/>
  <c r="C20" i="9" a="1"/>
  <c r="C20" i="9" s="1"/>
  <c r="C19" i="9" a="1"/>
  <c r="C19" i="9" s="1"/>
  <c r="C18" i="9" a="1"/>
  <c r="C18" i="9" s="1"/>
  <c r="C17" i="9" a="1"/>
  <c r="C17" i="9" s="1"/>
  <c r="C16" i="9" a="1"/>
  <c r="C16" i="9" s="1"/>
  <c r="C15" i="9" a="1"/>
  <c r="C15" i="9" s="1"/>
  <c r="C14" i="9" a="1"/>
  <c r="C14" i="9" s="1"/>
  <c r="C13" i="9" a="1"/>
  <c r="C13" i="9" s="1"/>
  <c r="C12" i="9" a="1"/>
  <c r="C12" i="9" s="1"/>
  <c r="C11" i="9" a="1"/>
  <c r="C11" i="9" s="1"/>
  <c r="C10" i="9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C3" i="9" a="1"/>
  <c r="C3" i="9" s="1"/>
  <c r="C2" i="9" a="1"/>
  <c r="C2" i="9" s="1"/>
  <c r="H48" i="8"/>
  <c r="T48" i="8"/>
  <c r="N9" i="25" s="1"/>
  <c r="S48" i="8"/>
  <c r="M9" i="25" s="1"/>
  <c r="R48" i="8"/>
  <c r="L9" i="25" s="1"/>
  <c r="Q48" i="8"/>
  <c r="K9" i="25" s="1"/>
  <c r="P48" i="8"/>
  <c r="J9" i="25" s="1"/>
  <c r="O48" i="8"/>
  <c r="I9" i="25" s="1"/>
  <c r="N48" i="8"/>
  <c r="H9" i="25" s="1"/>
  <c r="M48" i="8"/>
  <c r="G9" i="25" s="1"/>
  <c r="L48" i="8"/>
  <c r="F9" i="25" s="1"/>
  <c r="K48" i="8"/>
  <c r="E9" i="25" s="1"/>
  <c r="J48" i="8"/>
  <c r="D9" i="25" s="1"/>
  <c r="I48" i="8"/>
  <c r="C9" i="25" s="1"/>
  <c r="G48" i="8"/>
  <c r="F48" i="8"/>
  <c r="E48" i="8"/>
  <c r="D48" i="8"/>
  <c r="P9" i="25" s="1"/>
  <c r="C47" i="8" a="1"/>
  <c r="C47" i="8" s="1"/>
  <c r="C46" i="8" a="1"/>
  <c r="C46" i="8" s="1"/>
  <c r="C45" i="8" a="1"/>
  <c r="C45" i="8" s="1"/>
  <c r="C44" i="8" a="1"/>
  <c r="C44" i="8" s="1"/>
  <c r="C43" i="8" a="1"/>
  <c r="C43" i="8" s="1"/>
  <c r="C42" i="8" a="1"/>
  <c r="C42" i="8" s="1"/>
  <c r="C41" i="8" a="1"/>
  <c r="C41" i="8" s="1"/>
  <c r="C40" i="8" a="1"/>
  <c r="C40" i="8" s="1"/>
  <c r="C39" i="8" a="1"/>
  <c r="C39" i="8" s="1"/>
  <c r="C38" i="8" a="1"/>
  <c r="C38" i="8" s="1"/>
  <c r="C37" i="8" a="1"/>
  <c r="C37" i="8" s="1"/>
  <c r="C36" i="8" a="1"/>
  <c r="C36" i="8" s="1"/>
  <c r="C35" i="8" a="1"/>
  <c r="C35" i="8" s="1"/>
  <c r="C34" i="8" a="1"/>
  <c r="C34" i="8" s="1"/>
  <c r="C33" i="8" a="1"/>
  <c r="C33" i="8" s="1"/>
  <c r="C32" i="8" a="1"/>
  <c r="C32" i="8" s="1"/>
  <c r="C31" i="8" a="1"/>
  <c r="C31" i="8" s="1"/>
  <c r="C30" i="8" a="1"/>
  <c r="C30" i="8" s="1"/>
  <c r="C29" i="8" a="1"/>
  <c r="C29" i="8" s="1"/>
  <c r="C28" i="8" a="1"/>
  <c r="C28" i="8" s="1"/>
  <c r="C27" i="8" a="1"/>
  <c r="C27" i="8" s="1"/>
  <c r="C26" i="8" a="1"/>
  <c r="C26" i="8" s="1"/>
  <c r="C25" i="8" a="1"/>
  <c r="C25" i="8" s="1"/>
  <c r="C24" i="8" a="1"/>
  <c r="C24" i="8" s="1"/>
  <c r="C23" i="8" a="1"/>
  <c r="C23" i="8" s="1"/>
  <c r="C22" i="8" a="1"/>
  <c r="C22" i="8" s="1"/>
  <c r="C21" i="8" a="1"/>
  <c r="C21" i="8" s="1"/>
  <c r="C20" i="8" a="1"/>
  <c r="C20" i="8" s="1"/>
  <c r="C19" i="8" a="1"/>
  <c r="C19" i="8" s="1"/>
  <c r="C18" i="8" a="1"/>
  <c r="C18" i="8" s="1"/>
  <c r="C17" i="8" a="1"/>
  <c r="C17" i="8" s="1"/>
  <c r="C16" i="8" a="1"/>
  <c r="C16" i="8" s="1"/>
  <c r="C15" i="8" a="1"/>
  <c r="C15" i="8" s="1"/>
  <c r="C14" i="8" a="1"/>
  <c r="C14" i="8" s="1"/>
  <c r="C13" i="8" a="1"/>
  <c r="C13" i="8" s="1"/>
  <c r="C12" i="8" a="1"/>
  <c r="C12" i="8" s="1"/>
  <c r="C11" i="8" a="1"/>
  <c r="C11" i="8" s="1"/>
  <c r="C10" i="8" a="1"/>
  <c r="C10" i="8" s="1"/>
  <c r="C9" i="8" a="1"/>
  <c r="C9" i="8" s="1"/>
  <c r="C8" i="8" a="1"/>
  <c r="C8" i="8" s="1"/>
  <c r="C7" i="8" a="1"/>
  <c r="C7" i="8" s="1"/>
  <c r="C6" i="8" a="1"/>
  <c r="C6" i="8" s="1"/>
  <c r="C5" i="8" a="1"/>
  <c r="C5" i="8" s="1"/>
  <c r="C4" i="8" a="1"/>
  <c r="C4" i="8" s="1"/>
  <c r="C3" i="8" a="1"/>
  <c r="C3" i="8" s="1"/>
  <c r="C2" i="8" a="1"/>
  <c r="C2" i="8" s="1"/>
  <c r="I17" i="7"/>
  <c r="T17" i="7"/>
  <c r="M8" i="25" s="1"/>
  <c r="S17" i="7"/>
  <c r="L8" i="25" s="1"/>
  <c r="R17" i="7"/>
  <c r="K8" i="25" s="1"/>
  <c r="Q17" i="7"/>
  <c r="J8" i="25" s="1"/>
  <c r="P17" i="7"/>
  <c r="I8" i="25" s="1"/>
  <c r="O17" i="7"/>
  <c r="H8" i="25" s="1"/>
  <c r="N17" i="7"/>
  <c r="G8" i="25" s="1"/>
  <c r="M17" i="7"/>
  <c r="F8" i="25" s="1"/>
  <c r="L17" i="7"/>
  <c r="E8" i="25" s="1"/>
  <c r="K17" i="7"/>
  <c r="D8" i="25" s="1"/>
  <c r="J17" i="7"/>
  <c r="C8" i="25" s="1"/>
  <c r="H17" i="7"/>
  <c r="F17" i="7"/>
  <c r="E17" i="7"/>
  <c r="D17" i="7"/>
  <c r="P8" i="25" s="1"/>
  <c r="C16" i="7" a="1"/>
  <c r="C16" i="7" s="1"/>
  <c r="C15" i="7" a="1"/>
  <c r="C15" i="7" s="1"/>
  <c r="C14" i="7" a="1"/>
  <c r="C14" i="7" s="1"/>
  <c r="C13" i="7" a="1"/>
  <c r="C13" i="7" s="1"/>
  <c r="C12" i="7" a="1"/>
  <c r="C12" i="7" s="1"/>
  <c r="C11" i="7" a="1"/>
  <c r="C11" i="7" s="1"/>
  <c r="C10" i="7" a="1"/>
  <c r="C10" i="7" s="1"/>
  <c r="C9" i="7" a="1"/>
  <c r="C9" i="7" s="1"/>
  <c r="C8" i="7" a="1"/>
  <c r="C8" i="7" s="1"/>
  <c r="C7" i="7" a="1"/>
  <c r="C7" i="7" s="1"/>
  <c r="C6" i="7" a="1"/>
  <c r="C6" i="7" s="1"/>
  <c r="C5" i="7" a="1"/>
  <c r="C5" i="7" s="1"/>
  <c r="C4" i="7" a="1"/>
  <c r="C4" i="7" s="1"/>
  <c r="C3" i="7" a="1"/>
  <c r="C3" i="7" s="1"/>
  <c r="C2" i="7" a="1"/>
  <c r="C2" i="7" s="1"/>
  <c r="U18" i="6"/>
  <c r="S18" i="6"/>
  <c r="M7" i="25" s="1"/>
  <c r="R18" i="6"/>
  <c r="L7" i="25" s="1"/>
  <c r="Q18" i="6"/>
  <c r="K7" i="25" s="1"/>
  <c r="P18" i="6"/>
  <c r="J7" i="25" s="1"/>
  <c r="O18" i="6"/>
  <c r="I7" i="25" s="1"/>
  <c r="N18" i="6"/>
  <c r="H7" i="25" s="1"/>
  <c r="M18" i="6"/>
  <c r="G7" i="25" s="1"/>
  <c r="L18" i="6"/>
  <c r="F7" i="25" s="1"/>
  <c r="K18" i="6"/>
  <c r="E7" i="25" s="1"/>
  <c r="J18" i="6"/>
  <c r="D7" i="25" s="1"/>
  <c r="I18" i="6"/>
  <c r="C7" i="25" s="1"/>
  <c r="H18" i="6"/>
  <c r="F18" i="6"/>
  <c r="E18" i="6"/>
  <c r="D18" i="6"/>
  <c r="P7" i="25" s="1"/>
  <c r="C17" i="6" a="1"/>
  <c r="C17" i="6" s="1"/>
  <c r="C16" i="6" a="1"/>
  <c r="C16" i="6" s="1"/>
  <c r="C15" i="6" a="1"/>
  <c r="C15" i="6" s="1"/>
  <c r="C14" i="6" a="1"/>
  <c r="C14" i="6" s="1"/>
  <c r="C13" i="6" a="1"/>
  <c r="C13" i="6" s="1"/>
  <c r="C12" i="6" a="1"/>
  <c r="C12" i="6" s="1"/>
  <c r="C11" i="6" a="1"/>
  <c r="C11" i="6" s="1"/>
  <c r="C10" i="6" a="1"/>
  <c r="C10" i="6" s="1"/>
  <c r="C9" i="6" a="1"/>
  <c r="C9" i="6" s="1"/>
  <c r="C8" i="6" a="1"/>
  <c r="C8" i="6" s="1"/>
  <c r="C7" i="6" a="1"/>
  <c r="C7" i="6" s="1"/>
  <c r="C6" i="6" a="1"/>
  <c r="C6" i="6" s="1"/>
  <c r="C5" i="6" a="1"/>
  <c r="C5" i="6" s="1"/>
  <c r="C4" i="6" a="1"/>
  <c r="C4" i="6" s="1"/>
  <c r="C3" i="6" a="1"/>
  <c r="C3" i="6" s="1"/>
  <c r="C2" i="6" a="1"/>
  <c r="C2" i="6" s="1"/>
  <c r="I17" i="5"/>
  <c r="T17" i="5"/>
  <c r="M6" i="25" s="1"/>
  <c r="S17" i="5"/>
  <c r="L6" i="25" s="1"/>
  <c r="R17" i="5"/>
  <c r="K6" i="25" s="1"/>
  <c r="Q17" i="5"/>
  <c r="J6" i="25" s="1"/>
  <c r="P17" i="5"/>
  <c r="I6" i="25" s="1"/>
  <c r="O17" i="5"/>
  <c r="H6" i="25" s="1"/>
  <c r="N17" i="5"/>
  <c r="G6" i="25" s="1"/>
  <c r="M17" i="5"/>
  <c r="F6" i="25" s="1"/>
  <c r="L17" i="5"/>
  <c r="E6" i="25" s="1"/>
  <c r="K17" i="5"/>
  <c r="D6" i="25" s="1"/>
  <c r="J17" i="5"/>
  <c r="C6" i="25" s="1"/>
  <c r="H17" i="5"/>
  <c r="F17" i="5"/>
  <c r="E17" i="5"/>
  <c r="D17" i="5"/>
  <c r="P6" i="25" s="1"/>
  <c r="C16" i="5" a="1"/>
  <c r="C16" i="5" s="1"/>
  <c r="C15" i="5" a="1"/>
  <c r="C15" i="5" s="1"/>
  <c r="C14" i="5" a="1"/>
  <c r="C14" i="5" s="1"/>
  <c r="C13" i="5" a="1"/>
  <c r="C13" i="5" s="1"/>
  <c r="C12" i="5" a="1"/>
  <c r="C12" i="5" s="1"/>
  <c r="C11" i="5" a="1"/>
  <c r="C11" i="5" s="1"/>
  <c r="C10" i="5" a="1"/>
  <c r="C10" i="5" s="1"/>
  <c r="C9" i="5" a="1"/>
  <c r="C9" i="5" s="1"/>
  <c r="C8" i="5" a="1"/>
  <c r="C8" i="5" s="1"/>
  <c r="C7" i="5" a="1"/>
  <c r="C7" i="5" s="1"/>
  <c r="C6" i="5" a="1"/>
  <c r="C6" i="5" s="1"/>
  <c r="C5" i="5" a="1"/>
  <c r="C5" i="5" s="1"/>
  <c r="C4" i="5" a="1"/>
  <c r="C4" i="5" s="1"/>
  <c r="C3" i="5" a="1"/>
  <c r="C3" i="5" s="1"/>
  <c r="C2" i="5" a="1"/>
  <c r="C2" i="5" s="1"/>
  <c r="I73" i="4"/>
  <c r="T73" i="4"/>
  <c r="M5" i="25" s="1"/>
  <c r="S73" i="4"/>
  <c r="L5" i="25" s="1"/>
  <c r="R73" i="4"/>
  <c r="K5" i="25" s="1"/>
  <c r="Q73" i="4"/>
  <c r="J5" i="25" s="1"/>
  <c r="P73" i="4"/>
  <c r="I5" i="25" s="1"/>
  <c r="O73" i="4"/>
  <c r="H5" i="25" s="1"/>
  <c r="N73" i="4"/>
  <c r="G5" i="25" s="1"/>
  <c r="M73" i="4"/>
  <c r="F5" i="25" s="1"/>
  <c r="L73" i="4"/>
  <c r="E5" i="25" s="1"/>
  <c r="K73" i="4"/>
  <c r="D5" i="25" s="1"/>
  <c r="J73" i="4"/>
  <c r="C5" i="25" s="1"/>
  <c r="H73" i="4"/>
  <c r="F73" i="4"/>
  <c r="E73" i="4"/>
  <c r="D73" i="4"/>
  <c r="P5" i="25" s="1"/>
  <c r="C72" i="4" a="1"/>
  <c r="C72" i="4" s="1"/>
  <c r="C71" i="4" a="1"/>
  <c r="C71" i="4" s="1"/>
  <c r="C70" i="4" a="1"/>
  <c r="C70" i="4" s="1"/>
  <c r="C69" i="4" a="1"/>
  <c r="C69" i="4" s="1"/>
  <c r="C68" i="4" a="1"/>
  <c r="C68" i="4" s="1"/>
  <c r="C67" i="4" a="1"/>
  <c r="C67" i="4" s="1"/>
  <c r="C66" i="4" a="1"/>
  <c r="C66" i="4" s="1"/>
  <c r="C65" i="4" a="1"/>
  <c r="C65" i="4" s="1"/>
  <c r="C64" i="4" a="1"/>
  <c r="C64" i="4" s="1"/>
  <c r="C63" i="4" a="1"/>
  <c r="C63" i="4" s="1"/>
  <c r="C60" i="4" a="1"/>
  <c r="C60" i="4" s="1"/>
  <c r="C58" i="4" a="1"/>
  <c r="C58" i="4" s="1"/>
  <c r="C57" i="4" a="1"/>
  <c r="C57" i="4" s="1"/>
  <c r="C56" i="4" a="1"/>
  <c r="C56" i="4" s="1"/>
  <c r="C55" i="4" a="1"/>
  <c r="C55" i="4" s="1"/>
  <c r="C54" i="4" a="1"/>
  <c r="C54" i="4" s="1"/>
  <c r="C53" i="4" a="1"/>
  <c r="C53" i="4" s="1"/>
  <c r="C52" i="4" a="1"/>
  <c r="C52" i="4" s="1"/>
  <c r="C51" i="4" a="1"/>
  <c r="C51" i="4" s="1"/>
  <c r="C50" i="4" a="1"/>
  <c r="C50" i="4" s="1"/>
  <c r="C49" i="4" a="1"/>
  <c r="C49" i="4" s="1"/>
  <c r="C48" i="4" a="1"/>
  <c r="C48" i="4" s="1"/>
  <c r="C47" i="4" a="1"/>
  <c r="C47" i="4" s="1"/>
  <c r="C46" i="4" a="1"/>
  <c r="C46" i="4" s="1"/>
  <c r="C45" i="4" a="1"/>
  <c r="C45" i="4" s="1"/>
  <c r="C44" i="4" a="1"/>
  <c r="C44" i="4" s="1"/>
  <c r="C43" i="4" a="1"/>
  <c r="C43" i="4" s="1"/>
  <c r="C42" i="4" a="1"/>
  <c r="C42" i="4" s="1"/>
  <c r="C41" i="4" a="1"/>
  <c r="C41" i="4" s="1"/>
  <c r="C40" i="4" a="1"/>
  <c r="C40" i="4" s="1"/>
  <c r="C39" i="4" a="1"/>
  <c r="C39" i="4" s="1"/>
  <c r="C38" i="4" a="1"/>
  <c r="C38" i="4" s="1"/>
  <c r="C37" i="4" a="1"/>
  <c r="C37" i="4" s="1"/>
  <c r="C36" i="4" a="1"/>
  <c r="C36" i="4" s="1"/>
  <c r="C35" i="4" a="1"/>
  <c r="C35" i="4" s="1"/>
  <c r="C34" i="4" a="1"/>
  <c r="C34" i="4" s="1"/>
  <c r="C33" i="4" a="1"/>
  <c r="C33" i="4" s="1"/>
  <c r="C32" i="4" a="1"/>
  <c r="C32" i="4" s="1"/>
  <c r="C31" i="4" a="1"/>
  <c r="C31" i="4" s="1"/>
  <c r="C30" i="4" a="1"/>
  <c r="C30" i="4" s="1"/>
  <c r="C29" i="4" a="1"/>
  <c r="C29" i="4" s="1"/>
  <c r="C28" i="4" a="1"/>
  <c r="C28" i="4" s="1"/>
  <c r="C27" i="4" a="1"/>
  <c r="C27" i="4" s="1"/>
  <c r="C26" i="4" a="1"/>
  <c r="C26" i="4" s="1"/>
  <c r="C25" i="4" a="1"/>
  <c r="C25" i="4" s="1"/>
  <c r="C24" i="4" a="1"/>
  <c r="C24" i="4" s="1"/>
  <c r="C23" i="4" a="1"/>
  <c r="C23" i="4" s="1"/>
  <c r="C22" i="4" a="1"/>
  <c r="C22" i="4" s="1"/>
  <c r="C21" i="4" a="1"/>
  <c r="C21" i="4" s="1"/>
  <c r="C20" i="4" a="1"/>
  <c r="C20" i="4" s="1"/>
  <c r="C19" i="4" a="1"/>
  <c r="C19" i="4" s="1"/>
  <c r="C18" i="4" a="1"/>
  <c r="C18" i="4" s="1"/>
  <c r="C17" i="4" a="1"/>
  <c r="C17" i="4" s="1"/>
  <c r="C16" i="4" a="1"/>
  <c r="C16" i="4" s="1"/>
  <c r="C15" i="4" a="1"/>
  <c r="C15" i="4" s="1"/>
  <c r="C14" i="4" a="1"/>
  <c r="C14" i="4" s="1"/>
  <c r="C13" i="4" a="1"/>
  <c r="C13" i="4" s="1"/>
  <c r="C12" i="4" a="1"/>
  <c r="C12" i="4" s="1"/>
  <c r="C11" i="4" a="1"/>
  <c r="C11" i="4" s="1"/>
  <c r="C10" i="4" a="1"/>
  <c r="C10" i="4" s="1"/>
  <c r="C9" i="4" a="1"/>
  <c r="C9" i="4" s="1"/>
  <c r="C8" i="4" a="1"/>
  <c r="C8" i="4" s="1"/>
  <c r="C7" i="4" a="1"/>
  <c r="C7" i="4" s="1"/>
  <c r="C6" i="4" a="1"/>
  <c r="C6" i="4" s="1"/>
  <c r="C5" i="4" a="1"/>
  <c r="C5" i="4" s="1"/>
  <c r="C4" i="4" a="1"/>
  <c r="C4" i="4" s="1"/>
  <c r="C3" i="4" a="1"/>
  <c r="C3" i="4" s="1"/>
  <c r="C2" i="4" a="1"/>
  <c r="C2" i="4" s="1"/>
  <c r="I69" i="3"/>
  <c r="T69" i="3"/>
  <c r="M4" i="25" s="1"/>
  <c r="S69" i="3"/>
  <c r="L4" i="25" s="1"/>
  <c r="R69" i="3"/>
  <c r="K4" i="25" s="1"/>
  <c r="Q69" i="3"/>
  <c r="J4" i="25" s="1"/>
  <c r="P69" i="3"/>
  <c r="I4" i="25" s="1"/>
  <c r="O69" i="3"/>
  <c r="H4" i="25" s="1"/>
  <c r="N69" i="3"/>
  <c r="G4" i="25" s="1"/>
  <c r="M69" i="3"/>
  <c r="F4" i="25" s="1"/>
  <c r="L69" i="3"/>
  <c r="E4" i="25" s="1"/>
  <c r="K69" i="3"/>
  <c r="D4" i="25" s="1"/>
  <c r="J69" i="3"/>
  <c r="C4" i="25" s="1"/>
  <c r="H69" i="3"/>
  <c r="F69" i="3"/>
  <c r="E69" i="3"/>
  <c r="D69" i="3"/>
  <c r="P4" i="25" s="1"/>
  <c r="C67" i="3" a="1"/>
  <c r="C67" i="3" s="1"/>
  <c r="C66" i="3" a="1"/>
  <c r="C66" i="3" s="1"/>
  <c r="C65" i="3" a="1"/>
  <c r="C65" i="3" s="1"/>
  <c r="C64" i="3" a="1"/>
  <c r="C64" i="3" s="1"/>
  <c r="C63" i="3" a="1"/>
  <c r="C63" i="3" s="1"/>
  <c r="C62" i="3" a="1"/>
  <c r="C62" i="3" s="1"/>
  <c r="C61" i="3" a="1"/>
  <c r="C61" i="3" s="1"/>
  <c r="C60" i="3" a="1"/>
  <c r="C60" i="3" s="1"/>
  <c r="C59" i="3" a="1"/>
  <c r="C59" i="3" s="1"/>
  <c r="C58" i="3" a="1"/>
  <c r="C58" i="3" s="1"/>
  <c r="C57" i="3" a="1"/>
  <c r="C57" i="3" s="1"/>
  <c r="C56" i="3" a="1"/>
  <c r="C56" i="3" s="1"/>
  <c r="C55" i="3" a="1"/>
  <c r="C55" i="3" s="1"/>
  <c r="C54" i="3" a="1"/>
  <c r="C54" i="3" s="1"/>
  <c r="C53" i="3" a="1"/>
  <c r="C53" i="3" s="1"/>
  <c r="C52" i="3" a="1"/>
  <c r="C52" i="3" s="1"/>
  <c r="C51" i="3" a="1"/>
  <c r="C51" i="3" s="1"/>
  <c r="C50" i="3" a="1"/>
  <c r="C50" i="3" s="1"/>
  <c r="C49" i="3" a="1"/>
  <c r="C49" i="3" s="1"/>
  <c r="C48" i="3" a="1"/>
  <c r="C48" i="3" s="1"/>
  <c r="C47" i="3" a="1"/>
  <c r="C47" i="3" s="1"/>
  <c r="C46" i="3" a="1"/>
  <c r="C46" i="3" s="1"/>
  <c r="C45" i="3" a="1"/>
  <c r="C45" i="3" s="1"/>
  <c r="C44" i="3" a="1"/>
  <c r="C44" i="3" s="1"/>
  <c r="C43" i="3" a="1"/>
  <c r="C43" i="3" s="1"/>
  <c r="C42" i="3" a="1"/>
  <c r="C42" i="3" s="1"/>
  <c r="C41" i="3" a="1"/>
  <c r="C41" i="3" s="1"/>
  <c r="C40" i="3" a="1"/>
  <c r="C40" i="3" s="1"/>
  <c r="C39" i="3" a="1"/>
  <c r="C39" i="3" s="1"/>
  <c r="C38" i="3" a="1"/>
  <c r="C38" i="3" s="1"/>
  <c r="C37" i="3" a="1"/>
  <c r="C37" i="3" s="1"/>
  <c r="C36" i="3" a="1"/>
  <c r="C36" i="3" s="1"/>
  <c r="C35" i="3" a="1"/>
  <c r="C35" i="3" s="1"/>
  <c r="C34" i="3" a="1"/>
  <c r="C34" i="3" s="1"/>
  <c r="C33" i="3" a="1"/>
  <c r="C33" i="3" s="1"/>
  <c r="C32" i="3" a="1"/>
  <c r="C32" i="3" s="1"/>
  <c r="C31" i="3" a="1"/>
  <c r="C31" i="3" s="1"/>
  <c r="C30" i="3" a="1"/>
  <c r="C30" i="3" s="1"/>
  <c r="C29" i="3" a="1"/>
  <c r="C29" i="3" s="1"/>
  <c r="C28" i="3" a="1"/>
  <c r="C28" i="3" s="1"/>
  <c r="C27" i="3" a="1"/>
  <c r="C27" i="3" s="1"/>
  <c r="C26" i="3" a="1"/>
  <c r="C26" i="3" s="1"/>
  <c r="C25" i="3" a="1"/>
  <c r="C25" i="3" s="1"/>
  <c r="C24" i="3" a="1"/>
  <c r="C24" i="3" s="1"/>
  <c r="C23" i="3" a="1"/>
  <c r="C23" i="3" s="1"/>
  <c r="C22" i="3" a="1"/>
  <c r="C22" i="3" s="1"/>
  <c r="C21" i="3" a="1"/>
  <c r="C21" i="3" s="1"/>
  <c r="C20" i="3" a="1"/>
  <c r="C20" i="3" s="1"/>
  <c r="C19" i="3" a="1"/>
  <c r="C19" i="3" s="1"/>
  <c r="C18" i="3" a="1"/>
  <c r="C18" i="3" s="1"/>
  <c r="C17" i="3" a="1"/>
  <c r="C17" i="3" s="1"/>
  <c r="C16" i="3" a="1"/>
  <c r="C16" i="3" s="1"/>
  <c r="C15" i="3" a="1"/>
  <c r="C15" i="3" s="1"/>
  <c r="C14" i="3" a="1"/>
  <c r="C14" i="3" s="1"/>
  <c r="C13" i="3" a="1"/>
  <c r="C13" i="3" s="1"/>
  <c r="C12" i="3" a="1"/>
  <c r="C12" i="3" s="1"/>
  <c r="C11" i="3" a="1"/>
  <c r="C11" i="3" s="1"/>
  <c r="C10" i="3" a="1"/>
  <c r="C10" i="3" s="1"/>
  <c r="C9" i="3" a="1"/>
  <c r="C9" i="3" s="1"/>
  <c r="C8" i="3" a="1"/>
  <c r="C8" i="3" s="1"/>
  <c r="C7" i="3" a="1"/>
  <c r="C7" i="3" s="1"/>
  <c r="C6" i="3" a="1"/>
  <c r="C6" i="3" s="1"/>
  <c r="C5" i="3" a="1"/>
  <c r="C5" i="3" s="1"/>
  <c r="C4" i="3" a="1"/>
  <c r="C4" i="3" s="1"/>
  <c r="C3" i="3" a="1"/>
  <c r="C3" i="3" s="1"/>
  <c r="C2" i="3" a="1"/>
  <c r="C2" i="3" s="1"/>
  <c r="T49" i="2"/>
  <c r="M3" i="25" s="1"/>
  <c r="S49" i="2"/>
  <c r="L3" i="25" s="1"/>
  <c r="R49" i="2"/>
  <c r="K3" i="25" s="1"/>
  <c r="Q49" i="2"/>
  <c r="J3" i="25" s="1"/>
  <c r="P49" i="2"/>
  <c r="I3" i="25" s="1"/>
  <c r="O49" i="2"/>
  <c r="H3" i="25" s="1"/>
  <c r="N49" i="2"/>
  <c r="G3" i="25" s="1"/>
  <c r="M49" i="2"/>
  <c r="F3" i="25" s="1"/>
  <c r="L49" i="2"/>
  <c r="E3" i="25" s="1"/>
  <c r="K49" i="2"/>
  <c r="D3" i="25" s="1"/>
  <c r="J49" i="2"/>
  <c r="C3" i="25" s="1"/>
  <c r="H49" i="2"/>
  <c r="F49" i="2"/>
  <c r="E49" i="2"/>
  <c r="D49" i="2"/>
  <c r="P3" i="25" s="1"/>
  <c r="C48" i="2" a="1"/>
  <c r="C48" i="2" s="1"/>
  <c r="C47" i="2" a="1"/>
  <c r="C47" i="2" s="1"/>
  <c r="C46" i="2" a="1"/>
  <c r="C46" i="2" s="1"/>
  <c r="C45" i="2" a="1"/>
  <c r="C45" i="2" s="1"/>
  <c r="C44" i="2" a="1"/>
  <c r="C44" i="2" s="1"/>
  <c r="C43" i="2" a="1"/>
  <c r="C43" i="2" s="1"/>
  <c r="C42" i="2" a="1"/>
  <c r="C42" i="2" s="1"/>
  <c r="C41" i="2" a="1"/>
  <c r="C41" i="2" s="1"/>
  <c r="C40" i="2" a="1"/>
  <c r="C40" i="2" s="1"/>
  <c r="C39" i="2" a="1"/>
  <c r="C39" i="2" s="1"/>
  <c r="C38" i="2" a="1"/>
  <c r="C38" i="2" s="1"/>
  <c r="C37" i="2" a="1"/>
  <c r="C37" i="2" s="1"/>
  <c r="C36" i="2" a="1"/>
  <c r="C36" i="2" s="1"/>
  <c r="C35" i="2" a="1"/>
  <c r="C35" i="2" s="1"/>
  <c r="C34" i="2" a="1"/>
  <c r="C34" i="2" s="1"/>
  <c r="I33" i="2"/>
  <c r="C33" i="2" a="1"/>
  <c r="C33" i="2" s="1"/>
  <c r="C32" i="2" a="1"/>
  <c r="C32" i="2" s="1"/>
  <c r="I31" i="2"/>
  <c r="I49" i="2" s="1"/>
  <c r="C31" i="2" a="1"/>
  <c r="C31" i="2" s="1"/>
  <c r="C30" i="2" a="1"/>
  <c r="C30" i="2" s="1"/>
  <c r="C29" i="2" a="1"/>
  <c r="C29" i="2" s="1"/>
  <c r="C28" i="2" a="1"/>
  <c r="C28" i="2" s="1"/>
  <c r="C27" i="2" a="1"/>
  <c r="C27" i="2" s="1"/>
  <c r="C26" i="2" a="1"/>
  <c r="C26" i="2" s="1"/>
  <c r="C25" i="2" a="1"/>
  <c r="C25" i="2" s="1"/>
  <c r="C24" i="2" a="1"/>
  <c r="C24" i="2" s="1"/>
  <c r="C23" i="2" a="1"/>
  <c r="C23" i="2" s="1"/>
  <c r="C22" i="2" a="1"/>
  <c r="C22" i="2" s="1"/>
  <c r="C21" i="2" a="1"/>
  <c r="C21" i="2" s="1"/>
  <c r="C20" i="2" a="1"/>
  <c r="C20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11" i="2" a="1"/>
  <c r="C11" i="2" s="1"/>
  <c r="C10" i="2" a="1"/>
  <c r="C10" i="2" s="1"/>
  <c r="C9" i="2" a="1"/>
  <c r="C9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U76" i="1"/>
  <c r="N2" i="25" s="1"/>
  <c r="T76" i="1"/>
  <c r="M2" i="25" s="1"/>
  <c r="S76" i="1"/>
  <c r="L2" i="25" s="1"/>
  <c r="R76" i="1"/>
  <c r="K2" i="25" s="1"/>
  <c r="Q76" i="1"/>
  <c r="J2" i="25" s="1"/>
  <c r="P76" i="1"/>
  <c r="I2" i="25" s="1"/>
  <c r="O76" i="1"/>
  <c r="H2" i="25" s="1"/>
  <c r="N76" i="1"/>
  <c r="G2" i="25" s="1"/>
  <c r="M76" i="1"/>
  <c r="F2" i="25" s="1"/>
  <c r="L76" i="1"/>
  <c r="E2" i="25" s="1"/>
  <c r="K76" i="1"/>
  <c r="D2" i="25" s="1"/>
  <c r="J76" i="1"/>
  <c r="C2" i="25" s="1"/>
  <c r="H76" i="1"/>
  <c r="I76" i="1"/>
  <c r="F76" i="1"/>
  <c r="E76" i="1"/>
  <c r="D76" i="1"/>
  <c r="P2" i="25" s="1"/>
  <c r="C74" i="1" a="1"/>
  <c r="C74" i="1" s="1"/>
  <c r="C73" i="1" a="1"/>
  <c r="C73" i="1" s="1"/>
  <c r="C72" i="1" a="1"/>
  <c r="C72" i="1" s="1"/>
  <c r="C71" i="1" a="1"/>
  <c r="C71" i="1" s="1"/>
  <c r="C70" i="1" a="1"/>
  <c r="C70" i="1" s="1"/>
  <c r="C69" i="1" a="1"/>
  <c r="C69" i="1" s="1"/>
  <c r="C68" i="1" a="1"/>
  <c r="C68" i="1" s="1"/>
  <c r="C67" i="1" a="1"/>
  <c r="C67" i="1" s="1"/>
  <c r="C66" i="1" a="1"/>
  <c r="C66" i="1" s="1"/>
  <c r="C65" i="1" a="1"/>
  <c r="C65" i="1" s="1"/>
  <c r="C64" i="1" a="1"/>
  <c r="C64" i="1" s="1"/>
  <c r="C63" i="1" a="1"/>
  <c r="C63" i="1" s="1"/>
  <c r="C62" i="1" a="1"/>
  <c r="C62" i="1" s="1"/>
  <c r="C61" i="1" a="1"/>
  <c r="C61" i="1" s="1"/>
  <c r="C60" i="1" a="1"/>
  <c r="C60" i="1" s="1"/>
  <c r="C59" i="1" a="1"/>
  <c r="C59" i="1" s="1"/>
  <c r="C58" i="1" a="1"/>
  <c r="C58" i="1" s="1"/>
  <c r="C57" i="1" a="1"/>
  <c r="C57" i="1" s="1"/>
  <c r="C56" i="1" a="1"/>
  <c r="C56" i="1" s="1"/>
  <c r="C55" i="1" a="1"/>
  <c r="C55" i="1" s="1"/>
  <c r="C54" i="1" a="1"/>
  <c r="C54" i="1" s="1"/>
  <c r="C53" i="1" a="1"/>
  <c r="C53" i="1" s="1"/>
  <c r="C52" i="1" a="1"/>
  <c r="C52" i="1" s="1"/>
  <c r="C51" i="1" a="1"/>
  <c r="C51" i="1" s="1"/>
  <c r="C50" i="1" a="1"/>
  <c r="C50" i="1" s="1"/>
  <c r="C49" i="1" a="1"/>
  <c r="C49" i="1" s="1"/>
  <c r="C48" i="1" a="1"/>
  <c r="C48" i="1" s="1"/>
  <c r="C47" i="1" a="1"/>
  <c r="C47" i="1" s="1"/>
  <c r="C46" i="1" a="1"/>
  <c r="C46" i="1" s="1"/>
  <c r="C45" i="1" a="1"/>
  <c r="C45" i="1" s="1"/>
  <c r="C44" i="1" a="1"/>
  <c r="C44" i="1" s="1"/>
  <c r="C43" i="1" a="1"/>
  <c r="C43" i="1" s="1"/>
  <c r="C42" i="1" a="1"/>
  <c r="C42" i="1" s="1"/>
  <c r="C41" i="1" a="1"/>
  <c r="C41" i="1" s="1"/>
  <c r="C40" i="1" a="1"/>
  <c r="C40" i="1" s="1"/>
  <c r="C39" i="1" a="1"/>
  <c r="C39" i="1" s="1"/>
  <c r="C38" i="1" a="1"/>
  <c r="C38" i="1" s="1"/>
  <c r="C37" i="1" a="1"/>
  <c r="C37" i="1" s="1"/>
  <c r="C36" i="1" a="1"/>
  <c r="C36" i="1" s="1"/>
  <c r="C35" i="1" a="1"/>
  <c r="C35" i="1" s="1"/>
  <c r="C34" i="1" a="1"/>
  <c r="C34" i="1" s="1"/>
  <c r="C33" i="1" a="1"/>
  <c r="C33" i="1" s="1"/>
  <c r="C32" i="1" a="1"/>
  <c r="C32" i="1" s="1"/>
  <c r="C31" i="1" a="1"/>
  <c r="C31" i="1" s="1"/>
  <c r="C30" i="1" a="1"/>
  <c r="C30" i="1" s="1"/>
  <c r="C29" i="1" a="1"/>
  <c r="C29" i="1" s="1"/>
  <c r="C28" i="1" a="1"/>
  <c r="C28" i="1" s="1"/>
  <c r="C27" i="1" a="1"/>
  <c r="C27" i="1" s="1"/>
  <c r="C26" i="1" a="1"/>
  <c r="C26" i="1" s="1"/>
  <c r="C25" i="1" a="1"/>
  <c r="C25" i="1" s="1"/>
  <c r="C24" i="1" a="1"/>
  <c r="C24" i="1" s="1"/>
  <c r="C23" i="1" a="1"/>
  <c r="C23" i="1" s="1"/>
  <c r="C22" i="1" a="1"/>
  <c r="C22" i="1" s="1"/>
  <c r="C21" i="1" a="1"/>
  <c r="C21" i="1" s="1"/>
  <c r="C20" i="1" a="1"/>
  <c r="C20" i="1" s="1"/>
  <c r="C19" i="1" a="1"/>
  <c r="C19" i="1" s="1"/>
  <c r="C18" i="1" a="1"/>
  <c r="C18" i="1" s="1"/>
  <c r="C17" i="1" a="1"/>
  <c r="C17" i="1" s="1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 a="1"/>
  <c r="C8" i="1" s="1"/>
  <c r="C7" i="1" a="1"/>
  <c r="C7" i="1" s="1"/>
  <c r="C6" i="1" a="1"/>
  <c r="C6" i="1" s="1"/>
  <c r="C5" i="1" a="1"/>
  <c r="C5" i="1" s="1"/>
  <c r="C4" i="1" a="1"/>
  <c r="C4" i="1" s="1"/>
  <c r="C3" i="1" a="1"/>
  <c r="C3" i="1" s="1"/>
  <c r="C2" i="1" a="1"/>
  <c r="C2" i="1" s="1"/>
  <c r="C45" i="14" l="1"/>
  <c r="S14" i="25" s="1"/>
  <c r="C47" i="9"/>
  <c r="R10" i="25" s="1"/>
  <c r="C46" i="9"/>
  <c r="C30" i="22"/>
  <c r="C79" i="1"/>
  <c r="R2" i="25" s="1"/>
  <c r="C80" i="1"/>
  <c r="S2" i="25" s="1"/>
  <c r="C78" i="1"/>
  <c r="C14" i="20"/>
  <c r="S20" i="25" s="1"/>
  <c r="C32" i="22"/>
  <c r="S22" i="25" s="1"/>
  <c r="N29" i="25"/>
  <c r="M29" i="25"/>
  <c r="H29" i="25"/>
  <c r="C128" i="23"/>
  <c r="C48" i="9"/>
  <c r="S10" i="25" s="1"/>
  <c r="C44" i="9"/>
  <c r="C47" i="12"/>
  <c r="C48" i="12"/>
  <c r="R13" i="25" s="1"/>
  <c r="C49" i="12"/>
  <c r="S13" i="25" s="1"/>
  <c r="C45" i="12"/>
  <c r="C15" i="17"/>
  <c r="Q17" i="25" s="1"/>
  <c r="C43" i="14"/>
  <c r="C44" i="14"/>
  <c r="R14" i="25" s="1"/>
  <c r="C20" i="7"/>
  <c r="R8" i="25" s="1"/>
  <c r="C73" i="3"/>
  <c r="S4" i="25" s="1"/>
  <c r="C71" i="3"/>
  <c r="C72" i="3"/>
  <c r="R4" i="25" s="1"/>
  <c r="C34" i="16"/>
  <c r="C32" i="16"/>
  <c r="C29" i="10"/>
  <c r="C33" i="10"/>
  <c r="S11" i="25" s="1"/>
  <c r="C51" i="8"/>
  <c r="R9" i="25" s="1"/>
  <c r="C20" i="5"/>
  <c r="R6" i="25" s="1"/>
  <c r="C75" i="4"/>
  <c r="Q5" i="25" s="1"/>
  <c r="C69" i="3"/>
  <c r="C76" i="1"/>
  <c r="C52" i="2"/>
  <c r="R3" i="25" s="1"/>
  <c r="C51" i="2"/>
  <c r="C53" i="2"/>
  <c r="S3" i="25" s="1"/>
  <c r="C49" i="2"/>
  <c r="K24" i="25"/>
  <c r="K28" i="25"/>
  <c r="K31" i="25"/>
  <c r="D28" i="25"/>
  <c r="D31" i="25"/>
  <c r="C41" i="14"/>
  <c r="J31" i="25"/>
  <c r="J28" i="25"/>
  <c r="J24" i="25"/>
  <c r="C28" i="25"/>
  <c r="C31" i="25"/>
  <c r="C24" i="25"/>
  <c r="G31" i="25"/>
  <c r="G28" i="25"/>
  <c r="C77" i="4"/>
  <c r="S5" i="25" s="1"/>
  <c r="C76" i="4"/>
  <c r="R5" i="25" s="1"/>
  <c r="C73" i="4"/>
  <c r="C19" i="5"/>
  <c r="C17" i="5"/>
  <c r="C21" i="5"/>
  <c r="S6" i="25" s="1"/>
  <c r="C22" i="6"/>
  <c r="S7" i="25" s="1"/>
  <c r="C21" i="6"/>
  <c r="R7" i="25" s="1"/>
  <c r="C20" i="6"/>
  <c r="C18" i="6"/>
  <c r="C19" i="7"/>
  <c r="C17" i="7"/>
  <c r="C21" i="7"/>
  <c r="S8" i="25" s="1"/>
  <c r="C48" i="8"/>
  <c r="C52" i="8"/>
  <c r="S9" i="25" s="1"/>
  <c r="C50" i="8"/>
  <c r="N28" i="25"/>
  <c r="N24" i="25"/>
  <c r="N31" i="25"/>
  <c r="C44" i="11"/>
  <c r="S12" i="25" s="1"/>
  <c r="C42" i="11"/>
  <c r="C40" i="11"/>
  <c r="C43" i="11"/>
  <c r="R12" i="25" s="1"/>
  <c r="C34" i="15"/>
  <c r="S15" i="25" s="1"/>
  <c r="P24" i="25"/>
  <c r="P25" i="25" s="1"/>
  <c r="L24" i="25"/>
  <c r="L31" i="25"/>
  <c r="L28" i="25"/>
  <c r="F28" i="25"/>
  <c r="F31" i="25"/>
  <c r="H28" i="25"/>
  <c r="H31" i="25"/>
  <c r="C13" i="17"/>
  <c r="I29" i="25"/>
  <c r="E28" i="25"/>
  <c r="E31" i="25"/>
  <c r="M24" i="25"/>
  <c r="M28" i="25"/>
  <c r="T18" i="25"/>
  <c r="J29" i="25"/>
  <c r="C13" i="20"/>
  <c r="R20" i="25" s="1"/>
  <c r="C127" i="23"/>
  <c r="R23" i="25" s="1"/>
  <c r="C126" i="23"/>
  <c r="C31" i="10"/>
  <c r="D29" i="25"/>
  <c r="E34" i="26" s="1"/>
  <c r="E37" i="26" s="1"/>
  <c r="L29" i="25"/>
  <c r="M31" i="25"/>
  <c r="C32" i="10"/>
  <c r="R11" i="25" s="1"/>
  <c r="C17" i="17"/>
  <c r="S17" i="25" s="1"/>
  <c r="E29" i="25"/>
  <c r="I24" i="25"/>
  <c r="I31" i="25"/>
  <c r="I28" i="25"/>
  <c r="C33" i="15"/>
  <c r="R15" i="25" s="1"/>
  <c r="C28" i="19"/>
  <c r="C32" i="19"/>
  <c r="S19" i="25" s="1"/>
  <c r="C31" i="19"/>
  <c r="R19" i="25" s="1"/>
  <c r="C30" i="19"/>
  <c r="F29" i="25"/>
  <c r="C38" i="21"/>
  <c r="S21" i="25" s="1"/>
  <c r="C36" i="21"/>
  <c r="C34" i="21"/>
  <c r="G29" i="25"/>
  <c r="C36" i="16"/>
  <c r="S16" i="25" s="1"/>
  <c r="C35" i="16"/>
  <c r="R16" i="25" s="1"/>
  <c r="C31" i="22"/>
  <c r="R22" i="25" s="1"/>
  <c r="C27" i="22"/>
  <c r="C30" i="15"/>
  <c r="C32" i="15"/>
  <c r="C16" i="17"/>
  <c r="R17" i="25" s="1"/>
  <c r="C29" i="25"/>
  <c r="B34" i="26" s="1"/>
  <c r="B37" i="26" s="1"/>
  <c r="K29" i="25"/>
  <c r="C10" i="20"/>
  <c r="C12" i="20"/>
  <c r="C130" i="23" l="1"/>
  <c r="C22" i="7"/>
  <c r="Q8" i="25"/>
  <c r="U8" i="25" s="1"/>
  <c r="C30" i="25"/>
  <c r="B28" i="26"/>
  <c r="B29" i="26" s="1"/>
  <c r="B31" i="26" s="1"/>
  <c r="AC28" i="26"/>
  <c r="AC29" i="26" s="1"/>
  <c r="AC31" i="26" s="1"/>
  <c r="L30" i="25"/>
  <c r="E28" i="26"/>
  <c r="E29" i="26" s="1"/>
  <c r="E31" i="26" s="1"/>
  <c r="D30" i="25"/>
  <c r="Q22" i="25"/>
  <c r="U22" i="25" s="1"/>
  <c r="C33" i="22"/>
  <c r="Q28" i="26"/>
  <c r="Q29" i="26" s="1"/>
  <c r="Q31" i="26" s="1"/>
  <c r="H30" i="25"/>
  <c r="Q4" i="25"/>
  <c r="U4" i="25" s="1"/>
  <c r="C74" i="3"/>
  <c r="Q9" i="25"/>
  <c r="U9" i="25" s="1"/>
  <c r="C53" i="8"/>
  <c r="W28" i="26"/>
  <c r="W29" i="26" s="1"/>
  <c r="W31" i="26" s="1"/>
  <c r="J30" i="25"/>
  <c r="Q19" i="25"/>
  <c r="U19" i="25" s="1"/>
  <c r="C33" i="19"/>
  <c r="E30" i="25"/>
  <c r="H28" i="26"/>
  <c r="H29" i="26" s="1"/>
  <c r="H31" i="26" s="1"/>
  <c r="K30" i="25"/>
  <c r="Z28" i="26"/>
  <c r="Z29" i="26" s="1"/>
  <c r="Z31" i="26" s="1"/>
  <c r="Q2" i="25"/>
  <c r="C81" i="1"/>
  <c r="R28" i="25"/>
  <c r="Q7" i="25"/>
  <c r="U7" i="25" s="1"/>
  <c r="C23" i="6"/>
  <c r="C35" i="15"/>
  <c r="Q15" i="25"/>
  <c r="U15" i="25" s="1"/>
  <c r="Q13" i="25"/>
  <c r="U13" i="25" s="1"/>
  <c r="C50" i="12"/>
  <c r="F30" i="25"/>
  <c r="K28" i="26"/>
  <c r="K29" i="26" s="1"/>
  <c r="K31" i="26" s="1"/>
  <c r="U17" i="25"/>
  <c r="G30" i="25"/>
  <c r="N28" i="26"/>
  <c r="N29" i="26" s="1"/>
  <c r="N31" i="26" s="1"/>
  <c r="R27" i="25"/>
  <c r="R24" i="25"/>
  <c r="Q10" i="25"/>
  <c r="U10" i="25" s="1"/>
  <c r="C49" i="9"/>
  <c r="Q3" i="25"/>
  <c r="U3" i="25" s="1"/>
  <c r="C54" i="2"/>
  <c r="Q16" i="25"/>
  <c r="U16" i="25" s="1"/>
  <c r="C37" i="16"/>
  <c r="C39" i="21"/>
  <c r="Q21" i="25"/>
  <c r="U21" i="25" s="1"/>
  <c r="T28" i="26"/>
  <c r="T29" i="26" s="1"/>
  <c r="T31" i="26" s="1"/>
  <c r="I30" i="25"/>
  <c r="Q11" i="25"/>
  <c r="U11" i="25" s="1"/>
  <c r="C34" i="10"/>
  <c r="C18" i="17"/>
  <c r="C46" i="14"/>
  <c r="Q14" i="25"/>
  <c r="U14" i="25" s="1"/>
  <c r="C78" i="4"/>
  <c r="AF28" i="26"/>
  <c r="AF29" i="26" s="1"/>
  <c r="AF31" i="26" s="1"/>
  <c r="M30" i="25"/>
  <c r="Q20" i="25"/>
  <c r="U20" i="25" s="1"/>
  <c r="C15" i="20"/>
  <c r="Q12" i="25"/>
  <c r="U12" i="25" s="1"/>
  <c r="C45" i="11"/>
  <c r="N30" i="25"/>
  <c r="AI28" i="26"/>
  <c r="AI29" i="26" s="1"/>
  <c r="AI31" i="26" s="1"/>
  <c r="Q6" i="25"/>
  <c r="U6" i="25" s="1"/>
  <c r="C22" i="5"/>
  <c r="U5" i="25"/>
  <c r="R29" i="25"/>
  <c r="S24" i="25"/>
  <c r="T6" i="25" l="1"/>
  <c r="O6" i="25"/>
  <c r="T10" i="25"/>
  <c r="O10" i="25"/>
  <c r="T14" i="25"/>
  <c r="O14" i="25"/>
  <c r="O15" i="25"/>
  <c r="T15" i="25"/>
  <c r="O9" i="25"/>
  <c r="T9" i="25"/>
  <c r="T12" i="25"/>
  <c r="O12" i="25"/>
  <c r="T17" i="25"/>
  <c r="O17" i="25"/>
  <c r="T20" i="25"/>
  <c r="O20" i="25"/>
  <c r="O3" i="25"/>
  <c r="T3" i="25"/>
  <c r="O19" i="25"/>
  <c r="T19" i="25"/>
  <c r="O16" i="25"/>
  <c r="T16" i="25"/>
  <c r="O7" i="25"/>
  <c r="T7" i="25"/>
  <c r="T4" i="25"/>
  <c r="O4" i="25"/>
  <c r="O5" i="25"/>
  <c r="T5" i="25"/>
  <c r="T11" i="25"/>
  <c r="O11" i="25"/>
  <c r="T8" i="25"/>
  <c r="O8" i="25"/>
  <c r="Q24" i="25"/>
  <c r="T25" i="25" s="1"/>
  <c r="Q25" i="25" s="1" a="1"/>
  <c r="Q25" i="25" s="1"/>
  <c r="U2" i="25"/>
  <c r="O21" i="25"/>
  <c r="T21" i="25"/>
  <c r="O13" i="25"/>
  <c r="T13" i="25"/>
  <c r="T22" i="25"/>
  <c r="O22" i="25"/>
  <c r="U24" i="25" l="1"/>
  <c r="O2" i="25"/>
  <c r="O24" i="25" s="1"/>
  <c r="T2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0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Tharun A:
Two box- turn off 614</t>
        </r>
      </text>
    </comment>
    <comment ref="K21" authorId="0" shapeId="0" xr:uid="{284EA8D6-25A6-4B35-B504-D2F470B6A5E4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Turned on =&gt; Feb 2nd
Turn off at Bulk</t>
        </r>
      </text>
    </comment>
    <comment ref="J47" authorId="0" shapeId="0" xr:uid="{56362963-81FD-41B3-B8DB-9FB5EB9AB819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Spare changed on January.
This entry is for Previous month. Current month is pending.</t>
        </r>
      </text>
    </comment>
    <comment ref="B52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Tharun A:
Home regular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1" authorId="0" shapeId="0" xr:uid="{D88A2983-30FA-480F-B7BC-052F61AB34B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(OCT-JAN)
Last Updated =&gt; 4th Feb</t>
        </r>
      </text>
    </comment>
    <comment ref="I15" authorId="0" shapeId="0" xr:uid="{571D49CD-A1BD-4E9B-989E-E5C1A2D69611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(NOV or OCT)
LU =&gt; 4th Feb</t>
        </r>
      </text>
    </comment>
    <comment ref="I41" authorId="0" shapeId="0" xr:uid="{0AF7F1C2-A9E1-420F-B11F-9AFBB90BDFFF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DEC
LU =&gt; 4th Feb</t>
        </r>
      </text>
    </comment>
    <comment ref="B46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Tharun A:
Duplicate check note
Original V-1 =&gt; 22</t>
        </r>
      </text>
    </comment>
    <comment ref="K48" authorId="0" shapeId="0" xr:uid="{79DA6E05-C49F-4066-8DC1-B4A76FEE28E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Turned on =&gt; Feb 2nd
Turn off at Bulk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6" authorId="0" shapeId="0" xr:uid="{F11A89EB-AE85-491A-BF85-3FCF2FA16C1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14" authorId="0" shapeId="0" xr:uid="{08CC2F99-5566-4272-9D47-A4601873029F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B18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I51" authorId="0" shapeId="0" xr:uid="{106D5355-CE18-4C8C-843E-06BCEB0102E4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Nov
LU =&gt; 4th Feb</t>
        </r>
      </text>
    </comment>
    <comment ref="K52" authorId="0" shapeId="0" xr:uid="{FEDB0874-CBFC-437C-8E34-37B61D17A09D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Turned on =&gt; 2nd
Turn off at Bulk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4" authorId="0" shapeId="0" xr:uid="{8B20C19A-E04E-4737-8944-2FB1372644F6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1 -Dec
LU =&gt; 4th Feb
Gap =&gt; Turn on NP - M</t>
        </r>
      </text>
    </comment>
    <comment ref="B15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Tharun A:
Govindhan</t>
        </r>
      </text>
    </comment>
    <comment ref="B46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Tharun A:
Balance</t>
        </r>
      </text>
    </comment>
    <comment ref="I46" authorId="0" shapeId="0" xr:uid="{4EE76B38-56AD-4230-BA12-E725BFE80EF2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Dec
LU =&gt; 4th Feb</t>
        </r>
      </text>
    </comment>
    <comment ref="I60" authorId="0" shapeId="0" xr:uid="{397D1C35-4D56-4337-BB2B-5421C7401141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Nov
LU =&gt; 4th Feb</t>
        </r>
      </text>
    </comment>
    <comment ref="K63" authorId="0" shapeId="0" xr:uid="{140BEAFE-FF85-4AEF-B85D-3D51E9611879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Paid: No Balance,
Don't off,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3" authorId="0" shapeId="0" xr:uid="{00000000-0006-0000-0400-000001000000}">
      <text>
        <r>
          <rPr>
            <sz val="11"/>
            <color theme="1"/>
            <rFont val="Calibri"/>
            <family val="2"/>
            <scheme val="minor"/>
          </rPr>
          <t>Tharun A:
Ask appa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0" authorId="0" shapeId="0" xr:uid="{551BAFB6-E223-4FD2-99A3-28C725025DD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
</t>
        </r>
      </text>
    </comment>
    <comment ref="I16" authorId="0" shapeId="0" xr:uid="{E5F8BA80-F5E1-4F96-9158-BACEF017844C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H4" authorId="0" shapeId="0" xr:uid="{A5DFD83D-8332-4989-A3D5-C7CA67A7D7B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DEC
LU =&gt; 4th Feb</t>
        </r>
      </text>
    </comment>
    <comment ref="B6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H6" authorId="0" shapeId="0" xr:uid="{2F77E515-BD2F-429F-ACD5-9AB4AEECE04F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Tharun's =&gt; 1 - Jan
LU =&gt; 4th Feb</t>
        </r>
      </text>
    </comment>
    <comment ref="H19" authorId="0" shapeId="0" xr:uid="{90CBE4DF-B7A6-4143-BFC3-8720C9AD0621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B25" authorId="0" shapeId="0" xr:uid="{00000000-0006-0000-0700-000002000000}">
      <text>
        <r>
          <rPr>
            <sz val="11"/>
            <color theme="1"/>
            <rFont val="Calibri"/>
            <family val="2"/>
            <scheme val="minor"/>
          </rPr>
          <t xml:space="preserve">Tharun A:
M-2month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9" authorId="0" shapeId="0" xr:uid="{00000000-0006-0000-0800-000001000000}">
      <text>
        <r>
          <rPr>
            <sz val="11"/>
            <color theme="1"/>
            <rFont val="Calibri"/>
            <family val="2"/>
            <scheme val="minor"/>
          </rPr>
          <t>Tharun A:
DC - Last 2 month pending</t>
        </r>
      </text>
    </comment>
    <comment ref="I29" authorId="0" shapeId="0" xr:uid="{572EB57A-BBD4-423C-8A49-9895CCA901D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Nov, DEC
LU =&gt; 4th Feb
DC*</t>
        </r>
      </text>
    </comment>
    <comment ref="I32" authorId="0" shapeId="0" xr:uid="{8E48F40D-0499-4D96-9D6E-CBEE3F8ECD69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39" authorId="0" shapeId="0" xr:uid="{E3F97AFE-BAA1-49A0-B912-E74EF7CA0437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OCT
LU =&gt; 4th Feb</t>
        </r>
      </text>
    </comment>
    <comment ref="J41" authorId="0" shapeId="0" xr:uid="{C3AB5F3D-02CC-4753-9FFE-EE0027384D7D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Doubt</t>
        </r>
      </text>
    </comment>
    <comment ref="K43" authorId="0" shapeId="0" xr:uid="{228CA8E1-3863-4D7E-861C-EEC7A7A79AA1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Transferred from Palani line.
Paid - 200,
Old member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10" authorId="0" shapeId="0" xr:uid="{00000000-0006-0000-0900-000001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  <comment ref="I12" authorId="0" shapeId="0" xr:uid="{618FBEF7-DDA6-41C0-B685-9A8D8C22771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Nov, DEC
LU =&gt; 4th Feb
Cleared =&gt; 1
Pending =&gt; 1/2</t>
        </r>
      </text>
    </comment>
    <comment ref="B28" authorId="0" shapeId="0" xr:uid="{00000000-0006-0000-0900-000002000000}">
      <text>
        <r>
          <rPr>
            <sz val="11"/>
            <color theme="1"/>
            <rFont val="Calibri"/>
            <family val="2"/>
            <scheme val="minor"/>
          </rPr>
          <t>Tharun A:
M-Gap-17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2" authorId="0" shapeId="0" xr:uid="{D9E44A33-6995-44B0-9769-58AED7354B2F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Nov, Jan
LU =&gt; 4th Feb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11" authorId="0" shapeId="0" xr:uid="{C16F835A-E0E2-4260-99AB-F0643DD3AB39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14" authorId="0" shapeId="0" xr:uid="{F9389CB0-71CC-47C8-BEEC-6183A68EA1BC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15" authorId="0" shapeId="0" xr:uid="{E6EF4AA6-9B1F-4910-936D-BF23A3413FE6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Oct
LU =&gt; 4th Feb</t>
        </r>
      </text>
    </comment>
    <comment ref="I16" authorId="0" shapeId="0" xr:uid="{13131C10-4FB5-4326-8AED-23A5B79DDA83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25" authorId="0" shapeId="0" xr:uid="{8A7287F2-762D-44F6-9D75-599DFF451F4C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Oct
LU =&gt; 4th Feb</t>
        </r>
      </text>
    </comment>
    <comment ref="I26" authorId="0" shapeId="0" xr:uid="{95CFE208-B508-4EBF-8065-3C650F52CAC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K27" authorId="0" shapeId="0" xr:uid="{00000000-0006-0000-0B00-000001000000}">
      <text>
        <r>
          <rPr>
            <sz val="11"/>
            <color theme="1"/>
            <rFont val="Calibri"/>
            <family val="2"/>
            <scheme val="minor"/>
          </rPr>
          <t>Tharun A:
Paid on 31st Jan
Turn off on bulk payment</t>
        </r>
      </text>
    </comment>
    <comment ref="K43" authorId="0" shapeId="0" xr:uid="{00000000-0006-0000-0B00-000003000000}">
      <text>
        <r>
          <rPr>
            <sz val="11"/>
            <color theme="1"/>
            <rFont val="Calibri"/>
            <family val="2"/>
            <scheme val="minor"/>
          </rPr>
          <t>Tharun A:
Turned on 1st Feb, Long gap</t>
        </r>
      </text>
    </comment>
    <comment ref="K44" authorId="0" shapeId="0" xr:uid="{0A6A0375-F885-4AD1-90DA-3400929EBBC1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B.A Paid - 500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4" authorId="0" shapeId="0" xr:uid="{92CF4625-BB9B-4622-B29F-B47E07668F8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Dec, Jan
LU =&gt; 4th Feb</t>
        </r>
      </text>
    </comment>
    <comment ref="J4" authorId="0" shapeId="0" xr:uid="{00000000-0006-0000-0D00-000001000000}">
      <text>
        <r>
          <rPr>
            <sz val="11"/>
            <color theme="1"/>
            <rFont val="Calibri"/>
            <family val="2"/>
            <scheme val="minor"/>
          </rPr>
          <t>Tharun A:
Last month paid to M</t>
        </r>
      </text>
    </comment>
    <comment ref="B25" authorId="0" shapeId="0" xr:uid="{00000000-0006-0000-0D00-000002000000}">
      <text>
        <r>
          <rPr>
            <sz val="11"/>
            <color theme="1"/>
            <rFont val="Calibri"/>
            <family val="2"/>
            <scheme val="minor"/>
          </rPr>
          <t>Tharun A:
Vallur-1 Sakthivel Two box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I3" authorId="0" shapeId="0" xr:uid="{81238BAB-87C3-43EB-B14C-C28D4CB6DC8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Sep, Dec
LU =&gt; 4th Feb</t>
        </r>
      </text>
    </comment>
    <comment ref="I8" authorId="0" shapeId="0" xr:uid="{B8A778B2-638A-46FF-AA24-6CF53AC9CF8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  <comment ref="I22" authorId="0" shapeId="0" xr:uid="{248D1C5A-CA9E-49BB-9B55-E4BE5CBE5EB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Jan
LU =&gt; 4th Feb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5" authorId="0" shapeId="0" xr:uid="{00000000-0006-0000-0F00-000001000000}">
      <text>
        <r>
          <rPr>
            <sz val="11"/>
            <color theme="1"/>
            <rFont val="Calibri"/>
            <family val="2"/>
            <scheme val="minor"/>
          </rPr>
          <t>Tharun A:
Gap-300</t>
        </r>
      </text>
    </comment>
    <comment ref="I13" authorId="0" shapeId="0" xr:uid="{1DE201E3-2775-4733-827C-70A1D33778B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2 - Dec, Jan
LU =&gt; 4th Feb</t>
        </r>
      </text>
    </comment>
    <comment ref="B18" authorId="0" shapeId="0" xr:uid="{00000000-0006-0000-0F00-000002000000}">
      <text>
        <r>
          <rPr>
            <sz val="11"/>
            <color theme="1"/>
            <rFont val="Calibri"/>
            <family val="2"/>
            <scheme val="minor"/>
          </rPr>
          <t>Tharun A:
Balance</t>
        </r>
      </text>
    </comment>
    <comment ref="I18" authorId="0" shapeId="0" xr:uid="{63A5EC7A-E1A7-4714-8B3C-30DC77C8B467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Dec
LU =&gt; 4th Feb</t>
        </r>
      </text>
    </comment>
    <comment ref="I25" authorId="0" shapeId="0" xr:uid="{09F8BEAA-5734-4A29-A858-14E2D41E514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Nov, Jan(Balance)
LU =&gt; 4th Feb</t>
        </r>
      </text>
    </comment>
    <comment ref="B31" authorId="0" shapeId="0" xr:uid="{15492E56-B819-4598-9848-E419CC638D77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New box-3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6" authorId="0" shapeId="0" xr:uid="{00000000-0006-0000-1000-000001000000}">
      <text>
        <r>
          <rPr>
            <sz val="11"/>
            <color theme="1"/>
            <rFont val="Calibri"/>
            <family val="2"/>
            <scheme val="minor"/>
          </rPr>
          <t>Tharun A:
balance
360</t>
        </r>
      </text>
    </comment>
    <comment ref="H6" authorId="0" shapeId="0" xr:uid="{5F500843-DD62-4375-880E-A7C7E7A62732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Gap - NP
Told - 360</t>
        </r>
      </text>
    </comment>
    <comment ref="B8" authorId="0" shapeId="0" xr:uid="{00000000-0006-0000-1000-000002000000}">
      <text>
        <r>
          <rPr>
            <sz val="11"/>
            <color theme="1"/>
            <rFont val="Calibri"/>
            <family val="2"/>
            <scheme val="minor"/>
          </rPr>
          <t xml:space="preserve">Tharun A:
</t>
        </r>
      </text>
    </comment>
    <comment ref="H8" authorId="0" shapeId="0" xr:uid="{6EDEE156-A079-4D91-AC49-D02BEFAC7CA2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M's =&gt; 1 - Nov
LU =&gt; 4th Feb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2" authorId="0" shapeId="0" xr:uid="{00000000-0006-0000-1200-000001000000}">
      <text>
        <r>
          <rPr>
            <sz val="11"/>
            <color theme="1"/>
            <rFont val="Calibri"/>
            <family val="2"/>
            <scheme val="minor"/>
          </rPr>
          <t>Tharun A:
Pudhur murgan - GP</t>
        </r>
      </text>
    </comment>
    <comment ref="I22" authorId="0" shapeId="0" xr:uid="{00000000-0006-0000-1200-000002000000}">
      <text>
        <r>
          <rPr>
            <sz val="11"/>
            <color theme="1"/>
            <rFont val="Calibri"/>
            <family val="2"/>
            <scheme val="minor"/>
          </rPr>
          <t>Tharun A:
GP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J2" authorId="0" shapeId="0" xr:uid="{C5632841-BB5E-4BF9-BDC3-CEC69E09DA13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 off at bulk payment,
Turned on - 2nd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J20" authorId="0" shapeId="0" xr:uid="{DB19B990-30C3-40E8-ABAB-CC02786DDCE9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 off at bulk payment,
Turned on - 2nd</t>
        </r>
      </text>
    </comment>
    <comment ref="J26" authorId="0" shapeId="0" xr:uid="{A766CB56-6291-4F65-89EC-984F30416B10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Turned on =&gt; Feb-3,
Turn off at bulk off,
Paid: 200 for Jan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H114" authorId="0" shapeId="0" xr:uid="{435B1FAA-B345-4D10-9383-E78382B7618B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Paid to Chithapa 100</t>
        </r>
      </text>
    </comment>
    <comment ref="I114" authorId="0" shapeId="0" xr:uid="{CB4FEFCF-44BC-4D70-B0B4-8A1849451FFA}">
      <text>
        <r>
          <rPr>
            <b/>
            <sz val="9"/>
            <color indexed="81"/>
            <rFont val="Tahoma"/>
            <charset val="1"/>
          </rPr>
          <t>Tharun A:</t>
        </r>
        <r>
          <rPr>
            <sz val="9"/>
            <color indexed="81"/>
            <rFont val="Tahoma"/>
            <charset val="1"/>
          </rPr>
          <t xml:space="preserve">
Turn off at Bulk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Tharun A</author>
  </authors>
  <commentList>
    <comment ref="B20" authorId="0" shapeId="0" xr:uid="{00000000-0006-0000-1900-000001000000}">
      <text>
        <r>
          <rPr>
            <sz val="11"/>
            <color theme="1"/>
            <rFont val="Calibri"/>
            <family val="2"/>
            <scheme val="minor"/>
          </rPr>
          <t>Tharun A:
Phonepe</t>
        </r>
      </text>
    </comment>
    <comment ref="B22" authorId="0" shapeId="0" xr:uid="{00000000-0006-0000-1900-000002000000}">
      <text>
        <r>
          <rPr>
            <sz val="11"/>
            <color theme="1"/>
            <rFont val="Calibri"/>
            <family val="2"/>
            <scheme val="minor"/>
          </rPr>
          <t>Tharun A:
Phonepe</t>
        </r>
      </text>
    </comment>
    <comment ref="B23" authorId="0" shapeId="0" xr:uid="{39E59699-54BD-4F8A-997F-0467EBA19681}">
      <text>
        <r>
          <rPr>
            <b/>
            <sz val="9"/>
            <color indexed="81"/>
            <rFont val="Tahoma"/>
            <family val="2"/>
          </rPr>
          <t>Tharun A:</t>
        </r>
        <r>
          <rPr>
            <sz val="9"/>
            <color indexed="81"/>
            <rFont val="Tahoma"/>
            <family val="2"/>
          </rPr>
          <t xml:space="preserve">
2200 phonepe + 900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<sst xmlns="http://schemas.openxmlformats.org/spreadsheetml/2006/main" count="4464" uniqueCount="2592">
  <si>
    <t>S.NO</t>
  </si>
  <si>
    <t>Customer Name</t>
  </si>
  <si>
    <t>PAID</t>
  </si>
  <si>
    <t>Package</t>
  </si>
  <si>
    <t>Box No</t>
  </si>
  <si>
    <t>CAF_ID</t>
  </si>
  <si>
    <t>Amount</t>
  </si>
  <si>
    <t>BALANCE</t>
  </si>
  <si>
    <t>Dec-20</t>
  </si>
  <si>
    <t>JANUARY</t>
  </si>
  <si>
    <t>FEBEUARY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</si>
  <si>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</si>
  <si>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</si>
  <si>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</si>
  <si>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</si>
  <si>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</si>
  <si>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</si>
  <si>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</si>
  <si>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</si>
  <si>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</si>
  <si>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</si>
  <si>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COMMENTS</t>
  </si>
  <si>
    <t>Dhurai raj</t>
  </si>
  <si>
    <t>BST 200, DIGICON PACKAGE 4</t>
  </si>
  <si>
    <t>8006064608179712</t>
  </si>
  <si>
    <t>216861</t>
  </si>
  <si>
    <t>Nirmala Venkatesh</t>
  </si>
  <si>
    <t>0300847082</t>
  </si>
  <si>
    <t>83022</t>
  </si>
  <si>
    <t>Vijiyan</t>
  </si>
  <si>
    <t>BST 200, DIGICON TAMIL MAXX</t>
  </si>
  <si>
    <t>0300847097</t>
  </si>
  <si>
    <t>83856</t>
  </si>
  <si>
    <t>Tulasi</t>
  </si>
  <si>
    <t>0300686713</t>
  </si>
  <si>
    <t>188644</t>
  </si>
  <si>
    <t>DIGICON TAMIL MAXX, BST 200</t>
  </si>
  <si>
    <t>0300820087</t>
  </si>
  <si>
    <t>62162</t>
  </si>
  <si>
    <t>Mani</t>
  </si>
  <si>
    <t>0300820039</t>
  </si>
  <si>
    <t>100593</t>
  </si>
  <si>
    <t>Lakshmi</t>
  </si>
  <si>
    <t>0300847093</t>
  </si>
  <si>
    <t>83020</t>
  </si>
  <si>
    <t>A</t>
  </si>
  <si>
    <t>Sakthivel</t>
  </si>
  <si>
    <t>0300747516</t>
  </si>
  <si>
    <t>191497</t>
  </si>
  <si>
    <t>M</t>
  </si>
  <si>
    <t>Murugan</t>
  </si>
  <si>
    <t>DIGICON PACKAGE 4, BST 200</t>
  </si>
  <si>
    <t>8200004418097534</t>
  </si>
  <si>
    <t>289237</t>
  </si>
  <si>
    <t>H-200</t>
  </si>
  <si>
    <t>Periyapaappa</t>
  </si>
  <si>
    <t>8006064608179258</t>
  </si>
  <si>
    <t>228769</t>
  </si>
  <si>
    <t>8200004418109107</t>
  </si>
  <si>
    <t>115142</t>
  </si>
  <si>
    <t>Nikil Kumar</t>
  </si>
  <si>
    <t>DIGICON TAMIL MINI PACK</t>
  </si>
  <si>
    <t>8200004418109529</t>
  </si>
  <si>
    <t>144842</t>
  </si>
  <si>
    <t>Balu</t>
  </si>
  <si>
    <t>8006064608180082</t>
  </si>
  <si>
    <t>236733</t>
  </si>
  <si>
    <t>Chinnasaami</t>
  </si>
  <si>
    <t>8200004399991416</t>
  </si>
  <si>
    <t>286080</t>
  </si>
  <si>
    <t>Nandhini</t>
  </si>
  <si>
    <t>0300847072</t>
  </si>
  <si>
    <t>78161</t>
  </si>
  <si>
    <t>Selvi</t>
  </si>
  <si>
    <t>0300847124</t>
  </si>
  <si>
    <t>87896</t>
  </si>
  <si>
    <t>Perumal</t>
  </si>
  <si>
    <t>8200004399991317</t>
  </si>
  <si>
    <t>286551</t>
  </si>
  <si>
    <t>Pachamuthu Palaniammal</t>
  </si>
  <si>
    <t>A/M</t>
  </si>
  <si>
    <t>Pachamuthu</t>
  </si>
  <si>
    <t>8200004418109404</t>
  </si>
  <si>
    <t>149762</t>
  </si>
  <si>
    <t>Alagi Vadivel</t>
  </si>
  <si>
    <t>8136404371010210</t>
  </si>
  <si>
    <t>115135</t>
  </si>
  <si>
    <t>Rajaamani</t>
  </si>
  <si>
    <t>ZEE TAMIL( Alacarte ), DIGICON TAMIL MINI PACK</t>
  </si>
  <si>
    <t>0300847036</t>
  </si>
  <si>
    <t>77701</t>
  </si>
  <si>
    <t>Sendhamarai</t>
  </si>
  <si>
    <t>0300500557</t>
  </si>
  <si>
    <t>352196</t>
  </si>
  <si>
    <t>Senthil</t>
  </si>
  <si>
    <t>8006064608179480</t>
  </si>
  <si>
    <t>230509</t>
  </si>
  <si>
    <t>H-220</t>
  </si>
  <si>
    <t>Parthiban</t>
  </si>
  <si>
    <t>8200004418387976</t>
  </si>
  <si>
    <t>115130</t>
  </si>
  <si>
    <t>Lakshman</t>
  </si>
  <si>
    <t>8006064608179878</t>
  </si>
  <si>
    <t>217679</t>
  </si>
  <si>
    <t>Mangaikarasi</t>
  </si>
  <si>
    <t>0300686693</t>
  </si>
  <si>
    <t>188660</t>
  </si>
  <si>
    <t>Ramachandiran</t>
  </si>
  <si>
    <t>0300741651</t>
  </si>
  <si>
    <t>46876</t>
  </si>
  <si>
    <t>Kuppan</t>
  </si>
  <si>
    <t>8006064608179415</t>
  </si>
  <si>
    <t>228768</t>
  </si>
  <si>
    <t>H</t>
  </si>
  <si>
    <t>0300741650</t>
  </si>
  <si>
    <t>46878</t>
  </si>
  <si>
    <t>0200392176</t>
  </si>
  <si>
    <t>53205</t>
  </si>
  <si>
    <t>Thanjammal</t>
  </si>
  <si>
    <t>0300847168</t>
  </si>
  <si>
    <t>87904</t>
  </si>
  <si>
    <t>Revathi Shankar</t>
  </si>
  <si>
    <t>0300847191</t>
  </si>
  <si>
    <t>88459</t>
  </si>
  <si>
    <t>Aasodha</t>
  </si>
  <si>
    <t>0400050704</t>
  </si>
  <si>
    <t>215527</t>
  </si>
  <si>
    <t>Kumar C</t>
  </si>
  <si>
    <t>0300591540</t>
  </si>
  <si>
    <t>174541</t>
  </si>
  <si>
    <t>Dhurai</t>
  </si>
  <si>
    <t>DIGICON TAMIL MINI PACK, ZEE TAMIL( Alacarte )</t>
  </si>
  <si>
    <t>8006064608179373</t>
  </si>
  <si>
    <t>230205</t>
  </si>
  <si>
    <t>Nagarani</t>
  </si>
  <si>
    <t>0300686708</t>
  </si>
  <si>
    <t>186884</t>
  </si>
  <si>
    <t>Surendhiran</t>
  </si>
  <si>
    <t>8200004399991788</t>
  </si>
  <si>
    <t>286075</t>
  </si>
  <si>
    <t>Rukkhu</t>
  </si>
  <si>
    <t>0300686705</t>
  </si>
  <si>
    <t>186841</t>
  </si>
  <si>
    <t>Sathish kumar</t>
  </si>
  <si>
    <t>0300882140</t>
  </si>
  <si>
    <t>197762</t>
  </si>
  <si>
    <t>Chitra</t>
  </si>
  <si>
    <t>0300747505</t>
  </si>
  <si>
    <t>191520</t>
  </si>
  <si>
    <t>Sivakumar EB</t>
  </si>
  <si>
    <t>0300847156</t>
  </si>
  <si>
    <t>135936</t>
  </si>
  <si>
    <t>Sugandheerah</t>
  </si>
  <si>
    <t>0300686692</t>
  </si>
  <si>
    <t>186864</t>
  </si>
  <si>
    <t>Kandhammal</t>
  </si>
  <si>
    <t>8006064608179233</t>
  </si>
  <si>
    <t>218173</t>
  </si>
  <si>
    <t>Mullaiyaraci</t>
  </si>
  <si>
    <t>0300820084</t>
  </si>
  <si>
    <t>63215</t>
  </si>
  <si>
    <t>Maarimuthu</t>
  </si>
  <si>
    <t>0300686697</t>
  </si>
  <si>
    <t>185854</t>
  </si>
  <si>
    <t>Shanmugam</t>
  </si>
  <si>
    <t>0300713582</t>
  </si>
  <si>
    <t>354329</t>
  </si>
  <si>
    <t>Tunmadhi</t>
  </si>
  <si>
    <t>8006064608179860</t>
  </si>
  <si>
    <t>216817</t>
  </si>
  <si>
    <t>Advance</t>
  </si>
  <si>
    <t>Rasathi</t>
  </si>
  <si>
    <t>0300686716</t>
  </si>
  <si>
    <t>186896</t>
  </si>
  <si>
    <t>Govinden</t>
  </si>
  <si>
    <t>0300438945</t>
  </si>
  <si>
    <t>241976</t>
  </si>
  <si>
    <t>Vasandhi</t>
  </si>
  <si>
    <t>0200431547</t>
  </si>
  <si>
    <t>119582</t>
  </si>
  <si>
    <t>8006064608179449</t>
  </si>
  <si>
    <t>230208</t>
  </si>
  <si>
    <t>Saravana perumal</t>
  </si>
  <si>
    <t>Gowri Marimuthu</t>
  </si>
  <si>
    <t>0300686675</t>
  </si>
  <si>
    <t>184284</t>
  </si>
  <si>
    <t>Ganesan</t>
  </si>
  <si>
    <t>0300802648</t>
  </si>
  <si>
    <t>250801</t>
  </si>
  <si>
    <t>Murugan Driver</t>
  </si>
  <si>
    <t>0301296525</t>
  </si>
  <si>
    <t>66531</t>
  </si>
  <si>
    <t>ON-1</t>
  </si>
  <si>
    <t>0300710827</t>
  </si>
  <si>
    <t>314258</t>
  </si>
  <si>
    <t>Gopikrishnan</t>
  </si>
  <si>
    <t>8136404371011127</t>
  </si>
  <si>
    <t>119193</t>
  </si>
  <si>
    <t>Moorthi</t>
  </si>
  <si>
    <t>8006064608179670</t>
  </si>
  <si>
    <t>218069</t>
  </si>
  <si>
    <t>Arumugam</t>
  </si>
  <si>
    <t>0300741636</t>
  </si>
  <si>
    <t>39821</t>
  </si>
  <si>
    <t>Jayaraman</t>
  </si>
  <si>
    <t>0300747512</t>
  </si>
  <si>
    <t>192601</t>
  </si>
  <si>
    <t>Darman</t>
  </si>
  <si>
    <t>0300847031</t>
  </si>
  <si>
    <t>77415</t>
  </si>
  <si>
    <t>Kuppammal</t>
  </si>
  <si>
    <t>8006064608179654</t>
  </si>
  <si>
    <t>230880</t>
  </si>
  <si>
    <t>Subash Ravi</t>
  </si>
  <si>
    <t>0300500523</t>
  </si>
  <si>
    <t>349328</t>
  </si>
  <si>
    <t>Murugan Aasiriiyer</t>
  </si>
  <si>
    <t>0300847024</t>
  </si>
  <si>
    <t>77414</t>
  </si>
  <si>
    <t>kavitha</t>
  </si>
  <si>
    <t>0300847027</t>
  </si>
  <si>
    <t>75394</t>
  </si>
  <si>
    <t>Kaveri</t>
  </si>
  <si>
    <t>0300820086</t>
  </si>
  <si>
    <t>62171</t>
  </si>
  <si>
    <t>Sivakumar</t>
  </si>
  <si>
    <t>0300847094</t>
  </si>
  <si>
    <t>83018</t>
  </si>
  <si>
    <t>Madhaiyan-1</t>
  </si>
  <si>
    <t>0300820091</t>
  </si>
  <si>
    <t>62154</t>
  </si>
  <si>
    <t>Kadan</t>
  </si>
  <si>
    <t>Madhaiyan-2</t>
  </si>
  <si>
    <t>0300500731</t>
  </si>
  <si>
    <t>352597</t>
  </si>
  <si>
    <t>0300847047</t>
  </si>
  <si>
    <t>77421</t>
  </si>
  <si>
    <t>Saloon Muniyappan</t>
  </si>
  <si>
    <t>0300847184</t>
  </si>
  <si>
    <t>95959</t>
  </si>
  <si>
    <t>Thirunavukkarasu</t>
  </si>
  <si>
    <t>0300820075</t>
  </si>
  <si>
    <t>62938</t>
  </si>
  <si>
    <t>Tharun Kumar</t>
  </si>
  <si>
    <t>0300847123</t>
  </si>
  <si>
    <t>86610</t>
  </si>
  <si>
    <t>Total</t>
  </si>
  <si>
    <t>TOTAL - P</t>
  </si>
  <si>
    <t>TOTAL - M</t>
  </si>
  <si>
    <t>TOTAL - A</t>
  </si>
  <si>
    <t>TOTAL ACTIVE</t>
  </si>
  <si>
    <t>Rajagopalan</t>
  </si>
  <si>
    <t>0300820052</t>
  </si>
  <si>
    <t>64314</t>
  </si>
  <si>
    <t>Raji</t>
  </si>
  <si>
    <t>0300556571</t>
  </si>
  <si>
    <t>178445</t>
  </si>
  <si>
    <t>Munnusamy</t>
  </si>
  <si>
    <t>0300686711</t>
  </si>
  <si>
    <t>186904</t>
  </si>
  <si>
    <t>After 2 months on 21-OCT</t>
  </si>
  <si>
    <t>Murugesan L.I.C</t>
  </si>
  <si>
    <t>0300741647</t>
  </si>
  <si>
    <t>44549</t>
  </si>
  <si>
    <t>node</t>
  </si>
  <si>
    <t>Shivan</t>
  </si>
  <si>
    <t>0300847198</t>
  </si>
  <si>
    <t>105531</t>
  </si>
  <si>
    <t>Rani Sabari</t>
  </si>
  <si>
    <t>0300741689</t>
  </si>
  <si>
    <t>46939</t>
  </si>
  <si>
    <t>Ambika</t>
  </si>
  <si>
    <t>0300686709</t>
  </si>
  <si>
    <t>186869</t>
  </si>
  <si>
    <t>Rathna</t>
  </si>
  <si>
    <t>0300546839</t>
  </si>
  <si>
    <t>241973</t>
  </si>
  <si>
    <t>M-300-on-8th</t>
  </si>
  <si>
    <t>Ravi</t>
  </si>
  <si>
    <t>0300847125</t>
  </si>
  <si>
    <t>106519</t>
  </si>
  <si>
    <t>8006064608179738</t>
  </si>
  <si>
    <t>233001</t>
  </si>
  <si>
    <t>Anggappan</t>
  </si>
  <si>
    <t>0300847152</t>
  </si>
  <si>
    <t>30508</t>
  </si>
  <si>
    <t>Murugan Mesthiri</t>
  </si>
  <si>
    <t>8136404371011143</t>
  </si>
  <si>
    <t>118379</t>
  </si>
  <si>
    <t>Magesh</t>
  </si>
  <si>
    <t>0300741632</t>
  </si>
  <si>
    <t>39659</t>
  </si>
  <si>
    <t>Sangam</t>
  </si>
  <si>
    <t>Sanga-A</t>
  </si>
  <si>
    <t>Pameela </t>
  </si>
  <si>
    <t>8006064608179266</t>
  </si>
  <si>
    <t>225560</t>
  </si>
  <si>
    <t>Murugan Indore</t>
  </si>
  <si>
    <t>97300717AB0180</t>
  </si>
  <si>
    <t>351798</t>
  </si>
  <si>
    <t>New-15</t>
  </si>
  <si>
    <t>Sivam</t>
  </si>
  <si>
    <t>0300847153</t>
  </si>
  <si>
    <t>135937</t>
  </si>
  <si>
    <t>Chinnaraji</t>
  </si>
  <si>
    <t>0300847079</t>
  </si>
  <si>
    <t>79535</t>
  </si>
  <si>
    <t>Saravanan</t>
  </si>
  <si>
    <t>0300481585</t>
  </si>
  <si>
    <t>245285</t>
  </si>
  <si>
    <t>Kutiyammal</t>
  </si>
  <si>
    <t>0300686680</t>
  </si>
  <si>
    <t>195436</t>
  </si>
  <si>
    <t>8006064608179399</t>
  </si>
  <si>
    <t>225558</t>
  </si>
  <si>
    <t>Murugan S</t>
  </si>
  <si>
    <t>8200004418119593</t>
  </si>
  <si>
    <t>295467</t>
  </si>
  <si>
    <t>Periyasami</t>
  </si>
  <si>
    <t>0300500897</t>
  </si>
  <si>
    <t>36741</t>
  </si>
  <si>
    <t>Amara Varadhan</t>
  </si>
  <si>
    <t>0300747504</t>
  </si>
  <si>
    <t>184046</t>
  </si>
  <si>
    <t>Ramasamy</t>
  </si>
  <si>
    <t>0300820028</t>
  </si>
  <si>
    <t>47519</t>
  </si>
  <si>
    <t>Rajeshwari</t>
  </si>
  <si>
    <t>8136404371010178</t>
  </si>
  <si>
    <t>115143</t>
  </si>
  <si>
    <t>Lakshmanan</t>
  </si>
  <si>
    <t>0300820037</t>
  </si>
  <si>
    <t>79546</t>
  </si>
  <si>
    <t>Palani</t>
  </si>
  <si>
    <t>0400067829</t>
  </si>
  <si>
    <t>213150</t>
  </si>
  <si>
    <t>Murugan MRS Travels</t>
  </si>
  <si>
    <t>0300500033</t>
  </si>
  <si>
    <t>Aamudha</t>
  </si>
  <si>
    <t>0300847120</t>
  </si>
  <si>
    <t>83624</t>
  </si>
  <si>
    <t>Murugan Nagammal</t>
  </si>
  <si>
    <t>0300847113</t>
  </si>
  <si>
    <t>83622</t>
  </si>
  <si>
    <t>Salammal</t>
  </si>
  <si>
    <t>0300500670</t>
  </si>
  <si>
    <t>350632</t>
  </si>
  <si>
    <t>New-4</t>
  </si>
  <si>
    <t>0301296515</t>
  </si>
  <si>
    <t>199804</t>
  </si>
  <si>
    <t>8136404371011010</t>
  </si>
  <si>
    <t>119419</t>
  </si>
  <si>
    <t>Susila</t>
  </si>
  <si>
    <t>0300847092</t>
  </si>
  <si>
    <t>89354</t>
  </si>
  <si>
    <t>Adhilakshmi</t>
  </si>
  <si>
    <t>0300500702</t>
  </si>
  <si>
    <t>346113</t>
  </si>
  <si>
    <t>0300847174</t>
  </si>
  <si>
    <t>87891</t>
  </si>
  <si>
    <t>Ramasamy Deepa</t>
  </si>
  <si>
    <t>0300741678</t>
  </si>
  <si>
    <t>46788</t>
  </si>
  <si>
    <t>Sivalingam</t>
  </si>
  <si>
    <t>0300686707</t>
  </si>
  <si>
    <t>188656</t>
  </si>
  <si>
    <t>Govindharaj</t>
  </si>
  <si>
    <t>0300686717</t>
  </si>
  <si>
    <t>188669</t>
  </si>
  <si>
    <t>Devaraj</t>
  </si>
  <si>
    <t>0300632197</t>
  </si>
  <si>
    <t>26710</t>
  </si>
  <si>
    <t>on 8-9 =&gt; off at 8-9</t>
  </si>
  <si>
    <t>Muniyammal</t>
  </si>
  <si>
    <t>8006064608179217</t>
  </si>
  <si>
    <t>230514</t>
  </si>
  <si>
    <t>Perimal</t>
  </si>
  <si>
    <t>0300847182</t>
  </si>
  <si>
    <t>93684</t>
  </si>
  <si>
    <t>Vijikumar</t>
  </si>
  <si>
    <t>0300500693</t>
  </si>
  <si>
    <t>347640</t>
  </si>
  <si>
    <t>0301092937</t>
  </si>
  <si>
    <t>355143</t>
  </si>
  <si>
    <t>Gap-19</t>
  </si>
  <si>
    <t>New-19</t>
  </si>
  <si>
    <t>Ram murthi</t>
  </si>
  <si>
    <t>0300847103</t>
  </si>
  <si>
    <t>84413</t>
  </si>
  <si>
    <t>Saravanen Perma</t>
  </si>
  <si>
    <t>0301296533</t>
  </si>
  <si>
    <t>104671</t>
  </si>
  <si>
    <t>H-200-06/12</t>
  </si>
  <si>
    <t>Dhanabhakiyam</t>
  </si>
  <si>
    <t>0300686687</t>
  </si>
  <si>
    <t>185658</t>
  </si>
  <si>
    <t>Vigneshwaran</t>
  </si>
  <si>
    <t>0300741634</t>
  </si>
  <si>
    <t>39648</t>
  </si>
  <si>
    <t>Chinnamannikam</t>
  </si>
  <si>
    <t>0300741643</t>
  </si>
  <si>
    <t>44534</t>
  </si>
  <si>
    <t>Kumar Paint</t>
  </si>
  <si>
    <t>0300500957</t>
  </si>
  <si>
    <t>30482</t>
  </si>
  <si>
    <t>Devan</t>
  </si>
  <si>
    <t>0300741659</t>
  </si>
  <si>
    <t>46886</t>
  </si>
  <si>
    <t>Dinesh</t>
  </si>
  <si>
    <t>DIGICON PACKAGE 4, DISCOVERY TAMIL BASE PACK, HUNGAMA( Alacarte ), BST 200</t>
  </si>
  <si>
    <t>0300741652</t>
  </si>
  <si>
    <t>46896</t>
  </si>
  <si>
    <t>Velu Samaiyal</t>
  </si>
  <si>
    <t>0300820078</t>
  </si>
  <si>
    <t>64309</t>
  </si>
  <si>
    <t>Sridevi</t>
  </si>
  <si>
    <t>0300847057</t>
  </si>
  <si>
    <t>77703</t>
  </si>
  <si>
    <t>Sampath</t>
  </si>
  <si>
    <t>0200540146</t>
  </si>
  <si>
    <t>8905</t>
  </si>
  <si>
    <t>Sivam Fancy</t>
  </si>
  <si>
    <t>0300500943</t>
  </si>
  <si>
    <t>32912</t>
  </si>
  <si>
    <t>Raja mani</t>
  </si>
  <si>
    <t>0300686668</t>
  </si>
  <si>
    <t>183759</t>
  </si>
  <si>
    <t>Kamal</t>
  </si>
  <si>
    <t>8006064608179597</t>
  </si>
  <si>
    <t>217683</t>
  </si>
  <si>
    <t>Akhil Bhasha</t>
  </si>
  <si>
    <t>0300591532</t>
  </si>
  <si>
    <t>173671</t>
  </si>
  <si>
    <t>0300847100</t>
  </si>
  <si>
    <t>83021</t>
  </si>
  <si>
    <t>Dhanalakshmi</t>
  </si>
  <si>
    <t>8006064608180017</t>
  </si>
  <si>
    <t>217686</t>
  </si>
  <si>
    <t>Venkatesh</t>
  </si>
  <si>
    <t>0300741656</t>
  </si>
  <si>
    <t>46907</t>
  </si>
  <si>
    <t>Sarathi</t>
  </si>
  <si>
    <t>8200004418097914</t>
  </si>
  <si>
    <t>295815</t>
  </si>
  <si>
    <t>Bala Murugan</t>
  </si>
  <si>
    <t>0300847114</t>
  </si>
  <si>
    <t>86497</t>
  </si>
  <si>
    <t>Subhan</t>
  </si>
  <si>
    <t>0300847081</t>
  </si>
  <si>
    <t>83014</t>
  </si>
  <si>
    <t>Sathyamoorthi</t>
  </si>
  <si>
    <t>8006064608179902</t>
  </si>
  <si>
    <t>230285</t>
  </si>
  <si>
    <t>Kandhasami - 1</t>
  </si>
  <si>
    <t>0300882808</t>
  </si>
  <si>
    <t>246314</t>
  </si>
  <si>
    <t>Kandhasami - 2</t>
  </si>
  <si>
    <t>0200431543</t>
  </si>
  <si>
    <t>5715</t>
  </si>
  <si>
    <t>kadan</t>
  </si>
  <si>
    <t>Pandu Kulandhaivel</t>
  </si>
  <si>
    <t>8200004418074509</t>
  </si>
  <si>
    <t>137720</t>
  </si>
  <si>
    <t>Thengakarar</t>
  </si>
  <si>
    <t>8136404371011150</t>
  </si>
  <si>
    <t>120988</t>
  </si>
  <si>
    <t>Badhma</t>
  </si>
  <si>
    <t>8006064608180769</t>
  </si>
  <si>
    <t>295371</t>
  </si>
  <si>
    <t>Pachiammal</t>
  </si>
  <si>
    <t>8006064608180090</t>
  </si>
  <si>
    <t>237120</t>
  </si>
  <si>
    <t>Saravana theatre home</t>
  </si>
  <si>
    <t>0300847158</t>
  </si>
  <si>
    <t>131926</t>
  </si>
  <si>
    <t>Saravana theatre Kadai</t>
  </si>
  <si>
    <t>0300500958</t>
  </si>
  <si>
    <t>29827</t>
  </si>
  <si>
    <t>Boopal</t>
  </si>
  <si>
    <t>8006064608179894</t>
  </si>
  <si>
    <t>237122</t>
  </si>
  <si>
    <t>0300820045</t>
  </si>
  <si>
    <t>65423</t>
  </si>
  <si>
    <t>Govindhammal</t>
  </si>
  <si>
    <t>0300820070</t>
  </si>
  <si>
    <t>63419</t>
  </si>
  <si>
    <t>Karpagam</t>
  </si>
  <si>
    <t>0300686690</t>
  </si>
  <si>
    <t>185671</t>
  </si>
  <si>
    <t>Rajaammal</t>
  </si>
  <si>
    <t>0400011022</t>
  </si>
  <si>
    <t>213128</t>
  </si>
  <si>
    <t>Senthil Kumar EB</t>
  </si>
  <si>
    <t>DIGICON TAMIL MAXX, DISNEY KIDS BOUQUET, BST 200</t>
  </si>
  <si>
    <t>0300867085</t>
  </si>
  <si>
    <t>324216</t>
  </si>
  <si>
    <t>Santhosh</t>
  </si>
  <si>
    <t>0301296537</t>
  </si>
  <si>
    <t>63453</t>
  </si>
  <si>
    <t>Sambu uppukarar</t>
  </si>
  <si>
    <t>0300741648</t>
  </si>
  <si>
    <t>44550</t>
  </si>
  <si>
    <t>Chinnasami</t>
  </si>
  <si>
    <t>0400067841</t>
  </si>
  <si>
    <t>212190</t>
  </si>
  <si>
    <t>8136404371010202</t>
  </si>
  <si>
    <t>115118</t>
  </si>
  <si>
    <t>Rani</t>
  </si>
  <si>
    <t>0400055574</t>
  </si>
  <si>
    <t>65396</t>
  </si>
  <si>
    <t>0300882133</t>
  </si>
  <si>
    <t>197767</t>
  </si>
  <si>
    <t>Umadevi</t>
  </si>
  <si>
    <t>8136404371011226</t>
  </si>
  <si>
    <t>118360</t>
  </si>
  <si>
    <t>Mohan</t>
  </si>
  <si>
    <t>8200004418387810</t>
  </si>
  <si>
    <t>125146</t>
  </si>
  <si>
    <t>Madhesh</t>
  </si>
  <si>
    <t>8200004418387893</t>
  </si>
  <si>
    <t>125145</t>
  </si>
  <si>
    <t>Gnanesan</t>
  </si>
  <si>
    <t>0300741665</t>
  </si>
  <si>
    <t>46735</t>
  </si>
  <si>
    <t>Senthil Laskhmi Store</t>
  </si>
  <si>
    <t>0300741630</t>
  </si>
  <si>
    <t>39663</t>
  </si>
  <si>
    <t>Nadesan -1</t>
  </si>
  <si>
    <t>0300820046</t>
  </si>
  <si>
    <t>63458</t>
  </si>
  <si>
    <t>Nadesan -2</t>
  </si>
  <si>
    <t>8200004418119916</t>
  </si>
  <si>
    <t>287866</t>
  </si>
  <si>
    <t>Saraswathi</t>
  </si>
  <si>
    <t>0300820050</t>
  </si>
  <si>
    <t>65411</t>
  </si>
  <si>
    <t>0300741662</t>
  </si>
  <si>
    <t>47789</t>
  </si>
  <si>
    <t>Sivam Hotel</t>
  </si>
  <si>
    <t>0300847042</t>
  </si>
  <si>
    <t>78166</t>
  </si>
  <si>
    <t>Yuvaraj S</t>
  </si>
  <si>
    <t>0300847048</t>
  </si>
  <si>
    <t>78172</t>
  </si>
  <si>
    <t>GP-Murugan</t>
  </si>
  <si>
    <t>8200004418387950</t>
  </si>
  <si>
    <t>123761</t>
  </si>
  <si>
    <t>Ganesh</t>
  </si>
  <si>
    <t>0300847095</t>
  </si>
  <si>
    <t>83013</t>
  </si>
  <si>
    <t>Selvam textiles</t>
  </si>
  <si>
    <t>8006064608179985</t>
  </si>
  <si>
    <t>231730</t>
  </si>
  <si>
    <t>Jaganadhan</t>
  </si>
  <si>
    <t>0300820016</t>
  </si>
  <si>
    <t>51007</t>
  </si>
  <si>
    <t>Manimegalai</t>
  </si>
  <si>
    <t>0300741682</t>
  </si>
  <si>
    <t>48314</t>
  </si>
  <si>
    <t>Thirugnanam</t>
  </si>
  <si>
    <t>0300820083</t>
  </si>
  <si>
    <t>62181</t>
  </si>
  <si>
    <t>Murugan Paint</t>
  </si>
  <si>
    <t>0300500900</t>
  </si>
  <si>
    <t>40499</t>
  </si>
  <si>
    <t>Paint</t>
  </si>
  <si>
    <t>Magendharan</t>
  </si>
  <si>
    <t>8006064608180751</t>
  </si>
  <si>
    <t>331627</t>
  </si>
  <si>
    <t>Chinnaponnu </t>
  </si>
  <si>
    <t>0300747565</t>
  </si>
  <si>
    <t>295387</t>
  </si>
  <si>
    <t>Safi</t>
  </si>
  <si>
    <t>0300686718</t>
  </si>
  <si>
    <t>186900</t>
  </si>
  <si>
    <t>Krishna moorthi</t>
  </si>
  <si>
    <t>BST 200, DIGICON PACKAGE 1</t>
  </si>
  <si>
    <t>8200004418074517</t>
  </si>
  <si>
    <t>137717</t>
  </si>
  <si>
    <t>Madesh</t>
  </si>
  <si>
    <t>0300500759</t>
  </si>
  <si>
    <t>351509</t>
  </si>
  <si>
    <t>New-12</t>
  </si>
  <si>
    <t>Devan Gureka</t>
  </si>
  <si>
    <t>0300420809</t>
  </si>
  <si>
    <t>351515</t>
  </si>
  <si>
    <t>Murugan Jewerly</t>
  </si>
  <si>
    <t>0400013833</t>
  </si>
  <si>
    <t>352452</t>
  </si>
  <si>
    <t>New-23</t>
  </si>
  <si>
    <t>Kavitha</t>
  </si>
  <si>
    <t>0300747534</t>
  </si>
  <si>
    <t>193454</t>
  </si>
  <si>
    <t>Gap-27-200</t>
  </si>
  <si>
    <t>0400060456</t>
  </si>
  <si>
    <t>219962</t>
  </si>
  <si>
    <t>Krishnan EB</t>
  </si>
  <si>
    <t>0300632198</t>
  </si>
  <si>
    <t>26716</t>
  </si>
  <si>
    <t>0300632182</t>
  </si>
  <si>
    <t>26671</t>
  </si>
  <si>
    <t>0300847099</t>
  </si>
  <si>
    <t>83019</t>
  </si>
  <si>
    <t>Chinnakannu</t>
  </si>
  <si>
    <t>0300686679</t>
  </si>
  <si>
    <t>184290</t>
  </si>
  <si>
    <t>0300741698</t>
  </si>
  <si>
    <t>46958</t>
  </si>
  <si>
    <t>Kalaivani</t>
  </si>
  <si>
    <t>0300741658</t>
  </si>
  <si>
    <t>46910</t>
  </si>
  <si>
    <t>Ammu</t>
  </si>
  <si>
    <t>8006064608180025</t>
  </si>
  <si>
    <t>218064</t>
  </si>
  <si>
    <t>Karthi</t>
  </si>
  <si>
    <t>0300747501</t>
  </si>
  <si>
    <t>191514</t>
  </si>
  <si>
    <t>Palaniandi</t>
  </si>
  <si>
    <t>0300847080</t>
  </si>
  <si>
    <t>78159</t>
  </si>
  <si>
    <t>0300591102</t>
  </si>
  <si>
    <t>152667</t>
  </si>
  <si>
    <t>Krishnan Maligai</t>
  </si>
  <si>
    <t>0300500889</t>
  </si>
  <si>
    <t>36766</t>
  </si>
  <si>
    <t>Aasha</t>
  </si>
  <si>
    <t>0200606197</t>
  </si>
  <si>
    <t>39826</t>
  </si>
  <si>
    <t>Kalyani Sundharam</t>
  </si>
  <si>
    <t>Sujitha</t>
  </si>
  <si>
    <t>8006064608180066</t>
  </si>
  <si>
    <t>233424</t>
  </si>
  <si>
    <t>Vetri</t>
  </si>
  <si>
    <t>0300546858</t>
  </si>
  <si>
    <t>241972</t>
  </si>
  <si>
    <t>0300820085</t>
  </si>
  <si>
    <t>62173</t>
  </si>
  <si>
    <t>Mohan raj</t>
  </si>
  <si>
    <t>0300747514</t>
  </si>
  <si>
    <t>191550</t>
  </si>
  <si>
    <t>0300747537</t>
  </si>
  <si>
    <t>193460</t>
  </si>
  <si>
    <t>Kesavan</t>
  </si>
  <si>
    <t>0300741694</t>
  </si>
  <si>
    <t>44553</t>
  </si>
  <si>
    <t>Nambiyar</t>
  </si>
  <si>
    <t>8006064608179803</t>
  </si>
  <si>
    <t>216886</t>
  </si>
  <si>
    <t>Indrani</t>
  </si>
  <si>
    <t>0300420982</t>
  </si>
  <si>
    <t>331695</t>
  </si>
  <si>
    <t>0300676259</t>
  </si>
  <si>
    <t>182940</t>
  </si>
  <si>
    <t>Krishnan</t>
  </si>
  <si>
    <t>8006064608180058</t>
  </si>
  <si>
    <t>Last Paid GP-200 Nov - 2 months vacation</t>
  </si>
  <si>
    <t>Baskar</t>
  </si>
  <si>
    <t>0300500952</t>
  </si>
  <si>
    <t>29824</t>
  </si>
  <si>
    <t>Murugan Jewlery</t>
  </si>
  <si>
    <t>8200004418387935</t>
  </si>
  <si>
    <t>125165</t>
  </si>
  <si>
    <t>Umarani</t>
  </si>
  <si>
    <t>0300686681</t>
  </si>
  <si>
    <t>185648</t>
  </si>
  <si>
    <t>Meena</t>
  </si>
  <si>
    <t>0300867066</t>
  </si>
  <si>
    <t>331623</t>
  </si>
  <si>
    <t>Devanayagam</t>
  </si>
  <si>
    <t>0300686684</t>
  </si>
  <si>
    <t>187229</t>
  </si>
  <si>
    <t>0300142362</t>
  </si>
  <si>
    <t>265564</t>
  </si>
  <si>
    <t>Subramani</t>
  </si>
  <si>
    <t>0300747509</t>
  </si>
  <si>
    <t>191479</t>
  </si>
  <si>
    <t>Murugan Audit</t>
  </si>
  <si>
    <t>0300820003</t>
  </si>
  <si>
    <t>51994</t>
  </si>
  <si>
    <t>Sekar</t>
  </si>
  <si>
    <t>8006064608179696</t>
  </si>
  <si>
    <t>236667</t>
  </si>
  <si>
    <t>Boopathi</t>
  </si>
  <si>
    <t>0300847119</t>
  </si>
  <si>
    <t>84145</t>
  </si>
  <si>
    <t>Gokul</t>
  </si>
  <si>
    <t>0300591048</t>
  </si>
  <si>
    <t>161497</t>
  </si>
  <si>
    <t>Thirunavukarasan</t>
  </si>
  <si>
    <t>0300820080</t>
  </si>
  <si>
    <t>64312</t>
  </si>
  <si>
    <t>0300820060</t>
  </si>
  <si>
    <t>63474</t>
  </si>
  <si>
    <t>8136404371010137</t>
  </si>
  <si>
    <t>115114</t>
  </si>
  <si>
    <t>Ramesh</t>
  </si>
  <si>
    <t>0200606180</t>
  </si>
  <si>
    <t>100132</t>
  </si>
  <si>
    <t>Radha Krishnan</t>
  </si>
  <si>
    <t>0200706584</t>
  </si>
  <si>
    <t>8914</t>
  </si>
  <si>
    <t>ASOK</t>
  </si>
  <si>
    <t>Yearly 2000 - January</t>
  </si>
  <si>
    <t>Anandh</t>
  </si>
  <si>
    <t>8006064608180009</t>
  </si>
  <si>
    <t>217688</t>
  </si>
  <si>
    <t>Jayalakshmi</t>
  </si>
  <si>
    <t>DIGICON PACKAGE 1, BST 200</t>
  </si>
  <si>
    <t>0300500895</t>
  </si>
  <si>
    <t>36730</t>
  </si>
  <si>
    <t>Vimala</t>
  </si>
  <si>
    <t>0300500955</t>
  </si>
  <si>
    <t>30480</t>
  </si>
  <si>
    <t>Selvam</t>
  </si>
  <si>
    <t>0301296532</t>
  </si>
  <si>
    <t>63204</t>
  </si>
  <si>
    <t>0300500244</t>
  </si>
  <si>
    <t>245283</t>
  </si>
  <si>
    <t>Dhuraraj</t>
  </si>
  <si>
    <t>0200706586</t>
  </si>
  <si>
    <t>198959</t>
  </si>
  <si>
    <t>Vijiya</t>
  </si>
  <si>
    <t>0300820065</t>
  </si>
  <si>
    <t>7759</t>
  </si>
  <si>
    <t>Jaganandhan</t>
  </si>
  <si>
    <t>0300882638</t>
  </si>
  <si>
    <t>195440</t>
  </si>
  <si>
    <t>Dhevan </t>
  </si>
  <si>
    <t>0300591105</t>
  </si>
  <si>
    <t>152666</t>
  </si>
  <si>
    <t>Srimathi</t>
  </si>
  <si>
    <t>0300847147</t>
  </si>
  <si>
    <t>135331</t>
  </si>
  <si>
    <t>Chandra -1</t>
  </si>
  <si>
    <t>0300500899</t>
  </si>
  <si>
    <t>36747</t>
  </si>
  <si>
    <t>Chandra -2</t>
  </si>
  <si>
    <t>8200004418118231</t>
  </si>
  <si>
    <t>287977</t>
  </si>
  <si>
    <t>Elango Manjula Press</t>
  </si>
  <si>
    <t>8006064608179340</t>
  </si>
  <si>
    <t>229571</t>
  </si>
  <si>
    <t>Sathyavani</t>
  </si>
  <si>
    <t>0300591057</t>
  </si>
  <si>
    <t>166803</t>
  </si>
  <si>
    <t>Vadivel</t>
  </si>
  <si>
    <t>8136404371010988</t>
  </si>
  <si>
    <t>118860</t>
  </si>
  <si>
    <t>Uma</t>
  </si>
  <si>
    <t>0300500898</t>
  </si>
  <si>
    <t>36745</t>
  </si>
  <si>
    <t>Meenakshi</t>
  </si>
  <si>
    <t>0300686672</t>
  </si>
  <si>
    <t>184287</t>
  </si>
  <si>
    <t>Asok Home</t>
  </si>
  <si>
    <t>0200431541</t>
  </si>
  <si>
    <t>5713</t>
  </si>
  <si>
    <t>Home</t>
  </si>
  <si>
    <t>Kamaraj</t>
  </si>
  <si>
    <t>0300847117</t>
  </si>
  <si>
    <t>83620</t>
  </si>
  <si>
    <t>Chithapa</t>
  </si>
  <si>
    <t>8006064608179514</t>
  </si>
  <si>
    <t>232762</t>
  </si>
  <si>
    <t>CHITHAPA</t>
  </si>
  <si>
    <t>Thatha</t>
  </si>
  <si>
    <t>0300847154</t>
  </si>
  <si>
    <t>Salman Maboobhasha</t>
  </si>
  <si>
    <t>8006064608179407</t>
  </si>
  <si>
    <t>275091</t>
  </si>
  <si>
    <t>Thirumurgan</t>
  </si>
  <si>
    <t>0300882640</t>
  </si>
  <si>
    <t>195455</t>
  </si>
  <si>
    <t>Nadarajan</t>
  </si>
  <si>
    <t>0200210693</t>
  </si>
  <si>
    <t>78286</t>
  </si>
  <si>
    <t>New box on 19-10-20</t>
  </si>
  <si>
    <t>Murugan Mahalakshmi</t>
  </si>
  <si>
    <t>8006064608179274</t>
  </si>
  <si>
    <t>219611</t>
  </si>
  <si>
    <t>Mani Teacher</t>
  </si>
  <si>
    <t>0300420975</t>
  </si>
  <si>
    <t>331692</t>
  </si>
  <si>
    <t>0300591113</t>
  </si>
  <si>
    <t>121003</t>
  </si>
  <si>
    <t>Next month</t>
  </si>
  <si>
    <t>Devan - Jelabi</t>
  </si>
  <si>
    <t>0300500072</t>
  </si>
  <si>
    <t>346117</t>
  </si>
  <si>
    <t>Ganesan - Home-1</t>
  </si>
  <si>
    <t>0200431550</t>
  </si>
  <si>
    <t>9673</t>
  </si>
  <si>
    <t>New-14</t>
  </si>
  <si>
    <t>Ganesan - Home-2</t>
  </si>
  <si>
    <t>0300500111</t>
  </si>
  <si>
    <t>351713</t>
  </si>
  <si>
    <t>Suresh Painter</t>
  </si>
  <si>
    <t>8200004418074533</t>
  </si>
  <si>
    <t>H-500</t>
  </si>
  <si>
    <t>Yuvaraj</t>
  </si>
  <si>
    <t>0300747532</t>
  </si>
  <si>
    <t>193439</t>
  </si>
  <si>
    <t>Anbu</t>
  </si>
  <si>
    <t>0300847091</t>
  </si>
  <si>
    <t>84706</t>
  </si>
  <si>
    <t>FREE</t>
  </si>
  <si>
    <t>Free</t>
  </si>
  <si>
    <t>Sakthivel Vanila</t>
  </si>
  <si>
    <t>8200004418107697</t>
  </si>
  <si>
    <t>144624</t>
  </si>
  <si>
    <t>8200004418387828</t>
  </si>
  <si>
    <t>123751</t>
  </si>
  <si>
    <t>0300686699</t>
  </si>
  <si>
    <t>Maliga</t>
  </si>
  <si>
    <t>0300746447</t>
  </si>
  <si>
    <t>276609</t>
  </si>
  <si>
    <t>Lakhmanan</t>
  </si>
  <si>
    <t>0300741691</t>
  </si>
  <si>
    <t>44500</t>
  </si>
  <si>
    <t>Dachunamoorthi</t>
  </si>
  <si>
    <t>0300591120</t>
  </si>
  <si>
    <t>156330</t>
  </si>
  <si>
    <t>Rajamanikam</t>
  </si>
  <si>
    <t>0300686710</t>
  </si>
  <si>
    <t>189084</t>
  </si>
  <si>
    <t>0300632199</t>
  </si>
  <si>
    <t>26714</t>
  </si>
  <si>
    <t>Jayaram</t>
  </si>
  <si>
    <t>0300820092</t>
  </si>
  <si>
    <t>62151</t>
  </si>
  <si>
    <t>Siva</t>
  </si>
  <si>
    <t>0200540158</t>
  </si>
  <si>
    <t>9671</t>
  </si>
  <si>
    <t>Thulasidas</t>
  </si>
  <si>
    <t>0300676242</t>
  </si>
  <si>
    <t>182700</t>
  </si>
  <si>
    <t>8006064608179605</t>
  </si>
  <si>
    <t>218176</t>
  </si>
  <si>
    <t>Kamachi</t>
  </si>
  <si>
    <t>0300747593</t>
  </si>
  <si>
    <t>347664</t>
  </si>
  <si>
    <t>Next Month</t>
  </si>
  <si>
    <t>Poovarashan</t>
  </si>
  <si>
    <t>0300740112</t>
  </si>
  <si>
    <t>177992</t>
  </si>
  <si>
    <t>Pachiyammal </t>
  </si>
  <si>
    <t>0300686685</t>
  </si>
  <si>
    <t>185664</t>
  </si>
  <si>
    <t>8006064608179837</t>
  </si>
  <si>
    <t>218146</t>
  </si>
  <si>
    <t>0300747502</t>
  </si>
  <si>
    <t>191527</t>
  </si>
  <si>
    <t>Samadharmam</t>
  </si>
  <si>
    <t>0300820048</t>
  </si>
  <si>
    <t>68213</t>
  </si>
  <si>
    <t>0301296514</t>
  </si>
  <si>
    <t>86479</t>
  </si>
  <si>
    <t>Venkateshan</t>
  </si>
  <si>
    <t>0300676241</t>
  </si>
  <si>
    <t>182702</t>
  </si>
  <si>
    <t>0300820072</t>
  </si>
  <si>
    <t>64310</t>
  </si>
  <si>
    <t>Gopi</t>
  </si>
  <si>
    <t>8006064608179167</t>
  </si>
  <si>
    <t>216867</t>
  </si>
  <si>
    <t>GP-220</t>
  </si>
  <si>
    <t>Google pay - 440</t>
  </si>
  <si>
    <t>Govindhanan Electrician</t>
  </si>
  <si>
    <t>0300632192</t>
  </si>
  <si>
    <t>26701</t>
  </si>
  <si>
    <t>0300741699</t>
  </si>
  <si>
    <t>46941</t>
  </si>
  <si>
    <t>Santhi</t>
  </si>
  <si>
    <t>0300741687</t>
  </si>
  <si>
    <t>48302</t>
  </si>
  <si>
    <t>Sandham</t>
  </si>
  <si>
    <t>0300847028</t>
  </si>
  <si>
    <t>77472</t>
  </si>
  <si>
    <t>Vijiyamohan</t>
  </si>
  <si>
    <t>0300747528</t>
  </si>
  <si>
    <t>193445</t>
  </si>
  <si>
    <t>Suguna</t>
  </si>
  <si>
    <t>0300676244</t>
  </si>
  <si>
    <t>182697</t>
  </si>
  <si>
    <t>Ravi selon</t>
  </si>
  <si>
    <t>8200004399991333</t>
  </si>
  <si>
    <t>286071</t>
  </si>
  <si>
    <t>Sandhamoorthi</t>
  </si>
  <si>
    <t>8136404371010707</t>
  </si>
  <si>
    <t>119427</t>
  </si>
  <si>
    <t>Babu</t>
  </si>
  <si>
    <t>8136404371010285</t>
  </si>
  <si>
    <t>115117</t>
  </si>
  <si>
    <t>Devamaligai</t>
  </si>
  <si>
    <t>0300847023</t>
  </si>
  <si>
    <t>7761</t>
  </si>
  <si>
    <t>Paid upto september-20</t>
  </si>
  <si>
    <t>Ammakannu</t>
  </si>
  <si>
    <t>0300820062</t>
  </si>
  <si>
    <t>62119</t>
  </si>
  <si>
    <t>Bhuvaneshwari</t>
  </si>
  <si>
    <t>0300591534</t>
  </si>
  <si>
    <t>173706</t>
  </si>
  <si>
    <t>Senbagav</t>
  </si>
  <si>
    <t>0200606195</t>
  </si>
  <si>
    <t>192732</t>
  </si>
  <si>
    <t>0300686665</t>
  </si>
  <si>
    <t>184279</t>
  </si>
  <si>
    <t>Thangavel</t>
  </si>
  <si>
    <t>0300882634</t>
  </si>
  <si>
    <t>195453</t>
  </si>
  <si>
    <t>Thambi Dhurai</t>
  </si>
  <si>
    <t>0300847030</t>
  </si>
  <si>
    <t>78327</t>
  </si>
  <si>
    <t>0300820013</t>
  </si>
  <si>
    <t>52000</t>
  </si>
  <si>
    <t>0300481591</t>
  </si>
  <si>
    <t>246100</t>
  </si>
  <si>
    <t>Divya</t>
  </si>
  <si>
    <t>8136404371010863</t>
  </si>
  <si>
    <t>117459</t>
  </si>
  <si>
    <t>Sushila</t>
  </si>
  <si>
    <t>0300591538</t>
  </si>
  <si>
    <t>Devamaligai-2</t>
  </si>
  <si>
    <t>0300676245</t>
  </si>
  <si>
    <t>183210</t>
  </si>
  <si>
    <t>Govindhan</t>
  </si>
  <si>
    <t>0300420974</t>
  </si>
  <si>
    <t>352453</t>
  </si>
  <si>
    <t>DEC-20</t>
  </si>
  <si>
    <t>0300694760</t>
  </si>
  <si>
    <t>246871</t>
  </si>
  <si>
    <t>Safiyulla</t>
  </si>
  <si>
    <t>8006064608179704</t>
  </si>
  <si>
    <t>216848</t>
  </si>
  <si>
    <t>Kadharalli</t>
  </si>
  <si>
    <t>0300591101</t>
  </si>
  <si>
    <t>313994</t>
  </si>
  <si>
    <t>Non payment</t>
  </si>
  <si>
    <t>Anandhan Maligai</t>
  </si>
  <si>
    <t>8200004418074541</t>
  </si>
  <si>
    <t>137413</t>
  </si>
  <si>
    <t>Kaviarasan</t>
  </si>
  <si>
    <t>8200004418074178</t>
  </si>
  <si>
    <t>141770</t>
  </si>
  <si>
    <t>Tharun</t>
  </si>
  <si>
    <t>Tharun-NP</t>
  </si>
  <si>
    <t>28-7-2020 Prepaid</t>
  </si>
  <si>
    <t>Valarmathi</t>
  </si>
  <si>
    <t>0300591054</t>
  </si>
  <si>
    <t>166853</t>
  </si>
  <si>
    <t>Devarasu</t>
  </si>
  <si>
    <t>0300741637</t>
  </si>
  <si>
    <t>48258</t>
  </si>
  <si>
    <t>Nagaraj</t>
  </si>
  <si>
    <t>0300747538</t>
  </si>
  <si>
    <t>193462</t>
  </si>
  <si>
    <t>0300882626</t>
  </si>
  <si>
    <t>195473</t>
  </si>
  <si>
    <t>Roja</t>
  </si>
  <si>
    <t>0300591103</t>
  </si>
  <si>
    <t>154660</t>
  </si>
  <si>
    <t>P.Murugan mamiyar</t>
  </si>
  <si>
    <t>Radha</t>
  </si>
  <si>
    <t>0300747520</t>
  </si>
  <si>
    <t>191545</t>
  </si>
  <si>
    <t>A - yearly</t>
  </si>
  <si>
    <t>Ammallu</t>
  </si>
  <si>
    <t>0300847085</t>
  </si>
  <si>
    <t>83015</t>
  </si>
  <si>
    <t>0200540096</t>
  </si>
  <si>
    <t>107467</t>
  </si>
  <si>
    <t>0200706582</t>
  </si>
  <si>
    <t>8907</t>
  </si>
  <si>
    <t>Asok</t>
  </si>
  <si>
    <t>8006064608179621</t>
  </si>
  <si>
    <t>218374</t>
  </si>
  <si>
    <t>STAFF</t>
  </si>
  <si>
    <t>Kandhasami</t>
  </si>
  <si>
    <t>0300847008</t>
  </si>
  <si>
    <t>77437</t>
  </si>
  <si>
    <t>Saroja</t>
  </si>
  <si>
    <t>0300500882</t>
  </si>
  <si>
    <t>36763</t>
  </si>
  <si>
    <t>Appadhurai</t>
  </si>
  <si>
    <t>0300847046</t>
  </si>
  <si>
    <t>78145</t>
  </si>
  <si>
    <t>8136404371010145</t>
  </si>
  <si>
    <t>114829</t>
  </si>
  <si>
    <t>Dhachuna moorthi</t>
  </si>
  <si>
    <t>0300747507</t>
  </si>
  <si>
    <t>191512</t>
  </si>
  <si>
    <t>8136404371010731</t>
  </si>
  <si>
    <t>119978</t>
  </si>
  <si>
    <t>Dhanam</t>
  </si>
  <si>
    <t>0300741635</t>
  </si>
  <si>
    <t>39833</t>
  </si>
  <si>
    <t>Mahalingam</t>
  </si>
  <si>
    <t>0300820061</t>
  </si>
  <si>
    <t>62123</t>
  </si>
  <si>
    <t>Perma</t>
  </si>
  <si>
    <t>0300820015</t>
  </si>
  <si>
    <t>51990</t>
  </si>
  <si>
    <t>M-2month</t>
  </si>
  <si>
    <t>Jagatha</t>
  </si>
  <si>
    <t>0300820012</t>
  </si>
  <si>
    <t>51127</t>
  </si>
  <si>
    <t>Vijiyalakshmi</t>
  </si>
  <si>
    <t>0300820007</t>
  </si>
  <si>
    <t>51105</t>
  </si>
  <si>
    <t>0300500885</t>
  </si>
  <si>
    <t>36734</t>
  </si>
  <si>
    <t>asok</t>
  </si>
  <si>
    <t>Suriyakalla</t>
  </si>
  <si>
    <t>0300632185</t>
  </si>
  <si>
    <t>26683</t>
  </si>
  <si>
    <t>0300820041</t>
  </si>
  <si>
    <t>68221</t>
  </si>
  <si>
    <t>Shanmuga Sundharam</t>
  </si>
  <si>
    <t>0300591104</t>
  </si>
  <si>
    <t>152670</t>
  </si>
  <si>
    <t>8006064608179464</t>
  </si>
  <si>
    <t>216818</t>
  </si>
  <si>
    <t>Sundharam Chitra</t>
  </si>
  <si>
    <t>0300820005</t>
  </si>
  <si>
    <t>51194</t>
  </si>
  <si>
    <t>Elango</t>
  </si>
  <si>
    <t>0300882136</t>
  </si>
  <si>
    <t>198177</t>
  </si>
  <si>
    <t>Vishnu</t>
  </si>
  <si>
    <t>0300686667</t>
  </si>
  <si>
    <t>183892</t>
  </si>
  <si>
    <t>0200540106</t>
  </si>
  <si>
    <t>9669</t>
  </si>
  <si>
    <t>Appavu</t>
  </si>
  <si>
    <t>8006064608179118</t>
  </si>
  <si>
    <t>218199</t>
  </si>
  <si>
    <t>Balamurugan</t>
  </si>
  <si>
    <t>0300820008</t>
  </si>
  <si>
    <t>51998</t>
  </si>
  <si>
    <t>Jaikumar</t>
  </si>
  <si>
    <t>0300847087</t>
  </si>
  <si>
    <t>83826</t>
  </si>
  <si>
    <t>Shankar maligai -1</t>
  </si>
  <si>
    <t>0200540141</t>
  </si>
  <si>
    <t>224663</t>
  </si>
  <si>
    <t>A-3 Pending</t>
  </si>
  <si>
    <t>Chitra -2</t>
  </si>
  <si>
    <t>0200540036</t>
  </si>
  <si>
    <t>50994</t>
  </si>
  <si>
    <t>Kumaresan</t>
  </si>
  <si>
    <t>0300847148</t>
  </si>
  <si>
    <t>8911</t>
  </si>
  <si>
    <t>Kesavan Medical</t>
  </si>
  <si>
    <t>0300847004</t>
  </si>
  <si>
    <t>78306</t>
  </si>
  <si>
    <t>Jayapal</t>
  </si>
  <si>
    <t>0300847194</t>
  </si>
  <si>
    <t>93760</t>
  </si>
  <si>
    <t>Sundaram medical</t>
  </si>
  <si>
    <t>0300478889</t>
  </si>
  <si>
    <t>347633</t>
  </si>
  <si>
    <t>EB Panneer</t>
  </si>
  <si>
    <t>0301092326</t>
  </si>
  <si>
    <t>348787</t>
  </si>
  <si>
    <t>Mageshwari Gowran</t>
  </si>
  <si>
    <t>0300676247</t>
  </si>
  <si>
    <t>182689</t>
  </si>
  <si>
    <t>GP- Not yet</t>
  </si>
  <si>
    <t>Tamilarasi</t>
  </si>
  <si>
    <t>0300847155</t>
  </si>
  <si>
    <t>8908</t>
  </si>
  <si>
    <t>Prasanth</t>
  </si>
  <si>
    <t>0300747511</t>
  </si>
  <si>
    <t>191552</t>
  </si>
  <si>
    <t>ADVANCE</t>
  </si>
  <si>
    <t>Sundharam</t>
  </si>
  <si>
    <t>0300847145</t>
  </si>
  <si>
    <t>78162</t>
  </si>
  <si>
    <t>Madheswaran</t>
  </si>
  <si>
    <t>0200540155</t>
  </si>
  <si>
    <t>9675</t>
  </si>
  <si>
    <t>Prakashan</t>
  </si>
  <si>
    <t>0200805675</t>
  </si>
  <si>
    <t>112263</t>
  </si>
  <si>
    <t>0300820071</t>
  </si>
  <si>
    <t>65431</t>
  </si>
  <si>
    <t>0300591525</t>
  </si>
  <si>
    <t>171138</t>
  </si>
  <si>
    <t>Venkatesan</t>
  </si>
  <si>
    <t>8200004399991994</t>
  </si>
  <si>
    <t>286065</t>
  </si>
  <si>
    <t>0300741638</t>
  </si>
  <si>
    <t>39656</t>
  </si>
  <si>
    <t>0300847014</t>
  </si>
  <si>
    <t>77475</t>
  </si>
  <si>
    <t>Muthuraman</t>
  </si>
  <si>
    <t>8200004418109370</t>
  </si>
  <si>
    <t>145714</t>
  </si>
  <si>
    <t>Gurubaran</t>
  </si>
  <si>
    <t>0300741641</t>
  </si>
  <si>
    <t>44530</t>
  </si>
  <si>
    <t>Ponnusami</t>
  </si>
  <si>
    <t>8136404371010780</t>
  </si>
  <si>
    <t>119424</t>
  </si>
  <si>
    <t>Kandhasami Thiyagi</t>
  </si>
  <si>
    <t>0300882635</t>
  </si>
  <si>
    <t>195445</t>
  </si>
  <si>
    <t>Rajarathinam</t>
  </si>
  <si>
    <t>0300632186</t>
  </si>
  <si>
    <t>26687</t>
  </si>
  <si>
    <t>Ramasami</t>
  </si>
  <si>
    <t>0300820096</t>
  </si>
  <si>
    <t>57183</t>
  </si>
  <si>
    <t>Gnanam</t>
  </si>
  <si>
    <t>8136404371011101</t>
  </si>
  <si>
    <t>117891</t>
  </si>
  <si>
    <t>Sangeetha</t>
  </si>
  <si>
    <t>8136404371010699</t>
  </si>
  <si>
    <t>119430</t>
  </si>
  <si>
    <t>Pappa</t>
  </si>
  <si>
    <t>8136404371011135</t>
  </si>
  <si>
    <t>118349</t>
  </si>
  <si>
    <t>Ashogan</t>
  </si>
  <si>
    <t>8136404371011259</t>
  </si>
  <si>
    <t>121535</t>
  </si>
  <si>
    <t>0200431546</t>
  </si>
  <si>
    <t>5719</t>
  </si>
  <si>
    <t>0300820023</t>
  </si>
  <si>
    <t>47778</t>
  </si>
  <si>
    <t>Kuppusamy</t>
  </si>
  <si>
    <t>0300500887</t>
  </si>
  <si>
    <t>38213</t>
  </si>
  <si>
    <t>Pugalendhi perma</t>
  </si>
  <si>
    <t>0300741645</t>
  </si>
  <si>
    <t>44542</t>
  </si>
  <si>
    <t>8200004418388008</t>
  </si>
  <si>
    <t>125167</t>
  </si>
  <si>
    <t>0300847009</t>
  </si>
  <si>
    <t>77403</t>
  </si>
  <si>
    <t>Thangaraj</t>
  </si>
  <si>
    <t>0300820017</t>
  </si>
  <si>
    <t>77425</t>
  </si>
  <si>
    <t>Murali</t>
  </si>
  <si>
    <t>0300713256</t>
  </si>
  <si>
    <t>320496</t>
  </si>
  <si>
    <t>Selva Kumar</t>
  </si>
  <si>
    <t>0300847050</t>
  </si>
  <si>
    <t>78152</t>
  </si>
  <si>
    <t>Kumar</t>
  </si>
  <si>
    <t>0300820054</t>
  </si>
  <si>
    <t>68827</t>
  </si>
  <si>
    <t>Jagadesh</t>
  </si>
  <si>
    <t>0300500886</t>
  </si>
  <si>
    <t>36736</t>
  </si>
  <si>
    <t>Munusamy</t>
  </si>
  <si>
    <t>0300741624</t>
  </si>
  <si>
    <t>46814</t>
  </si>
  <si>
    <t>8006064608179613</t>
  </si>
  <si>
    <t>217685</t>
  </si>
  <si>
    <t>NP-A</t>
  </si>
  <si>
    <t>Mala</t>
  </si>
  <si>
    <t>0300747518</t>
  </si>
  <si>
    <t>193437</t>
  </si>
  <si>
    <t>0300478861</t>
  </si>
  <si>
    <t>232337</t>
  </si>
  <si>
    <t>Thirumalai Store -1</t>
  </si>
  <si>
    <t>0300632183</t>
  </si>
  <si>
    <t>26676</t>
  </si>
  <si>
    <t>Thirumalai Store -2</t>
  </si>
  <si>
    <t>0300847025</t>
  </si>
  <si>
    <t>47152</t>
  </si>
  <si>
    <t>Rukumani</t>
  </si>
  <si>
    <t>0300741622</t>
  </si>
  <si>
    <t>45525</t>
  </si>
  <si>
    <t>Narasemaraj</t>
  </si>
  <si>
    <t>COLORS KANNADA( Alacarte ), DIGICON PACKAGE 4, ZEE KANNADA( Alacarte ), BST 200</t>
  </si>
  <si>
    <t>0300847122</t>
  </si>
  <si>
    <t>87894</t>
  </si>
  <si>
    <t>Sunantha</t>
  </si>
  <si>
    <t>DIGICON TAMIL MAXX, BST 200, UDAYA MOVIES( Alacarte )</t>
  </si>
  <si>
    <t>0200540153</t>
  </si>
  <si>
    <t>8912</t>
  </si>
  <si>
    <t>A-Paid balance</t>
  </si>
  <si>
    <t>Paper</t>
  </si>
  <si>
    <t>EB</t>
  </si>
  <si>
    <t>0300500501</t>
  </si>
  <si>
    <t>346835</t>
  </si>
  <si>
    <t>0300591058</t>
  </si>
  <si>
    <t>166802</t>
  </si>
  <si>
    <t>8136404371011184</t>
  </si>
  <si>
    <t>118366</t>
  </si>
  <si>
    <t>0301296541</t>
  </si>
  <si>
    <t>177985</t>
  </si>
  <si>
    <t>Bhuvaneshwaran</t>
  </si>
  <si>
    <t>8200004399991200</t>
  </si>
  <si>
    <t>293854</t>
  </si>
  <si>
    <t>0300882622</t>
  </si>
  <si>
    <t>63439</t>
  </si>
  <si>
    <t>Murugan Auto</t>
  </si>
  <si>
    <t>0300741633</t>
  </si>
  <si>
    <t>46843</t>
  </si>
  <si>
    <t>Upto - December</t>
  </si>
  <si>
    <t>Ramalingam</t>
  </si>
  <si>
    <t>0300741696</t>
  </si>
  <si>
    <t>46956</t>
  </si>
  <si>
    <t>DIGICON PACKAGE 4, BST 200, POGO( Alacarte )</t>
  </si>
  <si>
    <t>8136404371010723</t>
  </si>
  <si>
    <t>119426</t>
  </si>
  <si>
    <t>UDAYA MOVIES( Alacarte ), DIGICON TAMIL MAXX, STAR MAA MOVIES( Alacarte ), BST 200</t>
  </si>
  <si>
    <t>0200540093</t>
  </si>
  <si>
    <t>8906</t>
  </si>
  <si>
    <t>Google Pay - 250</t>
  </si>
  <si>
    <t>Dinesh Kumar</t>
  </si>
  <si>
    <t>0300820063</t>
  </si>
  <si>
    <t>62117</t>
  </si>
  <si>
    <t>0200607794</t>
  </si>
  <si>
    <t>176744</t>
  </si>
  <si>
    <t>Govindhamal</t>
  </si>
  <si>
    <t>8136404371010897</t>
  </si>
  <si>
    <t>117593</t>
  </si>
  <si>
    <t>Shankar</t>
  </si>
  <si>
    <t>0300741773</t>
  </si>
  <si>
    <t>178967</t>
  </si>
  <si>
    <t>0300632196</t>
  </si>
  <si>
    <t>26708</t>
  </si>
  <si>
    <t>Gubendharan</t>
  </si>
  <si>
    <t>0300847165</t>
  </si>
  <si>
    <t>89356</t>
  </si>
  <si>
    <t>Bhuvana</t>
  </si>
  <si>
    <t>0300820079</t>
  </si>
  <si>
    <t>Temp Deactivation - 26/11</t>
  </si>
  <si>
    <t>Theatre</t>
  </si>
  <si>
    <t>0300577323</t>
  </si>
  <si>
    <t>232335</t>
  </si>
  <si>
    <t>Jayalakshmi-1</t>
  </si>
  <si>
    <t>0300820009</t>
  </si>
  <si>
    <t>50990</t>
  </si>
  <si>
    <t>Murugan-2</t>
  </si>
  <si>
    <t>0300741626</t>
  </si>
  <si>
    <t>39646</t>
  </si>
  <si>
    <t>DC</t>
  </si>
  <si>
    <t>Saravanan-3</t>
  </si>
  <si>
    <t>0300741646</t>
  </si>
  <si>
    <t>44544</t>
  </si>
  <si>
    <t>Murugan-4</t>
  </si>
  <si>
    <t>0400011020</t>
  </si>
  <si>
    <t>290087</t>
  </si>
  <si>
    <t>Subramaniyam</t>
  </si>
  <si>
    <t>0300820004</t>
  </si>
  <si>
    <t>51992</t>
  </si>
  <si>
    <t>0300591523</t>
  </si>
  <si>
    <t>171472</t>
  </si>
  <si>
    <t>8200004418074590</t>
  </si>
  <si>
    <t>142368</t>
  </si>
  <si>
    <t>Murugan staff -1</t>
  </si>
  <si>
    <t>0300686677</t>
  </si>
  <si>
    <t>184293</t>
  </si>
  <si>
    <t>staff</t>
  </si>
  <si>
    <t>Murugan staff -2</t>
  </si>
  <si>
    <t>0200210663</t>
  </si>
  <si>
    <t>352451</t>
  </si>
  <si>
    <t>Staff anna</t>
  </si>
  <si>
    <t>Jagan</t>
  </si>
  <si>
    <t>0300741625</t>
  </si>
  <si>
    <t>46857</t>
  </si>
  <si>
    <t>Muniyappan</t>
  </si>
  <si>
    <t>0200210665</t>
  </si>
  <si>
    <t>163284</t>
  </si>
  <si>
    <t>Pushpa</t>
  </si>
  <si>
    <t>8136404371011051</t>
  </si>
  <si>
    <t>117603</t>
  </si>
  <si>
    <t>Ezhilarasi</t>
  </si>
  <si>
    <t>8200004418109339</t>
  </si>
  <si>
    <t>165747</t>
  </si>
  <si>
    <t>0300820056</t>
  </si>
  <si>
    <t>65562</t>
  </si>
  <si>
    <t>Thirugnanam -1</t>
  </si>
  <si>
    <t>8136404371010756</t>
  </si>
  <si>
    <t>120216</t>
  </si>
  <si>
    <t>Thirugnanam -2</t>
  </si>
  <si>
    <t>0300847013</t>
  </si>
  <si>
    <t>326321</t>
  </si>
  <si>
    <t>Manogaran</t>
  </si>
  <si>
    <t>8136404371010251</t>
  </si>
  <si>
    <t>115140</t>
  </si>
  <si>
    <t>Vishwanadhan</t>
  </si>
  <si>
    <t>0300686674</t>
  </si>
  <si>
    <t>184282</t>
  </si>
  <si>
    <t>1 month late</t>
  </si>
  <si>
    <t>8136404371011044</t>
  </si>
  <si>
    <t>119174</t>
  </si>
  <si>
    <t>Raju maligai</t>
  </si>
  <si>
    <t>0300820035</t>
  </si>
  <si>
    <t>47756</t>
  </si>
  <si>
    <t>TEMP-10</t>
  </si>
  <si>
    <t>Sivam -1</t>
  </si>
  <si>
    <t>8200004418109271</t>
  </si>
  <si>
    <t>145674</t>
  </si>
  <si>
    <t>Sivam -2</t>
  </si>
  <si>
    <t>8200004418117548</t>
  </si>
  <si>
    <t>287776</t>
  </si>
  <si>
    <t>Valli</t>
  </si>
  <si>
    <t>0300820002</t>
  </si>
  <si>
    <t>57199</t>
  </si>
  <si>
    <t>Prabhu</t>
  </si>
  <si>
    <t>8006064608179126</t>
  </si>
  <si>
    <t>236705</t>
  </si>
  <si>
    <t>7 Month</t>
  </si>
  <si>
    <t>Vengateshan Vellam</t>
  </si>
  <si>
    <t>0300820044</t>
  </si>
  <si>
    <t>44494</t>
  </si>
  <si>
    <t>Vinayagam -1 Medical</t>
  </si>
  <si>
    <t>0300632200</t>
  </si>
  <si>
    <t>26715</t>
  </si>
  <si>
    <t>Medical bill</t>
  </si>
  <si>
    <t>edical bill</t>
  </si>
  <si>
    <t>Settu -2 Home</t>
  </si>
  <si>
    <t>0300847020</t>
  </si>
  <si>
    <t>0300741627</t>
  </si>
  <si>
    <t>39654</t>
  </si>
  <si>
    <t>Sangundhala</t>
  </si>
  <si>
    <t>8006064608179332</t>
  </si>
  <si>
    <t>219610</t>
  </si>
  <si>
    <t>Jaya</t>
  </si>
  <si>
    <t>0300686701</t>
  </si>
  <si>
    <t>188650</t>
  </si>
  <si>
    <t>0301296529</t>
  </si>
  <si>
    <t>136097</t>
  </si>
  <si>
    <t>Sathish</t>
  </si>
  <si>
    <t>0300747536</t>
  </si>
  <si>
    <t>193457</t>
  </si>
  <si>
    <t>Rajagopal</t>
  </si>
  <si>
    <t>0300632189</t>
  </si>
  <si>
    <t>26696</t>
  </si>
  <si>
    <t>0300741631</t>
  </si>
  <si>
    <t>39662</t>
  </si>
  <si>
    <t>Ram Kumar</t>
  </si>
  <si>
    <t>0300591524</t>
  </si>
  <si>
    <t>171141</t>
  </si>
  <si>
    <t>8136404371010848</t>
  </si>
  <si>
    <t>117452</t>
  </si>
  <si>
    <t>Vasantha</t>
  </si>
  <si>
    <t>0400052984</t>
  </si>
  <si>
    <t>217840</t>
  </si>
  <si>
    <t>8006064608179787</t>
  </si>
  <si>
    <t>233006</t>
  </si>
  <si>
    <t>Ashok</t>
  </si>
  <si>
    <t>8200004418074525</t>
  </si>
  <si>
    <t>140569</t>
  </si>
  <si>
    <t>0300591116</t>
  </si>
  <si>
    <t>154950</t>
  </si>
  <si>
    <t>8006064608179753</t>
  </si>
  <si>
    <t>297796</t>
  </si>
  <si>
    <t>Arun Kumar</t>
  </si>
  <si>
    <t>0300478838</t>
  </si>
  <si>
    <t>232340</t>
  </si>
  <si>
    <t>Kalyani</t>
  </si>
  <si>
    <t>0300820019</t>
  </si>
  <si>
    <t>51949</t>
  </si>
  <si>
    <t>0200540157</t>
  </si>
  <si>
    <t>121194</t>
  </si>
  <si>
    <t>0300632184</t>
  </si>
  <si>
    <t>26681</t>
  </si>
  <si>
    <t>pack1 220</t>
  </si>
  <si>
    <t>Murugan appa</t>
  </si>
  <si>
    <t>0200706587</t>
  </si>
  <si>
    <t>341077</t>
  </si>
  <si>
    <t>Murugan J</t>
  </si>
  <si>
    <t>0200805626</t>
  </si>
  <si>
    <t>336634</t>
  </si>
  <si>
    <t>From palani on sep. paid</t>
  </si>
  <si>
    <t>Kamalessan</t>
  </si>
  <si>
    <t>0301296528</t>
  </si>
  <si>
    <t>186887</t>
  </si>
  <si>
    <t>0200706589</t>
  </si>
  <si>
    <t>106520</t>
  </si>
  <si>
    <t>Thirumal</t>
  </si>
  <si>
    <t>0300820018</t>
  </si>
  <si>
    <t>51957</t>
  </si>
  <si>
    <t>Aruvumani</t>
  </si>
  <si>
    <t>0300741666</t>
  </si>
  <si>
    <t>57173</t>
  </si>
  <si>
    <t>Soundhariya</t>
  </si>
  <si>
    <t>0300741667</t>
  </si>
  <si>
    <t>46745</t>
  </si>
  <si>
    <t>Selvan</t>
  </si>
  <si>
    <t>0300847016</t>
  </si>
  <si>
    <t>77449</t>
  </si>
  <si>
    <t>Deppa</t>
  </si>
  <si>
    <t>0300847121</t>
  </si>
  <si>
    <t>93758</t>
  </si>
  <si>
    <t>0300820088</t>
  </si>
  <si>
    <t>71200</t>
  </si>
  <si>
    <t>Mageshwari</t>
  </si>
  <si>
    <t>0300591056</t>
  </si>
  <si>
    <t>169903</t>
  </si>
  <si>
    <t>8006064608179647</t>
  </si>
  <si>
    <t>231072</t>
  </si>
  <si>
    <t>Kokila</t>
  </si>
  <si>
    <t>0300882138</t>
  </si>
  <si>
    <t>198173</t>
  </si>
  <si>
    <t>0300820073</t>
  </si>
  <si>
    <t>68749</t>
  </si>
  <si>
    <t>Madhu</t>
  </si>
  <si>
    <t>0300847199</t>
  </si>
  <si>
    <t>88457</t>
  </si>
  <si>
    <t>Angammal</t>
  </si>
  <si>
    <t>0300882134</t>
  </si>
  <si>
    <t>200718</t>
  </si>
  <si>
    <t>Parimala</t>
  </si>
  <si>
    <t>0300741621</t>
  </si>
  <si>
    <t>100597</t>
  </si>
  <si>
    <t>Madhamalu</t>
  </si>
  <si>
    <t>0300847045</t>
  </si>
  <si>
    <t>79743</t>
  </si>
  <si>
    <t>Node</t>
  </si>
  <si>
    <t>Manivannan</t>
  </si>
  <si>
    <t>0300847086</t>
  </si>
  <si>
    <t>83011</t>
  </si>
  <si>
    <t>0300847197</t>
  </si>
  <si>
    <t>111048</t>
  </si>
  <si>
    <t>Manojkumar</t>
  </si>
  <si>
    <t>0300741661</t>
  </si>
  <si>
    <t>46732</t>
  </si>
  <si>
    <t>Jan-M-BOXChanged-on13th</t>
  </si>
  <si>
    <t>Mannikam</t>
  </si>
  <si>
    <t>8200004418387984</t>
  </si>
  <si>
    <t>123759</t>
  </si>
  <si>
    <t>0300741673</t>
  </si>
  <si>
    <t>46769</t>
  </si>
  <si>
    <t>Sagayam</t>
  </si>
  <si>
    <t>0300872552</t>
  </si>
  <si>
    <t>245282</t>
  </si>
  <si>
    <t>8136404371011085</t>
  </si>
  <si>
    <t>117882</t>
  </si>
  <si>
    <t>0300882639</t>
  </si>
  <si>
    <t>195458</t>
  </si>
  <si>
    <t>Vanitha</t>
  </si>
  <si>
    <t>0300591117</t>
  </si>
  <si>
    <t>119975</t>
  </si>
  <si>
    <t>Nallaraji</t>
  </si>
  <si>
    <t>0300741664</t>
  </si>
  <si>
    <t>46737</t>
  </si>
  <si>
    <t>Manivel</t>
  </si>
  <si>
    <t>0300741654</t>
  </si>
  <si>
    <t>104669</t>
  </si>
  <si>
    <t>8136404371011283</t>
  </si>
  <si>
    <t>120994</t>
  </si>
  <si>
    <t>Muniraj</t>
  </si>
  <si>
    <t>0200210664</t>
  </si>
  <si>
    <t>154683</t>
  </si>
  <si>
    <t>Vimalnadhan</t>
  </si>
  <si>
    <t>0300632191</t>
  </si>
  <si>
    <t>26700</t>
  </si>
  <si>
    <t>0300747525</t>
  </si>
  <si>
    <t>192618</t>
  </si>
  <si>
    <t>A-200-12th</t>
  </si>
  <si>
    <t>Dharman</t>
  </si>
  <si>
    <t>8136404371010871</t>
  </si>
  <si>
    <t>117461</t>
  </si>
  <si>
    <t>0300872554</t>
  </si>
  <si>
    <t>245797</t>
  </si>
  <si>
    <t>Manimozhli</t>
  </si>
  <si>
    <t>0200210661</t>
  </si>
  <si>
    <t>51165</t>
  </si>
  <si>
    <t>E5: card changed on 19/10</t>
  </si>
  <si>
    <t>Ranjidham</t>
  </si>
  <si>
    <t>0300500953</t>
  </si>
  <si>
    <t>29835</t>
  </si>
  <si>
    <t>Ponnusamy</t>
  </si>
  <si>
    <t>0300820033</t>
  </si>
  <si>
    <t>47759</t>
  </si>
  <si>
    <t>Chinnathaiyu</t>
  </si>
  <si>
    <t>8200004418119650</t>
  </si>
  <si>
    <t>295720</t>
  </si>
  <si>
    <t>Chinnaraj</t>
  </si>
  <si>
    <t>8006064608179225</t>
  </si>
  <si>
    <t>221442</t>
  </si>
  <si>
    <t>Velumani</t>
  </si>
  <si>
    <t>0300882121</t>
  </si>
  <si>
    <t>199395</t>
  </si>
  <si>
    <t>8136404371010129</t>
  </si>
  <si>
    <t>Prakash</t>
  </si>
  <si>
    <t>0300847190</t>
  </si>
  <si>
    <t>new connection on 6/9</t>
  </si>
  <si>
    <t>0300847163</t>
  </si>
  <si>
    <t>89353</t>
  </si>
  <si>
    <t>M-GAP-500-13/14</t>
  </si>
  <si>
    <t>0300632114</t>
  </si>
  <si>
    <t>355616</t>
  </si>
  <si>
    <t>Gap-200</t>
  </si>
  <si>
    <t>JAN/DATE</t>
  </si>
  <si>
    <t>FEB/DATE</t>
  </si>
  <si>
    <t>MARCH/DATE</t>
  </si>
  <si>
    <t>APRIL/DATE</t>
  </si>
  <si>
    <t>MAY/DATE</t>
  </si>
  <si>
    <t>JUNE/DATE</t>
  </si>
  <si>
    <t>JULY/DATE</t>
  </si>
  <si>
    <t>AUG/DATE</t>
  </si>
  <si>
    <t>OCT/DATE</t>
  </si>
  <si>
    <t>NOV/DATE</t>
  </si>
  <si>
    <t>DEC/DATE</t>
  </si>
  <si>
    <t>TOTAL</t>
  </si>
  <si>
    <t>Kaliyammal Madappan</t>
  </si>
  <si>
    <t>0300820026</t>
  </si>
  <si>
    <t>47516</t>
  </si>
  <si>
    <t>Shanmugam Dheevatikali</t>
  </si>
  <si>
    <t>Thirumal Manivasagam</t>
  </si>
  <si>
    <t>Arivumani Kannayairam</t>
  </si>
  <si>
    <t>Manivannan Madhesh</t>
  </si>
  <si>
    <t>Selvan Nanthan</t>
  </si>
  <si>
    <t>Sountharya Krishanan</t>
  </si>
  <si>
    <t>Ashok Munusami</t>
  </si>
  <si>
    <t>Sakthivel Shanmugam</t>
  </si>
  <si>
    <t>Maheswari Annadurai</t>
  </si>
  <si>
    <t>Kokila Thangamani</t>
  </si>
  <si>
    <t>Chithra Sivamani</t>
  </si>
  <si>
    <t>Angammal Kaveri</t>
  </si>
  <si>
    <t>Madhammal Kali</t>
  </si>
  <si>
    <t>Madhesh Madhan</t>
  </si>
  <si>
    <t>Manikkam Kali</t>
  </si>
  <si>
    <t>Manojkumar Thangaraj</t>
  </si>
  <si>
    <t>Ramesh Mariyappan</t>
  </si>
  <si>
    <t>Lakshmi Raja</t>
  </si>
  <si>
    <t>Subiramani Chinnu</t>
  </si>
  <si>
    <t>Vanitha Madhesh</t>
  </si>
  <si>
    <t>Nallaraji Madhan</t>
  </si>
  <si>
    <t>Ragavendhra Govindhan</t>
  </si>
  <si>
    <t>0300686686</t>
  </si>
  <si>
    <t>188663</t>
  </si>
  <si>
    <t>Manivel Chinnasami</t>
  </si>
  <si>
    <t>Pavithra Madhi (Selvi)</t>
  </si>
  <si>
    <t>Muniraj Chinnakannu</t>
  </si>
  <si>
    <t>0300591112</t>
  </si>
  <si>
    <t>Santhamoorthi Thangavel</t>
  </si>
  <si>
    <t>0300847033</t>
  </si>
  <si>
    <t>77409</t>
  </si>
  <si>
    <t>Balamurugan Karooran</t>
  </si>
  <si>
    <t>0300847126</t>
  </si>
  <si>
    <t>115169</t>
  </si>
  <si>
    <t>Manimozhi Kali</t>
  </si>
  <si>
    <t>Dharman Sanjeevan</t>
  </si>
  <si>
    <t>Meena Arumugan</t>
  </si>
  <si>
    <t>Vadivel Munusamy (Rooja)</t>
  </si>
  <si>
    <t>0300847139</t>
  </si>
  <si>
    <t>84700</t>
  </si>
  <si>
    <t>Ranjitham Ravi</t>
  </si>
  <si>
    <t>Madhu Sundharesan</t>
  </si>
  <si>
    <t>Parimala Selvam</t>
  </si>
  <si>
    <t>Sivasakthi Gopal</t>
  </si>
  <si>
    <t>93686</t>
  </si>
  <si>
    <t>Ponnusamy Thangavel</t>
  </si>
  <si>
    <t>Vimalanandhan N.</t>
  </si>
  <si>
    <t>Rukkumani Sakkappan</t>
  </si>
  <si>
    <t>0300591055</t>
  </si>
  <si>
    <t>167754</t>
  </si>
  <si>
    <t>Jeyalakshmi Krishnan (Sankar)</t>
  </si>
  <si>
    <t>0300591526</t>
  </si>
  <si>
    <t>171960</t>
  </si>
  <si>
    <t>Shantha Chinnu</t>
  </si>
  <si>
    <t>25818250032196</t>
  </si>
  <si>
    <t>231079</t>
  </si>
  <si>
    <t>Salamal</t>
  </si>
  <si>
    <t>TOTAL - NP</t>
  </si>
  <si>
    <t>0400084770</t>
  </si>
  <si>
    <t>213372</t>
  </si>
  <si>
    <t>Sengutuvan</t>
  </si>
  <si>
    <t>0300847096</t>
  </si>
  <si>
    <t>83864</t>
  </si>
  <si>
    <t>Sujatha</t>
  </si>
  <si>
    <t>0300820068</t>
  </si>
  <si>
    <t>63470</t>
  </si>
  <si>
    <t>Elizh silks</t>
  </si>
  <si>
    <t>0300686683</t>
  </si>
  <si>
    <t>185647</t>
  </si>
  <si>
    <t>Vengateshan P.C</t>
  </si>
  <si>
    <t>0300741683</t>
  </si>
  <si>
    <t>46964</t>
  </si>
  <si>
    <t>0400060535</t>
  </si>
  <si>
    <t>213133</t>
  </si>
  <si>
    <t>8006064608179688</t>
  </si>
  <si>
    <t>230879</t>
  </si>
  <si>
    <t>0300676255</t>
  </si>
  <si>
    <t>182934</t>
  </si>
  <si>
    <t>0200540144</t>
  </si>
  <si>
    <t>8904</t>
  </si>
  <si>
    <t>BST 200, DISNEY( Alacarte ), DIGICON TAMIL MAXX</t>
  </si>
  <si>
    <t>0300741679</t>
  </si>
  <si>
    <t>46796</t>
  </si>
  <si>
    <t>Manikkam</t>
  </si>
  <si>
    <t>8136404371010277</t>
  </si>
  <si>
    <t>115131</t>
  </si>
  <si>
    <t>Velu Boyar</t>
  </si>
  <si>
    <t>0300686673</t>
  </si>
  <si>
    <t>183198</t>
  </si>
  <si>
    <t>A-ON-06</t>
  </si>
  <si>
    <t>Agro service</t>
  </si>
  <si>
    <t>8136404371010244</t>
  </si>
  <si>
    <t>115129</t>
  </si>
  <si>
    <t>Alagar malai</t>
  </si>
  <si>
    <t>0300810260</t>
  </si>
  <si>
    <t>246346</t>
  </si>
  <si>
    <t>0300820098</t>
  </si>
  <si>
    <t>63506</t>
  </si>
  <si>
    <t>Ramakrishnan</t>
  </si>
  <si>
    <t>0300686700</t>
  </si>
  <si>
    <t>185676</t>
  </si>
  <si>
    <t>KPN - Mani</t>
  </si>
  <si>
    <t>0300741700</t>
  </si>
  <si>
    <t>44516</t>
  </si>
  <si>
    <t>B.R Raji</t>
  </si>
  <si>
    <t>0200540142</t>
  </si>
  <si>
    <t>8917</t>
  </si>
  <si>
    <t>Viji</t>
  </si>
  <si>
    <t>SenthilKumar</t>
  </si>
  <si>
    <t>0300676243</t>
  </si>
  <si>
    <t>183203</t>
  </si>
  <si>
    <t>PCLA Sadhasivam</t>
  </si>
  <si>
    <t>0300500890</t>
  </si>
  <si>
    <t>36753</t>
  </si>
  <si>
    <t>Jayakodi</t>
  </si>
  <si>
    <t>0300500883</t>
  </si>
  <si>
    <t>36729</t>
  </si>
  <si>
    <t>Velu Kalam</t>
  </si>
  <si>
    <t>8006064608179357</t>
  </si>
  <si>
    <t>216839</t>
  </si>
  <si>
    <t>Thangam Saloon</t>
  </si>
  <si>
    <t>8136404371010772</t>
  </si>
  <si>
    <t>119425</t>
  </si>
  <si>
    <t>Magendhara Babu -1</t>
  </si>
  <si>
    <t>0300747515</t>
  </si>
  <si>
    <t>Magendhara Babu -2</t>
  </si>
  <si>
    <t>0300686702</t>
  </si>
  <si>
    <t>186851</t>
  </si>
  <si>
    <t>T.R Senthil</t>
  </si>
  <si>
    <t>0400076420</t>
  </si>
  <si>
    <t>214010</t>
  </si>
  <si>
    <t>A-200</t>
  </si>
  <si>
    <t>Selvam vegetable</t>
  </si>
  <si>
    <t>0300820090</t>
  </si>
  <si>
    <t>62142</t>
  </si>
  <si>
    <t>Tamil Selvan</t>
  </si>
  <si>
    <t>0300820097</t>
  </si>
  <si>
    <t>326363</t>
  </si>
  <si>
    <t>Jayalakshmi Tailor</t>
  </si>
  <si>
    <t>0300825583</t>
  </si>
  <si>
    <t>333715</t>
  </si>
  <si>
    <t>TEMPEROY DC OFF LAST DATE OF OCTOBER</t>
  </si>
  <si>
    <t>Jaberi</t>
  </si>
  <si>
    <t>0300882651</t>
  </si>
  <si>
    <t>290784</t>
  </si>
  <si>
    <t>2 Month</t>
  </si>
  <si>
    <t>0300500923</t>
  </si>
  <si>
    <t>331693</t>
  </si>
  <si>
    <t>Dhanapal</t>
  </si>
  <si>
    <t>8006064608179142</t>
  </si>
  <si>
    <t>218718</t>
  </si>
  <si>
    <t>Kannagi auto mobiles</t>
  </si>
  <si>
    <t>0300591522</t>
  </si>
  <si>
    <t>171140</t>
  </si>
  <si>
    <t>TR Senthil-2 Veedu</t>
  </si>
  <si>
    <t>0300500775</t>
  </si>
  <si>
    <t>346114</t>
  </si>
  <si>
    <t>Viji bakery</t>
  </si>
  <si>
    <t>0300420885</t>
  </si>
  <si>
    <t>351101</t>
  </si>
  <si>
    <t>New-8</t>
  </si>
  <si>
    <t>New Transfer</t>
  </si>
  <si>
    <t>0300713773</t>
  </si>
  <si>
    <t>352358</t>
  </si>
  <si>
    <t>New-22</t>
  </si>
  <si>
    <t>Sekar - Pudhur</t>
  </si>
  <si>
    <t>8006064608180041</t>
  </si>
  <si>
    <t>232994</t>
  </si>
  <si>
    <t>Tanvir Basha</t>
  </si>
  <si>
    <t>8006064608179548</t>
  </si>
  <si>
    <t>230876</t>
  </si>
  <si>
    <t>Pajil</t>
  </si>
  <si>
    <t>0300287116</t>
  </si>
  <si>
    <t>154688</t>
  </si>
  <si>
    <t>0300847035</t>
  </si>
  <si>
    <t>78344</t>
  </si>
  <si>
    <t>Pachiyammal</t>
  </si>
  <si>
    <t>0300882123</t>
  </si>
  <si>
    <t>197771</t>
  </si>
  <si>
    <t>2-M</t>
  </si>
  <si>
    <t>0300847162</t>
  </si>
  <si>
    <t>87889</t>
  </si>
  <si>
    <t>8136404371011192</t>
  </si>
  <si>
    <t>118355</t>
  </si>
  <si>
    <t>Karthikeyan</t>
  </si>
  <si>
    <t>8136404371010236</t>
  </si>
  <si>
    <t>115136</t>
  </si>
  <si>
    <t>0300847026</t>
  </si>
  <si>
    <t>77404</t>
  </si>
  <si>
    <t>0300500896</t>
  </si>
  <si>
    <t>36738</t>
  </si>
  <si>
    <t>Manomani</t>
  </si>
  <si>
    <t>0300500949</t>
  </si>
  <si>
    <t>30516</t>
  </si>
  <si>
    <t>0300686669</t>
  </si>
  <si>
    <t>184045</t>
  </si>
  <si>
    <t>0300847164</t>
  </si>
  <si>
    <t>89061</t>
  </si>
  <si>
    <t>0300847111</t>
  </si>
  <si>
    <t>83017</t>
  </si>
  <si>
    <t>0300882122</t>
  </si>
  <si>
    <t>197775</t>
  </si>
  <si>
    <t>Govindhanan</t>
  </si>
  <si>
    <t>0300557925</t>
  </si>
  <si>
    <t>241981</t>
  </si>
  <si>
    <t>0300591042</t>
  </si>
  <si>
    <t>160317</t>
  </si>
  <si>
    <t>Poongodi</t>
  </si>
  <si>
    <t>0300847107</t>
  </si>
  <si>
    <t>83618</t>
  </si>
  <si>
    <t>Kashthuri</t>
  </si>
  <si>
    <t>0300847106</t>
  </si>
  <si>
    <t>87613</t>
  </si>
  <si>
    <t>Gnanamoorthi</t>
  </si>
  <si>
    <t>0300591044</t>
  </si>
  <si>
    <t>163286</t>
  </si>
  <si>
    <t>Gnanamoorthi - New</t>
  </si>
  <si>
    <t>8006064608179944</t>
  </si>
  <si>
    <t>230440</t>
  </si>
  <si>
    <t>0300741653</t>
  </si>
  <si>
    <t>193444</t>
  </si>
  <si>
    <t>Thangaraju</t>
  </si>
  <si>
    <t>0300820020</t>
  </si>
  <si>
    <t>51001</t>
  </si>
  <si>
    <t>0300820069</t>
  </si>
  <si>
    <t>241975</t>
  </si>
  <si>
    <t>Sagundhala</t>
  </si>
  <si>
    <t>POGO( Alacarte ), DIGICON PACKAGE 4, BST 200</t>
  </si>
  <si>
    <t>0300847129</t>
  </si>
  <si>
    <t>86615</t>
  </si>
  <si>
    <t>8006064608179308</t>
  </si>
  <si>
    <t>216843</t>
  </si>
  <si>
    <t>Aruthi</t>
  </si>
  <si>
    <t>0400068009</t>
  </si>
  <si>
    <t>213145</t>
  </si>
  <si>
    <t>Panduragan</t>
  </si>
  <si>
    <t>0300686670</t>
  </si>
  <si>
    <t>184043</t>
  </si>
  <si>
    <t>8006064608179423</t>
  </si>
  <si>
    <t>225653</t>
  </si>
  <si>
    <t>Raja</t>
  </si>
  <si>
    <t>0300847132</t>
  </si>
  <si>
    <t>86607</t>
  </si>
  <si>
    <t>New Box - 2</t>
  </si>
  <si>
    <t>8006064608179209</t>
  </si>
  <si>
    <t>228235</t>
  </si>
  <si>
    <t>New-24</t>
  </si>
  <si>
    <t>Narayanan</t>
  </si>
  <si>
    <t>0300820042</t>
  </si>
  <si>
    <t>63468</t>
  </si>
  <si>
    <t>GopalaKrishnan</t>
  </si>
  <si>
    <t>8006064608179951</t>
  </si>
  <si>
    <t>232134</t>
  </si>
  <si>
    <t>0300847039</t>
  </si>
  <si>
    <t>77407</t>
  </si>
  <si>
    <t>0300847044</t>
  </si>
  <si>
    <t>79513</t>
  </si>
  <si>
    <t>0300686671</t>
  </si>
  <si>
    <t>184042</t>
  </si>
  <si>
    <t>0300591531</t>
  </si>
  <si>
    <t>172084</t>
  </si>
  <si>
    <t>Chinna pachai</t>
  </si>
  <si>
    <t>8006064608181510</t>
  </si>
  <si>
    <t>303319</t>
  </si>
  <si>
    <t>Thendralkaviarasu</t>
  </si>
  <si>
    <t>0300847193</t>
  </si>
  <si>
    <t>93775</t>
  </si>
  <si>
    <t>Singaravelan</t>
  </si>
  <si>
    <t>8006064608179720</t>
  </si>
  <si>
    <t>234115</t>
  </si>
  <si>
    <t>0300882130</t>
  </si>
  <si>
    <t>198234</t>
  </si>
  <si>
    <t>Munniyappan Murugan</t>
  </si>
  <si>
    <t>8136404371011721</t>
  </si>
  <si>
    <t>119432</t>
  </si>
  <si>
    <t>0300811524</t>
  </si>
  <si>
    <t>248071</t>
  </si>
  <si>
    <t>Kanthasamy Thangavel</t>
  </si>
  <si>
    <t>0200210662</t>
  </si>
  <si>
    <t>345775</t>
  </si>
  <si>
    <t>8006064608179381</t>
  </si>
  <si>
    <t>228389</t>
  </si>
  <si>
    <t>Varadharajan</t>
  </si>
  <si>
    <t>0300847054</t>
  </si>
  <si>
    <t>80520</t>
  </si>
  <si>
    <t>0300747529</t>
  </si>
  <si>
    <t>195902</t>
  </si>
  <si>
    <t>Vairamuthu</t>
  </si>
  <si>
    <t>0300820040</t>
  </si>
  <si>
    <t>51182</t>
  </si>
  <si>
    <t>8136404371011218</t>
  </si>
  <si>
    <t>119156</t>
  </si>
  <si>
    <t>0300847200</t>
  </si>
  <si>
    <t>39651</t>
  </si>
  <si>
    <t>Kalli</t>
  </si>
  <si>
    <t>0200540143</t>
  </si>
  <si>
    <t>100469</t>
  </si>
  <si>
    <t>Palaniammal</t>
  </si>
  <si>
    <t>0300747508</t>
  </si>
  <si>
    <t>191506</t>
  </si>
  <si>
    <t>Rajamani</t>
  </si>
  <si>
    <t>0300747539</t>
  </si>
  <si>
    <t>193468</t>
  </si>
  <si>
    <t>Chinnasami-1</t>
  </si>
  <si>
    <t>0300847183</t>
  </si>
  <si>
    <t>98210</t>
  </si>
  <si>
    <t>M-Nov</t>
  </si>
  <si>
    <t>Chinnasami-2</t>
  </si>
  <si>
    <t>0300741644</t>
  </si>
  <si>
    <t>44538</t>
  </si>
  <si>
    <t>Marimuthu</t>
  </si>
  <si>
    <t>8006064608179290</t>
  </si>
  <si>
    <t>232135</t>
  </si>
  <si>
    <t>Munniyappan</t>
  </si>
  <si>
    <t>0300820066</t>
  </si>
  <si>
    <t>66713</t>
  </si>
  <si>
    <t>Muthu</t>
  </si>
  <si>
    <t>0300741686</t>
  </si>
  <si>
    <t>48320</t>
  </si>
  <si>
    <t>Kadhiravan</t>
  </si>
  <si>
    <t>0300847104</t>
  </si>
  <si>
    <t>83617</t>
  </si>
  <si>
    <t>Govindhasami</t>
  </si>
  <si>
    <t>0300747503</t>
  </si>
  <si>
    <t>196407</t>
  </si>
  <si>
    <t>Gap-26-200</t>
  </si>
  <si>
    <t>Mani Nurse</t>
  </si>
  <si>
    <t>8200004418107663</t>
  </si>
  <si>
    <t>30488</t>
  </si>
  <si>
    <t>Murugan start studio</t>
  </si>
  <si>
    <t>0300820055</t>
  </si>
  <si>
    <t>66694</t>
  </si>
  <si>
    <t>H-1000</t>
  </si>
  <si>
    <t>0300741642</t>
  </si>
  <si>
    <t>44520</t>
  </si>
  <si>
    <t>Paid but deactivated in digicon</t>
  </si>
  <si>
    <t>0300741649</t>
  </si>
  <si>
    <t>Manivanan</t>
  </si>
  <si>
    <t>0300820031</t>
  </si>
  <si>
    <t>50997</t>
  </si>
  <si>
    <t>Turned off</t>
  </si>
  <si>
    <t>Deactivated on 31/10 - October month not paid</t>
  </si>
  <si>
    <t>0300601275</t>
  </si>
  <si>
    <t>180456</t>
  </si>
  <si>
    <t>Arulmani</t>
  </si>
  <si>
    <t>0300591043</t>
  </si>
  <si>
    <t>160305</t>
  </si>
  <si>
    <t>Kuppu</t>
  </si>
  <si>
    <t>8200004418095850</t>
  </si>
  <si>
    <t>287772</t>
  </si>
  <si>
    <t>Kala</t>
  </si>
  <si>
    <t>8006064608179662</t>
  </si>
  <si>
    <t>231896</t>
  </si>
  <si>
    <t>Gnanasekar</t>
  </si>
  <si>
    <t>0300676254</t>
  </si>
  <si>
    <t>183771</t>
  </si>
  <si>
    <t>Iron</t>
  </si>
  <si>
    <t>Chinnasami P.K</t>
  </si>
  <si>
    <t>0300847187</t>
  </si>
  <si>
    <t>95945</t>
  </si>
  <si>
    <t>Karthick Arusanalam</t>
  </si>
  <si>
    <t>P</t>
  </si>
  <si>
    <t>8200004419230670</t>
  </si>
  <si>
    <t>244891</t>
  </si>
  <si>
    <t>Kumarmathu Muthi</t>
  </si>
  <si>
    <t>Madhammal Arunasalam</t>
  </si>
  <si>
    <t>Mangai Govindhasamy</t>
  </si>
  <si>
    <t>8200004419230712</t>
  </si>
  <si>
    <t>244893</t>
  </si>
  <si>
    <t>Muthumani Murugesan</t>
  </si>
  <si>
    <t>8200004419230274</t>
  </si>
  <si>
    <t>246987</t>
  </si>
  <si>
    <t>Rajaswari Sivaguru</t>
  </si>
  <si>
    <t>8200004419231934</t>
  </si>
  <si>
    <t>244896</t>
  </si>
  <si>
    <t>Sala Solai</t>
  </si>
  <si>
    <t>8200004419230969</t>
  </si>
  <si>
    <t>246984</t>
  </si>
  <si>
    <t>Thavamani Selvam</t>
  </si>
  <si>
    <t>8200004419230662</t>
  </si>
  <si>
    <t>246988</t>
  </si>
  <si>
    <t>Madhammal Arunasalam</t>
  </si>
  <si>
    <t>8200004419230688</t>
  </si>
  <si>
    <t>244899</t>
  </si>
  <si>
    <t>Shivam Etiyampatti</t>
  </si>
  <si>
    <t>8200004419231223</t>
  </si>
  <si>
    <t>309745</t>
  </si>
  <si>
    <t>AMOUNT RECEIVED</t>
  </si>
  <si>
    <t>Thenmozhli</t>
  </si>
  <si>
    <t>0300847172</t>
  </si>
  <si>
    <t>89059</t>
  </si>
  <si>
    <t>0300847135</t>
  </si>
  <si>
    <t>87169</t>
  </si>
  <si>
    <t>Bhakhiyaraj</t>
  </si>
  <si>
    <t>0301296539</t>
  </si>
  <si>
    <t>195539</t>
  </si>
  <si>
    <t>Jeeva</t>
  </si>
  <si>
    <t>0300882631</t>
  </si>
  <si>
    <t>195461</t>
  </si>
  <si>
    <t>Sudha</t>
  </si>
  <si>
    <t>0300882637</t>
  </si>
  <si>
    <t>195438</t>
  </si>
  <si>
    <t>Panjali</t>
  </si>
  <si>
    <t>0300882632</t>
  </si>
  <si>
    <t>195900</t>
  </si>
  <si>
    <t>Gnanasekaran</t>
  </si>
  <si>
    <t>0300686663</t>
  </si>
  <si>
    <t>184460</t>
  </si>
  <si>
    <t>Sankar Lakshmi</t>
  </si>
  <si>
    <t>0300882124</t>
  </si>
  <si>
    <t>198230</t>
  </si>
  <si>
    <t>Karunanidi</t>
  </si>
  <si>
    <t>0300847062</t>
  </si>
  <si>
    <t>78151</t>
  </si>
  <si>
    <t>velliangkiri</t>
  </si>
  <si>
    <t>8006064608179175</t>
  </si>
  <si>
    <t>230510</t>
  </si>
  <si>
    <t>Sumadhi</t>
  </si>
  <si>
    <t>8006064608179472</t>
  </si>
  <si>
    <t>219608</t>
  </si>
  <si>
    <t>Bhanumadi</t>
  </si>
  <si>
    <t>8006064608179829</t>
  </si>
  <si>
    <t>216884</t>
  </si>
  <si>
    <t>Sagadhevan</t>
  </si>
  <si>
    <t>8136404371010681</t>
  </si>
  <si>
    <t>120222</t>
  </si>
  <si>
    <t>Suresh (LIC)</t>
  </si>
  <si>
    <t>0300481913</t>
  </si>
  <si>
    <t>245281</t>
  </si>
  <si>
    <t>0300882127</t>
  </si>
  <si>
    <t>198386</t>
  </si>
  <si>
    <t>0300847130</t>
  </si>
  <si>
    <t>89476</t>
  </si>
  <si>
    <t>Manjula</t>
  </si>
  <si>
    <t>0300882633</t>
  </si>
  <si>
    <t>195470</t>
  </si>
  <si>
    <t>Raja maadhu</t>
  </si>
  <si>
    <t>0300847173</t>
  </si>
  <si>
    <t>88461</t>
  </si>
  <si>
    <t>Krishnaveni</t>
  </si>
  <si>
    <t>8006064608179134</t>
  </si>
  <si>
    <t>218147</t>
  </si>
  <si>
    <t>0300955817</t>
  </si>
  <si>
    <t>36739</t>
  </si>
  <si>
    <t>0300847160</t>
  </si>
  <si>
    <t>135933</t>
  </si>
  <si>
    <t>GP-230</t>
  </si>
  <si>
    <t>NewBox- Pudhur</t>
  </si>
  <si>
    <t>0301092333</t>
  </si>
  <si>
    <t>354165</t>
  </si>
  <si>
    <t>New-11</t>
  </si>
  <si>
    <t>8006064608179936</t>
  </si>
  <si>
    <t>218066</t>
  </si>
  <si>
    <t>Lakhsmi</t>
  </si>
  <si>
    <t>0300546866</t>
  </si>
  <si>
    <t>241980</t>
  </si>
  <si>
    <t>0300820053</t>
  </si>
  <si>
    <t>106956</t>
  </si>
  <si>
    <t>Krishnan Pudhur</t>
  </si>
  <si>
    <t>0301296540</t>
  </si>
  <si>
    <t>331850</t>
  </si>
  <si>
    <t>TOTAL - G</t>
  </si>
  <si>
    <t>Thavamani</t>
  </si>
  <si>
    <t>0300882627</t>
  </si>
  <si>
    <t>195536</t>
  </si>
  <si>
    <t>Muniyappan vimala</t>
  </si>
  <si>
    <t>0300686662</t>
  </si>
  <si>
    <t>326324</t>
  </si>
  <si>
    <t>Note no is in Vallur-2: 0300820037</t>
  </si>
  <si>
    <t>Sankar Govindhammal</t>
  </si>
  <si>
    <t>0300847063</t>
  </si>
  <si>
    <t>86547</t>
  </si>
  <si>
    <t>Sasikala</t>
  </si>
  <si>
    <t>8136404371010806</t>
  </si>
  <si>
    <t>119434</t>
  </si>
  <si>
    <t>0300500884</t>
  </si>
  <si>
    <t>36725</t>
  </si>
  <si>
    <t>8200004418387927</t>
  </si>
  <si>
    <t>125152</t>
  </si>
  <si>
    <t>8006064608179365</t>
  </si>
  <si>
    <t>231900</t>
  </si>
  <si>
    <t>H-200-30th</t>
  </si>
  <si>
    <t>Kaaliyammal</t>
  </si>
  <si>
    <t>0301296536</t>
  </si>
  <si>
    <t>38280</t>
  </si>
  <si>
    <t>FEBRUARY</t>
  </si>
  <si>
    <t>BAL</t>
  </si>
  <si>
    <t>0300847181</t>
  </si>
  <si>
    <t>93665</t>
  </si>
  <si>
    <t>Vadivelu Lakhsmi</t>
  </si>
  <si>
    <t>8200004399991291</t>
  </si>
  <si>
    <t>288681</t>
  </si>
  <si>
    <t>Lalitha Sakthivel</t>
  </si>
  <si>
    <t>0300847069</t>
  </si>
  <si>
    <t>78341</t>
  </si>
  <si>
    <t>Shanmuga suntharam geetha</t>
  </si>
  <si>
    <t>0301296534</t>
  </si>
  <si>
    <t>212186</t>
  </si>
  <si>
    <t>Madhayan Palaniammal</t>
  </si>
  <si>
    <t>8200004418387877</t>
  </si>
  <si>
    <t>123742</t>
  </si>
  <si>
    <t>Gopal Madhayan</t>
  </si>
  <si>
    <t>8136404371010194</t>
  </si>
  <si>
    <t>115116</t>
  </si>
  <si>
    <t>Sivalingam Kalpana</t>
  </si>
  <si>
    <t>0300632190</t>
  </si>
  <si>
    <t>26697</t>
  </si>
  <si>
    <t>Natarajan Roja</t>
  </si>
  <si>
    <t>0300686666</t>
  </si>
  <si>
    <t>184038</t>
  </si>
  <si>
    <t>Perumal lakshmi</t>
  </si>
  <si>
    <t>8136404371011119</t>
  </si>
  <si>
    <t>117894</t>
  </si>
  <si>
    <t>Muthu Lakshmi</t>
  </si>
  <si>
    <t>0300676253</t>
  </si>
  <si>
    <t>182941</t>
  </si>
  <si>
    <t>0300882623</t>
  </si>
  <si>
    <t>195475</t>
  </si>
  <si>
    <t>Gavaskar</t>
  </si>
  <si>
    <t>0300847185</t>
  </si>
  <si>
    <t>93698</t>
  </si>
  <si>
    <t>Nasaheamma</t>
  </si>
  <si>
    <t>0300686714</t>
  </si>
  <si>
    <t>186903</t>
  </si>
  <si>
    <t>Selvi Periyannan</t>
  </si>
  <si>
    <t>0300591052</t>
  </si>
  <si>
    <t>166625</t>
  </si>
  <si>
    <t>Anbuarasu Elavarasi</t>
  </si>
  <si>
    <t>0300591107</t>
  </si>
  <si>
    <t>153950</t>
  </si>
  <si>
    <t>kanniammal</t>
  </si>
  <si>
    <t>0300847167</t>
  </si>
  <si>
    <t>88458</t>
  </si>
  <si>
    <t>Boopathi (Pamba)</t>
  </si>
  <si>
    <t>0300847058</t>
  </si>
  <si>
    <t>78325</t>
  </si>
  <si>
    <t>0300882806</t>
  </si>
  <si>
    <t>246397</t>
  </si>
  <si>
    <t>0300591115</t>
  </si>
  <si>
    <t>77400</t>
  </si>
  <si>
    <t>Prabhabhathi Madhesh</t>
  </si>
  <si>
    <t>0300632181</t>
  </si>
  <si>
    <t>26669</t>
  </si>
  <si>
    <t>Murugan jamuna</t>
  </si>
  <si>
    <t>0300847032</t>
  </si>
  <si>
    <t>77427</t>
  </si>
  <si>
    <t>Vadivelu Gandhimadhi</t>
  </si>
  <si>
    <t>0300882629</t>
  </si>
  <si>
    <t>195534</t>
  </si>
  <si>
    <t>0400068020</t>
  </si>
  <si>
    <t>231747</t>
  </si>
  <si>
    <t>Manjula (Saravanan Theatre)</t>
  </si>
  <si>
    <t>0300820034</t>
  </si>
  <si>
    <t>47512</t>
  </si>
  <si>
    <t>Govindharaj Chandrakala</t>
  </si>
  <si>
    <t>8006064608179316</t>
  </si>
  <si>
    <t>216836</t>
  </si>
  <si>
    <t>Munniyapan Geetha</t>
  </si>
  <si>
    <t>0300747513</t>
  </si>
  <si>
    <t>191531</t>
  </si>
  <si>
    <t>Chinnaammal</t>
  </si>
  <si>
    <t>0300686698</t>
  </si>
  <si>
    <t>185677</t>
  </si>
  <si>
    <t>G</t>
  </si>
  <si>
    <t>Selvaraj Tailor</t>
  </si>
  <si>
    <t>0300847051</t>
  </si>
  <si>
    <t>78323</t>
  </si>
  <si>
    <t>Vinitha</t>
  </si>
  <si>
    <t>8136404371010509</t>
  </si>
  <si>
    <t>115134</t>
  </si>
  <si>
    <t>Gap-11</t>
  </si>
  <si>
    <t>Vijiyan X Staff</t>
  </si>
  <si>
    <t>0300847037</t>
  </si>
  <si>
    <t>77706</t>
  </si>
  <si>
    <t>X Staff</t>
  </si>
  <si>
    <t>X</t>
  </si>
  <si>
    <t>8200004418098813</t>
  </si>
  <si>
    <t>288147</t>
  </si>
  <si>
    <t>Palani ammal - DC</t>
  </si>
  <si>
    <t>0300847001</t>
  </si>
  <si>
    <t>77433</t>
  </si>
  <si>
    <t>0300847078</t>
  </si>
  <si>
    <t>79537</t>
  </si>
  <si>
    <t>turned on 11/sep - govind</t>
  </si>
  <si>
    <t>8200004418387869</t>
  </si>
  <si>
    <t>123755</t>
  </si>
  <si>
    <t>0300820025</t>
  </si>
  <si>
    <t>47785</t>
  </si>
  <si>
    <t>0300847171</t>
  </si>
  <si>
    <t>93669</t>
  </si>
  <si>
    <t>0300591053</t>
  </si>
  <si>
    <t>167218</t>
  </si>
  <si>
    <t>0300741676</t>
  </si>
  <si>
    <t>46791</t>
  </si>
  <si>
    <t>0300676246</t>
  </si>
  <si>
    <t>182695</t>
  </si>
  <si>
    <t>0300847110</t>
  </si>
  <si>
    <t>84404</t>
  </si>
  <si>
    <t>0300847131</t>
  </si>
  <si>
    <t>84705</t>
  </si>
  <si>
    <t>Pajilath</t>
  </si>
  <si>
    <t>ZEE TV( Alacarte ), DIGICON TAMIL MAXX, STAR PLUS( Alacarte ), BST 200</t>
  </si>
  <si>
    <t>0300632188</t>
  </si>
  <si>
    <t>26694</t>
  </si>
  <si>
    <t>H-250</t>
  </si>
  <si>
    <t>8006064608180033</t>
  </si>
  <si>
    <t>233453</t>
  </si>
  <si>
    <t>0300847101</t>
  </si>
  <si>
    <t>86552</t>
  </si>
  <si>
    <t>8136404371011291</t>
  </si>
  <si>
    <t>119423</t>
  </si>
  <si>
    <t>0300847116</t>
  </si>
  <si>
    <t>84709</t>
  </si>
  <si>
    <t>0300955819</t>
  </si>
  <si>
    <t>178452</t>
  </si>
  <si>
    <t>0300847070</t>
  </si>
  <si>
    <t>78335</t>
  </si>
  <si>
    <t>0300847007</t>
  </si>
  <si>
    <t>77430</t>
  </si>
  <si>
    <t>0300820089</t>
  </si>
  <si>
    <t>63391</t>
  </si>
  <si>
    <t>8200004399991366</t>
  </si>
  <si>
    <t>286069</t>
  </si>
  <si>
    <t>0300847141</t>
  </si>
  <si>
    <t>135334</t>
  </si>
  <si>
    <t>Kathijabi</t>
  </si>
  <si>
    <t>ZEE CINEMA( Alacarte ), DIGICON PACKAGE 4, BST 200</t>
  </si>
  <si>
    <t>0300847074</t>
  </si>
  <si>
    <t>78339</t>
  </si>
  <si>
    <t>Parukbasa</t>
  </si>
  <si>
    <t>SONY( Alacarte ), ZEE TV( Alacarte ), DIGICON TAMIL MINI PACK</t>
  </si>
  <si>
    <t>0300847112</t>
  </si>
  <si>
    <t>86579</t>
  </si>
  <si>
    <t>2 Month once 500</t>
  </si>
  <si>
    <t>Shahin Mohamadsha</t>
  </si>
  <si>
    <t>8006064608179555</t>
  </si>
  <si>
    <t>231070</t>
  </si>
  <si>
    <t>AbithBasha</t>
  </si>
  <si>
    <t>0300847022</t>
  </si>
  <si>
    <t>77412</t>
  </si>
  <si>
    <t>Mansoor Syedbaasha</t>
  </si>
  <si>
    <t>0300847102</t>
  </si>
  <si>
    <t>86597</t>
  </si>
  <si>
    <t>CAFID</t>
  </si>
  <si>
    <t>Old no</t>
  </si>
  <si>
    <t>Reenuka</t>
  </si>
  <si>
    <t>1301B7AD</t>
  </si>
  <si>
    <t>4967117</t>
  </si>
  <si>
    <t>Chithra</t>
  </si>
  <si>
    <t>1305E457</t>
  </si>
  <si>
    <t>5411271</t>
  </si>
  <si>
    <t>1308F701</t>
  </si>
  <si>
    <t>13550689</t>
  </si>
  <si>
    <t>Ragubadhi</t>
  </si>
  <si>
    <t>14050290</t>
  </si>
  <si>
    <t>5411259</t>
  </si>
  <si>
    <t>140F1F92</t>
  </si>
  <si>
    <t>13551624</t>
  </si>
  <si>
    <t>Rani moorthi</t>
  </si>
  <si>
    <t>14017970</t>
  </si>
  <si>
    <t>13550534</t>
  </si>
  <si>
    <t>140F1F2F</t>
  </si>
  <si>
    <t>5411154</t>
  </si>
  <si>
    <t>Palani ammal</t>
  </si>
  <si>
    <t>1302B686</t>
  </si>
  <si>
    <t>5591793</t>
  </si>
  <si>
    <t>140F06B1</t>
  </si>
  <si>
    <t>5411430</t>
  </si>
  <si>
    <t>Thenmozhili</t>
  </si>
  <si>
    <t>13007887</t>
  </si>
  <si>
    <t>5411025</t>
  </si>
  <si>
    <t>Banupriya</t>
  </si>
  <si>
    <t>140E80E8</t>
  </si>
  <si>
    <t>13551879</t>
  </si>
  <si>
    <t>13085D4D</t>
  </si>
  <si>
    <t>13551909</t>
  </si>
  <si>
    <t>A-210</t>
  </si>
  <si>
    <t>Ten Sports</t>
  </si>
  <si>
    <t>Vanila</t>
  </si>
  <si>
    <t>140E84CB</t>
  </si>
  <si>
    <t>5411337</t>
  </si>
  <si>
    <t>Viswanadhan</t>
  </si>
  <si>
    <t>1406B28D</t>
  </si>
  <si>
    <t>13551769</t>
  </si>
  <si>
    <t>Govindhasami Panjali</t>
  </si>
  <si>
    <t>1302D101</t>
  </si>
  <si>
    <t>5449113</t>
  </si>
  <si>
    <t>140B0A7F</t>
  </si>
  <si>
    <t>5411223</t>
  </si>
  <si>
    <t>Govindhasami Gowri</t>
  </si>
  <si>
    <t>140F2180</t>
  </si>
  <si>
    <t>5411526</t>
  </si>
  <si>
    <t>Rajkumar</t>
  </si>
  <si>
    <t>1407F0FD</t>
  </si>
  <si>
    <t>13550639</t>
  </si>
  <si>
    <t>Sasikumar</t>
  </si>
  <si>
    <t>141730F1</t>
  </si>
  <si>
    <t>5411214</t>
  </si>
  <si>
    <t>POGO</t>
  </si>
  <si>
    <t>Govindharaj muthulakshmi</t>
  </si>
  <si>
    <t>1311BA65</t>
  </si>
  <si>
    <t>13551644</t>
  </si>
  <si>
    <t>Veedi</t>
  </si>
  <si>
    <t>130284BB</t>
  </si>
  <si>
    <t>5410995</t>
  </si>
  <si>
    <t>Senthil kutti</t>
  </si>
  <si>
    <t>13053B39</t>
  </si>
  <si>
    <t>13551699</t>
  </si>
  <si>
    <t>Jothivel Saraswathi</t>
  </si>
  <si>
    <t>1306F198</t>
  </si>
  <si>
    <t>13551664</t>
  </si>
  <si>
    <t>Murugan murgammal</t>
  </si>
  <si>
    <t>140EEDE2</t>
  </si>
  <si>
    <t>13551859</t>
  </si>
  <si>
    <t>1301974B</t>
  </si>
  <si>
    <t>14859661</t>
  </si>
  <si>
    <t>Sony mini sports bouquet - 210</t>
  </si>
  <si>
    <t>Chinnaraj M.M</t>
  </si>
  <si>
    <t>1302CF7C</t>
  </si>
  <si>
    <t>5448999</t>
  </si>
  <si>
    <t>Ankila Venkateshan -diff</t>
  </si>
  <si>
    <t>1302B681</t>
  </si>
  <si>
    <t>5449596</t>
  </si>
  <si>
    <t>140456B8</t>
  </si>
  <si>
    <t>13550609</t>
  </si>
  <si>
    <t>Sagundhala-Silambu</t>
  </si>
  <si>
    <t>140D3187</t>
  </si>
  <si>
    <t>13551629</t>
  </si>
  <si>
    <t>Pachaiyappan</t>
  </si>
  <si>
    <t>14137A2E</t>
  </si>
  <si>
    <t>13551899</t>
  </si>
  <si>
    <t>Neeru</t>
  </si>
  <si>
    <t>140DD9A1</t>
  </si>
  <si>
    <t>13550919</t>
  </si>
  <si>
    <t>Amaravadhi</t>
  </si>
  <si>
    <t>1404D709</t>
  </si>
  <si>
    <t>13551839</t>
  </si>
  <si>
    <t>Nanjappan</t>
  </si>
  <si>
    <t>140363D5</t>
  </si>
  <si>
    <t>13551814</t>
  </si>
  <si>
    <t>141CAA18</t>
  </si>
  <si>
    <t>13669064</t>
  </si>
  <si>
    <t>Kamala</t>
  </si>
  <si>
    <t>1413B576</t>
  </si>
  <si>
    <t>13550504</t>
  </si>
  <si>
    <t>13066EBE</t>
  </si>
  <si>
    <t>5411196</t>
  </si>
  <si>
    <t>141B458E</t>
  </si>
  <si>
    <t>13669034</t>
  </si>
  <si>
    <t>1402DD1B</t>
  </si>
  <si>
    <t>5411307</t>
  </si>
  <si>
    <t>1312601F</t>
  </si>
  <si>
    <t>13551824</t>
  </si>
  <si>
    <t>Ganesan Lakshmi</t>
  </si>
  <si>
    <t>1403FA8F</t>
  </si>
  <si>
    <t>13551724</t>
  </si>
  <si>
    <t>Kiliammal</t>
  </si>
  <si>
    <t>1302C6B1</t>
  </si>
  <si>
    <t>5449200</t>
  </si>
  <si>
    <t>1304E683</t>
  </si>
  <si>
    <t>5411562</t>
  </si>
  <si>
    <t>Murugesan</t>
  </si>
  <si>
    <t>13011096</t>
  </si>
  <si>
    <t>13550474</t>
  </si>
  <si>
    <t>Munnusami</t>
  </si>
  <si>
    <t>140D32FF</t>
  </si>
  <si>
    <t>13551864</t>
  </si>
  <si>
    <t>1301CAFE</t>
  </si>
  <si>
    <t>13551654</t>
  </si>
  <si>
    <t>Mani Magesh</t>
  </si>
  <si>
    <t>140CF577</t>
  </si>
  <si>
    <t>13550454</t>
  </si>
  <si>
    <t>Selvam Rani</t>
  </si>
  <si>
    <t>1416047D</t>
  </si>
  <si>
    <t>13669039</t>
  </si>
  <si>
    <t>1406EE9C</t>
  </si>
  <si>
    <t>13551774</t>
  </si>
  <si>
    <t>1305DC02</t>
  </si>
  <si>
    <t>5411352</t>
  </si>
  <si>
    <t>14049FF9</t>
  </si>
  <si>
    <t>13550524</t>
  </si>
  <si>
    <t>Jayavel</t>
  </si>
  <si>
    <t>1414546E</t>
  </si>
  <si>
    <t>13669059</t>
  </si>
  <si>
    <t>13068E5A</t>
  </si>
  <si>
    <t>5411229</t>
  </si>
  <si>
    <t>Ambika Madhayan</t>
  </si>
  <si>
    <t>13018CCD</t>
  </si>
  <si>
    <t>4967363</t>
  </si>
  <si>
    <t>Aamsa</t>
  </si>
  <si>
    <t>13165C6F</t>
  </si>
  <si>
    <t>13551844</t>
  </si>
  <si>
    <t>1302D7C8</t>
  </si>
  <si>
    <t>4967465</t>
  </si>
  <si>
    <t>13028C44</t>
  </si>
  <si>
    <t>14859646</t>
  </si>
  <si>
    <t>Mangammal</t>
  </si>
  <si>
    <t>1309D115</t>
  </si>
  <si>
    <t>13551829</t>
  </si>
  <si>
    <t>Chinnavan</t>
  </si>
  <si>
    <t>13085D01</t>
  </si>
  <si>
    <t>5411091</t>
  </si>
  <si>
    <t>140D33FC</t>
  </si>
  <si>
    <t>13550669</t>
  </si>
  <si>
    <t>1301AACD</t>
  </si>
  <si>
    <t>5410956</t>
  </si>
  <si>
    <t>NODE</t>
  </si>
  <si>
    <t>Konnammal</t>
  </si>
  <si>
    <t>13042EFF</t>
  </si>
  <si>
    <t>13551694</t>
  </si>
  <si>
    <t>1305C981</t>
  </si>
  <si>
    <t>5411556</t>
  </si>
  <si>
    <t>Karthiga</t>
  </si>
  <si>
    <t>1305EF93</t>
  </si>
  <si>
    <t>13551784</t>
  </si>
  <si>
    <t>1302CD6A</t>
  </si>
  <si>
    <t>5591766</t>
  </si>
  <si>
    <t>Thirthamalai</t>
  </si>
  <si>
    <t>140E2796</t>
  </si>
  <si>
    <t>5411376</t>
  </si>
  <si>
    <t>130274F8</t>
  </si>
  <si>
    <t>13550519</t>
  </si>
  <si>
    <t>Ravigandh</t>
  </si>
  <si>
    <t>140EBA7E</t>
  </si>
  <si>
    <t>13551884</t>
  </si>
  <si>
    <t>Selvaraj Lakshmi</t>
  </si>
  <si>
    <t>1301F08A</t>
  </si>
  <si>
    <t>14859656</t>
  </si>
  <si>
    <t>Ganeshan</t>
  </si>
  <si>
    <t>1301A8BB</t>
  </si>
  <si>
    <t>5410938</t>
  </si>
  <si>
    <t>turned on 22-sep after 3 months</t>
  </si>
  <si>
    <t>1301B7AB</t>
  </si>
  <si>
    <t>5411049</t>
  </si>
  <si>
    <t>Santha moorthi</t>
  </si>
  <si>
    <t>13112128</t>
  </si>
  <si>
    <t>5411130</t>
  </si>
  <si>
    <t>Elavarasan</t>
  </si>
  <si>
    <t>130A94FE</t>
  </si>
  <si>
    <t>13550619</t>
  </si>
  <si>
    <t>Annamalai</t>
  </si>
  <si>
    <t>1302C836</t>
  </si>
  <si>
    <t>5410914</t>
  </si>
  <si>
    <t>13010C34</t>
  </si>
  <si>
    <t>14866414</t>
  </si>
  <si>
    <t>Pachiyappan Asodha</t>
  </si>
  <si>
    <t>130284F1</t>
  </si>
  <si>
    <t>5591814</t>
  </si>
  <si>
    <t>madhu</t>
  </si>
  <si>
    <t>Chandra</t>
  </si>
  <si>
    <t>1302A9B1</t>
  </si>
  <si>
    <t>14859641</t>
  </si>
  <si>
    <t>14069A9B</t>
  </si>
  <si>
    <t>13551714</t>
  </si>
  <si>
    <t>Sivaraj</t>
  </si>
  <si>
    <t>130E96BA</t>
  </si>
  <si>
    <t>13550464</t>
  </si>
  <si>
    <t>Selvaraj</t>
  </si>
  <si>
    <t>1308250F</t>
  </si>
  <si>
    <t>13551904</t>
  </si>
  <si>
    <t>14039044</t>
  </si>
  <si>
    <t>5411244</t>
  </si>
  <si>
    <t>13028711</t>
  </si>
  <si>
    <t>5591802</t>
  </si>
  <si>
    <t>130667E0</t>
  </si>
  <si>
    <t>13669049</t>
  </si>
  <si>
    <t>Dharuman</t>
  </si>
  <si>
    <t>1414321D</t>
  </si>
  <si>
    <t>13669044</t>
  </si>
  <si>
    <t>Sathish Kumar-1</t>
  </si>
  <si>
    <t>140D50E6</t>
  </si>
  <si>
    <t>5411292</t>
  </si>
  <si>
    <t>Amsaa</t>
  </si>
  <si>
    <t>1302936B</t>
  </si>
  <si>
    <t>14859671</t>
  </si>
  <si>
    <t>Vetrayan</t>
  </si>
  <si>
    <t>130F6931</t>
  </si>
  <si>
    <t>13550554</t>
  </si>
  <si>
    <t>Kulandhai</t>
  </si>
  <si>
    <t>14110F27</t>
  </si>
  <si>
    <t>13550959</t>
  </si>
  <si>
    <t>Vellu</t>
  </si>
  <si>
    <t>1302CD69</t>
  </si>
  <si>
    <t>5591778</t>
  </si>
  <si>
    <t>Selvam ammu</t>
  </si>
  <si>
    <t>1301A88B</t>
  </si>
  <si>
    <t>5591832</t>
  </si>
  <si>
    <t>1402DD95</t>
  </si>
  <si>
    <t>13550569</t>
  </si>
  <si>
    <t>Manga</t>
  </si>
  <si>
    <t>14048615</t>
  </si>
  <si>
    <t>5411538</t>
  </si>
  <si>
    <t>Kasthuri</t>
  </si>
  <si>
    <t>1413C484</t>
  </si>
  <si>
    <t>13551894</t>
  </si>
  <si>
    <t>Amudha</t>
  </si>
  <si>
    <t>13027E06</t>
  </si>
  <si>
    <t>5411061</t>
  </si>
  <si>
    <t>Murugammal</t>
  </si>
  <si>
    <t>13085A73</t>
  </si>
  <si>
    <t>13551749</t>
  </si>
  <si>
    <t>14080D74</t>
  </si>
  <si>
    <t>13550544</t>
  </si>
  <si>
    <t>Jothi</t>
  </si>
  <si>
    <t>13165A8B</t>
  </si>
  <si>
    <t>13550649</t>
  </si>
  <si>
    <t>130284B4</t>
  </si>
  <si>
    <t>5410893</t>
  </si>
  <si>
    <t>Palaniammal - Diff LCO</t>
  </si>
  <si>
    <t>1302CF43</t>
  </si>
  <si>
    <t>5449386</t>
  </si>
  <si>
    <t>1412B419</t>
  </si>
  <si>
    <t>13669054</t>
  </si>
  <si>
    <t>Valarmadhi</t>
  </si>
  <si>
    <t>13165A44</t>
  </si>
  <si>
    <t>13551849</t>
  </si>
  <si>
    <t>141ED3E8</t>
  </si>
  <si>
    <t>13669069</t>
  </si>
  <si>
    <t>Kaala</t>
  </si>
  <si>
    <t>140B119F</t>
  </si>
  <si>
    <t>13551734</t>
  </si>
  <si>
    <t>Pandurangan</t>
  </si>
  <si>
    <t>1402BDDC</t>
  </si>
  <si>
    <t>13550444</t>
  </si>
  <si>
    <t>Muthumani</t>
  </si>
  <si>
    <t>13082317</t>
  </si>
  <si>
    <t>13550479</t>
  </si>
  <si>
    <t>1306B302</t>
  </si>
  <si>
    <t>13551874</t>
  </si>
  <si>
    <t>1308248E</t>
  </si>
  <si>
    <t>13550989</t>
  </si>
  <si>
    <t>Selvarasu</t>
  </si>
  <si>
    <t>140B6236</t>
  </si>
  <si>
    <t>13551684</t>
  </si>
  <si>
    <t>Munniyammal</t>
  </si>
  <si>
    <t>13035083</t>
  </si>
  <si>
    <t>14859651</t>
  </si>
  <si>
    <t>Perumal - Diff LCO</t>
  </si>
  <si>
    <t>1302CFBB</t>
  </si>
  <si>
    <t>5591760</t>
  </si>
  <si>
    <t>140BF2C5</t>
  </si>
  <si>
    <t>13551799</t>
  </si>
  <si>
    <t>Vijian X staff-2</t>
  </si>
  <si>
    <t>1302BA00</t>
  </si>
  <si>
    <t>Settu</t>
  </si>
  <si>
    <t>1302847D</t>
  </si>
  <si>
    <t>5410863</t>
  </si>
  <si>
    <t>Gap-28-NP</t>
  </si>
  <si>
    <t>Dinesh-diff</t>
  </si>
  <si>
    <t>14016CCD</t>
  </si>
  <si>
    <t>1406986F</t>
  </si>
  <si>
    <t>Nadhiya</t>
  </si>
  <si>
    <t>14081845</t>
  </si>
  <si>
    <t>1301A7B5</t>
  </si>
  <si>
    <t>Saridha</t>
  </si>
  <si>
    <t>13111B58</t>
  </si>
  <si>
    <t>130281E1</t>
  </si>
  <si>
    <t>Silambarasan</t>
  </si>
  <si>
    <t>13060A77</t>
  </si>
  <si>
    <t>1308E2AF</t>
  </si>
  <si>
    <t>1302CDC7</t>
  </si>
  <si>
    <t>ActiveLists</t>
  </si>
  <si>
    <t>Paid Lists</t>
  </si>
  <si>
    <t>AREA/STREET NAME</t>
  </si>
  <si>
    <t>FEBUARY</t>
  </si>
  <si>
    <t>Unknown</t>
  </si>
  <si>
    <t>ACTIVE LIST</t>
  </si>
  <si>
    <t>MURUGAN</t>
  </si>
  <si>
    <t>Appa</t>
  </si>
  <si>
    <t>Equal/Not</t>
  </si>
  <si>
    <t>Vallur- 1</t>
  </si>
  <si>
    <t>Vallur- 2</t>
  </si>
  <si>
    <t>Subramaniya Siva</t>
  </si>
  <si>
    <t>Bharadhidhasan</t>
  </si>
  <si>
    <t>Poothu Kovil</t>
  </si>
  <si>
    <t>Mannikam_Muthaliyar-I</t>
  </si>
  <si>
    <t>Mannikam_Muthaliyar-II</t>
  </si>
  <si>
    <t>Ramasami Mudhaliyar</t>
  </si>
  <si>
    <t>Pillaiyar Kovil</t>
  </si>
  <si>
    <t>K.MUDHALIYAR</t>
  </si>
  <si>
    <t>M.MARIAMMAN</t>
  </si>
  <si>
    <t>A.COLONY</t>
  </si>
  <si>
    <t>Main road</t>
  </si>
  <si>
    <t>Bharathipuram-1</t>
  </si>
  <si>
    <t>Bharathipuram-2</t>
  </si>
  <si>
    <t>Agali theru</t>
  </si>
  <si>
    <t>Etteiyampatti</t>
  </si>
  <si>
    <t>Pudhur</t>
  </si>
  <si>
    <t>Sankar K</t>
  </si>
  <si>
    <t>KAMARAJ NAGAR</t>
  </si>
  <si>
    <t>MUSLISM STREET</t>
  </si>
  <si>
    <t>GOVT BOX</t>
  </si>
  <si>
    <t>TOTAL COLLECTION</t>
  </si>
  <si>
    <t>GOVINDHAN</t>
  </si>
  <si>
    <t>TOTAL BASED ON ABOVE</t>
  </si>
  <si>
    <t>TOTAL TABLE-SUM</t>
  </si>
  <si>
    <t>CAF NO used lately</t>
  </si>
  <si>
    <t>0239431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</si>
  <si>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</si>
  <si>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</si>
  <si>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</si>
  <si>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</si>
  <si>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</si>
  <si>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</si>
  <si>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</si>
  <si>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</si>
  <si>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</si>
  <si>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</si>
  <si>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</si>
  <si>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</si>
  <si>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Date</t>
  </si>
  <si>
    <t>Salary</t>
  </si>
  <si>
    <t>Date2</t>
  </si>
  <si>
    <t>Amount2</t>
  </si>
  <si>
    <t>Salary2</t>
  </si>
  <si>
    <t>Date3</t>
  </si>
  <si>
    <t>Amount3</t>
  </si>
  <si>
    <t>Salary3</t>
  </si>
  <si>
    <t>Date4</t>
  </si>
  <si>
    <t>Amount4</t>
  </si>
  <si>
    <t>Salary4</t>
  </si>
  <si>
    <t>Date5</t>
  </si>
  <si>
    <t>Amount5</t>
  </si>
  <si>
    <t>Salary5</t>
  </si>
  <si>
    <t>Date6</t>
  </si>
  <si>
    <t>Amount6</t>
  </si>
  <si>
    <t>Salary6</t>
  </si>
  <si>
    <t>Date7</t>
  </si>
  <si>
    <t>Amount7</t>
  </si>
  <si>
    <t>Salary7</t>
  </si>
  <si>
    <t>Date8</t>
  </si>
  <si>
    <t>Amount8</t>
  </si>
  <si>
    <t>Salary8</t>
  </si>
  <si>
    <t>Date9</t>
  </si>
  <si>
    <t>Amount9</t>
  </si>
  <si>
    <t>Salary9</t>
  </si>
  <si>
    <t>Date10</t>
  </si>
  <si>
    <t>Amount10</t>
  </si>
  <si>
    <t>Salary10</t>
  </si>
  <si>
    <t>Date11</t>
  </si>
  <si>
    <t>Amount11</t>
  </si>
  <si>
    <t>Salary11</t>
  </si>
  <si>
    <t>Date12</t>
  </si>
  <si>
    <t>Amount12</t>
  </si>
  <si>
    <t>Salary12</t>
  </si>
  <si>
    <t>Entry Amount</t>
  </si>
  <si>
    <t>Balance</t>
  </si>
  <si>
    <t>Paid</t>
  </si>
  <si>
    <t>Final Balance</t>
  </si>
  <si>
    <t>Given Amount</t>
  </si>
  <si>
    <t>New Box Near Sarathi</t>
  </si>
  <si>
    <t>0300824437</t>
  </si>
  <si>
    <t>355562</t>
  </si>
  <si>
    <t>New-31st</t>
  </si>
  <si>
    <t>H-420</t>
  </si>
  <si>
    <t>8 Month</t>
  </si>
  <si>
    <t>Chinnammal</t>
  </si>
  <si>
    <t>A-250</t>
  </si>
  <si>
    <t>FOR P</t>
  </si>
  <si>
    <t>ON-2</t>
  </si>
  <si>
    <t>0300713503</t>
  </si>
  <si>
    <t>355663</t>
  </si>
  <si>
    <t>0300500611</t>
  </si>
  <si>
    <t>New-2</t>
  </si>
  <si>
    <t>Mini pack</t>
  </si>
  <si>
    <t>For P</t>
  </si>
  <si>
    <t>355142</t>
  </si>
  <si>
    <t>0300632080</t>
  </si>
  <si>
    <t>355144</t>
  </si>
  <si>
    <t>A-400</t>
  </si>
  <si>
    <t>Blank</t>
  </si>
  <si>
    <t>Mini pack, zee tamil</t>
  </si>
  <si>
    <t>ON-3</t>
  </si>
  <si>
    <t>Rama Krishnan</t>
  </si>
  <si>
    <t>ON-4</t>
  </si>
  <si>
    <t>mini pack, zee tamil</t>
  </si>
  <si>
    <t>Chithapa Friend</t>
  </si>
  <si>
    <t>P-100</t>
  </si>
  <si>
    <t>5448792</t>
  </si>
  <si>
    <t>5449572</t>
  </si>
  <si>
    <t>Check-A</t>
  </si>
  <si>
    <t>M-C-On Jan</t>
  </si>
  <si>
    <t>M-C-Half</t>
  </si>
  <si>
    <t>Veerammal</t>
  </si>
  <si>
    <t>Saala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</si>
</sst>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 &quot;₹&quot;\ * #,##0.00_ ;_ &quot;₹&quot;\ * \-#,##0.00_ ;_ &quot;₹&quot;\ * &quot;-&quot;??_ ;_ @_ "/>
    <numFmt numFmtId="164" formatCode="&quot;₹&quot;\ #,##0.00"/>
    <numFmt numFmtId="165" formatCode="[$₹-4009]\ #,##0.00"/>
    <numFmt numFmtId="166" formatCode="_ [$₹-4009]\ * #,##0.00_ ;_ [$₹-4009]\ * \-#,##0.00_ ;_ [$₹-4009]\ * &quot;-&quot;??_ ;_ @_ "/>
    <numFmt numFmtId="167" formatCode="[$₹-447]#,##0.00"/>
  </numFmts>
  <fonts count="3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6"/>
      <color rgb="FF006100"/>
      <name val="Calibri"/>
      <family val="2"/>
      <scheme val="minor"/>
    </font>
    <font>
      <b/>
      <i/>
      <sz val="16"/>
      <color rgb="FF9C6500"/>
      <name val="Calibri"/>
      <family val="2"/>
      <scheme val="minor"/>
    </font>
    <font>
      <b/>
      <i/>
      <sz val="16"/>
      <color theme="3"/>
      <name val="Calibri"/>
      <family val="2"/>
      <scheme val="minor"/>
    </font>
    <font>
      <sz val="13"/>
      <color theme="1"/>
      <name val="Calibri"/>
      <family val="2"/>
      <scheme val="minor"/>
    </font>
    <font>
      <b/>
      <i/>
      <sz val="14"/>
      <color rgb="FF006100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9C6500"/>
      <name val="Calibri"/>
      <family val="2"/>
      <scheme val="minor"/>
    </font>
    <font>
      <b/>
      <sz val="11"/>
      <color rgb="FF9C0006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9"/>
      <color rgb="FF2E5E79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sz val="26"/>
      <color rgb="FFFF0000"/>
      <name val="Cambria"/>
      <family val="2"/>
      <scheme val="major"/>
    </font>
    <font>
      <b/>
      <sz val="11"/>
      <color rgb="FF00B05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FFEB9C"/>
      </patternFill>
    </fill>
    <fill>
      <patternFill patternType="solid">
        <fgColor theme="8"/>
      </patternFill>
    </fill>
    <fill>
      <patternFill patternType="solid">
        <fgColor rgb="FFFFC7CE"/>
      </patternFill>
    </fill>
    <fill>
      <patternFill patternType="solid">
        <fgColor indexed="65"/>
        <bgColor indexed="64"/>
      </patternFill>
    </fill>
    <fill>
      <patternFill patternType="solid">
        <fgColor rgb="FFFFFFCC"/>
      </patternFill>
    </fill>
    <fill>
      <patternFill patternType="solid">
        <fgColor rgb="FFA5A5A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FF66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13">
    <xf numFmtId="0" fontId="0" fillId="0" borderId="0"/>
    <xf numFmtId="0" fontId="1" fillId="2" borderId="0"/>
    <xf numFmtId="0" fontId="3" fillId="4" borderId="0"/>
    <xf numFmtId="0" fontId="4" fillId="3" borderId="1"/>
    <xf numFmtId="44" fontId="11" fillId="0" borderId="0"/>
    <xf numFmtId="0" fontId="6" fillId="0" borderId="0"/>
    <xf numFmtId="0" fontId="5" fillId="0" borderId="3"/>
    <xf numFmtId="0" fontId="2" fillId="5" borderId="0"/>
    <xf numFmtId="0" fontId="10" fillId="6" borderId="0"/>
    <xf numFmtId="0" fontId="11" fillId="8" borderId="4"/>
    <xf numFmtId="0" fontId="25" fillId="9" borderId="6"/>
    <xf numFmtId="0" fontId="27" fillId="0" borderId="0"/>
    <xf numFmtId="0" fontId="30" fillId="3" borderId="8"/>
  </cellStyleXfs>
  <cellXfs count="124">
    <xf numFmtId="0" fontId="0" fillId="0" borderId="0" xfId="0"/>
    <xf numFmtId="0" fontId="1" fillId="2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1" fillId="2" borderId="2" xfId="1" applyBorder="1"/>
    <xf numFmtId="0" fontId="3" fillId="4" borderId="2" xfId="2" applyBorder="1"/>
    <xf numFmtId="0" fontId="5" fillId="3" borderId="3" xfId="6" applyFill="1"/>
    <xf numFmtId="0" fontId="5" fillId="0" borderId="0" xfId="0" applyFont="1"/>
    <xf numFmtId="0" fontId="8" fillId="2" borderId="2" xfId="1" applyFont="1" applyBorder="1"/>
    <xf numFmtId="0" fontId="9" fillId="4" borderId="2" xfId="2" applyFont="1" applyBorder="1"/>
    <xf numFmtId="0" fontId="4" fillId="3" borderId="1" xfId="3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17" fillId="2" borderId="0" xfId="1" applyFont="1"/>
    <xf numFmtId="0" fontId="19" fillId="4" borderId="0" xfId="2" applyFont="1"/>
    <xf numFmtId="14" fontId="16" fillId="0" borderId="0" xfId="0" applyNumberFormat="1" applyFont="1" applyAlignment="1">
      <alignment horizontal="center"/>
    </xf>
    <xf numFmtId="0" fontId="5" fillId="0" borderId="3" xfId="6"/>
    <xf numFmtId="0" fontId="20" fillId="6" borderId="2" xfId="8" applyFont="1" applyBorder="1"/>
    <xf numFmtId="0" fontId="0" fillId="2" borderId="2" xfId="1" applyFont="1" applyBorder="1"/>
    <xf numFmtId="0" fontId="10" fillId="6" borderId="2" xfId="8" applyBorder="1"/>
    <xf numFmtId="0" fontId="0" fillId="4" borderId="2" xfId="2" applyFont="1" applyBorder="1"/>
    <xf numFmtId="0" fontId="10" fillId="6" borderId="0" xfId="8"/>
    <xf numFmtId="0" fontId="0" fillId="6" borderId="2" xfId="8" applyFont="1" applyBorder="1"/>
    <xf numFmtId="164" fontId="7" fillId="0" borderId="0" xfId="4" applyNumberFormat="1" applyFont="1"/>
    <xf numFmtId="164" fontId="11" fillId="0" borderId="0" xfId="4" applyNumberFormat="1"/>
    <xf numFmtId="165" fontId="0" fillId="0" borderId="0" xfId="0" applyNumberFormat="1"/>
    <xf numFmtId="165" fontId="5" fillId="0" borderId="0" xfId="0" applyNumberFormat="1" applyFont="1"/>
    <xf numFmtId="164" fontId="5" fillId="0" borderId="0" xfId="0" applyNumberFormat="1" applyFont="1"/>
    <xf numFmtId="164" fontId="4" fillId="3" borderId="1" xfId="3" applyNumberFormat="1"/>
    <xf numFmtId="164" fontId="0" fillId="0" borderId="0" xfId="0" applyNumberFormat="1" applyAlignment="1">
      <alignment horizontal="left"/>
    </xf>
    <xf numFmtId="164" fontId="16" fillId="0" borderId="0" xfId="0" applyNumberFormat="1" applyFont="1" applyAlignment="1">
      <alignment horizontal="center"/>
    </xf>
    <xf numFmtId="164" fontId="12" fillId="0" borderId="0" xfId="0" applyNumberFormat="1" applyFont="1"/>
    <xf numFmtId="0" fontId="21" fillId="0" borderId="0" xfId="0" applyFont="1" applyAlignment="1">
      <alignment horizontal="center"/>
    </xf>
    <xf numFmtId="0" fontId="0" fillId="2" borderId="0" xfId="1" applyFont="1"/>
    <xf numFmtId="0" fontId="16" fillId="0" borderId="0" xfId="0" applyFont="1"/>
    <xf numFmtId="14" fontId="16" fillId="0" borderId="0" xfId="0" applyNumberFormat="1" applyFont="1"/>
    <xf numFmtId="164" fontId="11" fillId="7" borderId="0" xfId="4" applyNumberFormat="1" applyFill="1"/>
    <xf numFmtId="49" fontId="0" fillId="8" borderId="4" xfId="9" applyNumberFormat="1" applyFont="1"/>
    <xf numFmtId="0" fontId="23" fillId="0" borderId="0" xfId="0" applyFont="1"/>
    <xf numFmtId="0" fontId="5" fillId="0" borderId="0" xfId="0" applyFont="1" applyAlignment="1">
      <alignment horizontal="center"/>
    </xf>
    <xf numFmtId="17" fontId="0" fillId="0" borderId="0" xfId="0" applyNumberFormat="1"/>
    <xf numFmtId="0" fontId="24" fillId="0" borderId="0" xfId="0" applyFont="1"/>
    <xf numFmtId="164" fontId="24" fillId="0" borderId="0" xfId="0" applyNumberFormat="1" applyFont="1"/>
    <xf numFmtId="0" fontId="10" fillId="6" borderId="0" xfId="8" applyAlignment="1">
      <alignment horizontal="center"/>
    </xf>
    <xf numFmtId="17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2" borderId="2" xfId="1" applyFont="1" applyBorder="1" applyAlignment="1">
      <alignment horizontal="center"/>
    </xf>
    <xf numFmtId="0" fontId="0" fillId="6" borderId="2" xfId="8" applyFont="1" applyBorder="1" applyAlignment="1">
      <alignment horizontal="center"/>
    </xf>
    <xf numFmtId="0" fontId="0" fillId="4" borderId="2" xfId="2" applyFont="1" applyBorder="1" applyAlignment="1">
      <alignment horizontal="center"/>
    </xf>
    <xf numFmtId="0" fontId="5" fillId="0" borderId="3" xfId="6" applyAlignment="1">
      <alignment horizontal="center"/>
    </xf>
    <xf numFmtId="49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 wrapText="1"/>
    </xf>
    <xf numFmtId="165" fontId="5" fillId="0" borderId="0" xfId="0" applyNumberFormat="1" applyFont="1" applyAlignment="1">
      <alignment horizontal="center"/>
    </xf>
    <xf numFmtId="17" fontId="5" fillId="0" borderId="0" xfId="0" applyNumberFormat="1" applyFont="1" applyAlignment="1">
      <alignment horizontal="center"/>
    </xf>
    <xf numFmtId="164" fontId="10" fillId="6" borderId="0" xfId="8" applyNumberFormat="1" applyAlignment="1">
      <alignment horizontal="center"/>
    </xf>
    <xf numFmtId="164" fontId="5" fillId="0" borderId="0" xfId="0" applyNumberFormat="1" applyFont="1" applyAlignment="1">
      <alignment horizontal="center"/>
    </xf>
    <xf numFmtId="0" fontId="26" fillId="9" borderId="6" xfId="10" applyFont="1"/>
    <xf numFmtId="0" fontId="29" fillId="0" borderId="0" xfId="5" applyFont="1" applyAlignment="1">
      <alignment horizontal="center"/>
    </xf>
    <xf numFmtId="0" fontId="2" fillId="11" borderId="1" xfId="7" applyFill="1" applyBorder="1"/>
    <xf numFmtId="0" fontId="3" fillId="4" borderId="0" xfId="2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167" fontId="5" fillId="0" borderId="0" xfId="0" applyNumberFormat="1" applyFont="1" applyAlignment="1">
      <alignment horizontal="center"/>
    </xf>
    <xf numFmtId="167" fontId="5" fillId="0" borderId="0" xfId="0" applyNumberFormat="1" applyFont="1"/>
    <xf numFmtId="166" fontId="5" fillId="3" borderId="3" xfId="6" applyNumberFormat="1" applyFill="1"/>
    <xf numFmtId="166" fontId="29" fillId="0" borderId="0" xfId="5" applyNumberFormat="1" applyFont="1"/>
    <xf numFmtId="166" fontId="2" fillId="11" borderId="1" xfId="7" applyNumberFormat="1" applyFill="1" applyBorder="1"/>
    <xf numFmtId="16" fontId="16" fillId="0" borderId="0" xfId="0" applyNumberFormat="1" applyFont="1"/>
    <xf numFmtId="164" fontId="16" fillId="0" borderId="0" xfId="0" applyNumberFormat="1" applyFont="1"/>
    <xf numFmtId="0" fontId="30" fillId="3" borderId="8" xfId="12"/>
    <xf numFmtId="0" fontId="11" fillId="8" borderId="0" xfId="9" applyBorder="1"/>
    <xf numFmtId="0" fontId="0" fillId="0" borderId="4" xfId="0" applyBorder="1"/>
    <xf numFmtId="49" fontId="0" fillId="0" borderId="4" xfId="0" applyNumberFormat="1" applyBorder="1"/>
    <xf numFmtId="49" fontId="24" fillId="0" borderId="4" xfId="0" applyNumberFormat="1" applyFont="1" applyBorder="1"/>
    <xf numFmtId="164" fontId="0" fillId="0" borderId="4" xfId="4" applyNumberFormat="1" applyFont="1" applyBorder="1"/>
    <xf numFmtId="164" fontId="0" fillId="0" borderId="4" xfId="0" applyNumberFormat="1" applyBorder="1" applyAlignment="1">
      <alignment horizontal="center"/>
    </xf>
    <xf numFmtId="164" fontId="0" fillId="0" borderId="4" xfId="0" applyNumberFormat="1" applyBorder="1"/>
    <xf numFmtId="0" fontId="0" fillId="0" borderId="0" xfId="0" applyAlignment="1">
      <alignment wrapText="1"/>
    </xf>
    <xf numFmtId="49" fontId="24" fillId="0" borderId="0" xfId="0" applyNumberFormat="1" applyFont="1"/>
    <xf numFmtId="164" fontId="0" fillId="0" borderId="0" xfId="4" applyNumberFormat="1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49" fontId="0" fillId="0" borderId="0" xfId="0" applyNumberFormat="1"/>
    <xf numFmtId="165" fontId="0" fillId="0" borderId="0" xfId="0" applyNumberFormat="1" applyAlignment="1">
      <alignment horizontal="center"/>
    </xf>
    <xf numFmtId="0" fontId="0" fillId="0" borderId="0" xfId="0"/>
    <xf numFmtId="166" fontId="0" fillId="0" borderId="0" xfId="0" applyNumberFormat="1"/>
    <xf numFmtId="0" fontId="12" fillId="0" borderId="0" xfId="0" applyFont="1"/>
    <xf numFmtId="0" fontId="15" fillId="0" borderId="0" xfId="0" applyFont="1" applyAlignment="1">
      <alignment horizontal="center"/>
    </xf>
    <xf numFmtId="0" fontId="11" fillId="8" borderId="4" xfId="9"/>
    <xf numFmtId="49" fontId="5" fillId="0" borderId="0" xfId="0" applyNumberFormat="1" applyFont="1"/>
    <xf numFmtId="0" fontId="0" fillId="0" borderId="0" xfId="0"/>
    <xf numFmtId="164" fontId="24" fillId="7" borderId="0" xfId="4" applyNumberFormat="1" applyFont="1" applyFill="1"/>
    <xf numFmtId="164" fontId="11" fillId="8" borderId="4" xfId="9" applyNumberFormat="1"/>
    <xf numFmtId="0" fontId="0" fillId="0" borderId="0" xfId="0" applyAlignment="1"/>
    <xf numFmtId="0" fontId="0" fillId="0" borderId="0" xfId="0" applyBorder="1"/>
    <xf numFmtId="0" fontId="11" fillId="8" borderId="4" xfId="9" applyBorder="1"/>
    <xf numFmtId="0" fontId="0" fillId="0" borderId="0" xfId="0" applyBorder="1" applyAlignment="1">
      <alignment horizontal="center"/>
    </xf>
    <xf numFmtId="49" fontId="0" fillId="0" borderId="0" xfId="0" applyNumberFormat="1" applyBorder="1"/>
    <xf numFmtId="165" fontId="0" fillId="0" borderId="0" xfId="0" applyNumberFormat="1" applyBorder="1" applyAlignment="1">
      <alignment horizontal="center"/>
    </xf>
    <xf numFmtId="165" fontId="0" fillId="0" borderId="0" xfId="0" applyNumberFormat="1" applyBorder="1"/>
    <xf numFmtId="0" fontId="5" fillId="0" borderId="0" xfId="0" applyFont="1" applyBorder="1"/>
    <xf numFmtId="164" fontId="0" fillId="0" borderId="0" xfId="0" applyNumberFormat="1" applyBorder="1" applyAlignment="1">
      <alignment horizontal="center"/>
    </xf>
    <xf numFmtId="0" fontId="0" fillId="8" borderId="4" xfId="9" applyFont="1" applyBorder="1"/>
    <xf numFmtId="0" fontId="0" fillId="0" borderId="0" xfId="0"/>
    <xf numFmtId="164" fontId="10" fillId="6" borderId="0" xfId="8" applyNumberFormat="1"/>
    <xf numFmtId="0" fontId="19" fillId="4" borderId="0" xfId="2" applyFont="1" applyAlignment="1">
      <alignment horizontal="center"/>
    </xf>
    <xf numFmtId="0" fontId="0" fillId="0" borderId="0" xfId="0"/>
    <xf numFmtId="0" fontId="22" fillId="8" borderId="4" xfId="9" applyFont="1" applyAlignment="1">
      <alignment horizontal="center"/>
    </xf>
    <xf numFmtId="0" fontId="0" fillId="0" borderId="5" xfId="0" applyBorder="1"/>
    <xf numFmtId="0" fontId="28" fillId="10" borderId="7" xfId="11" applyFont="1" applyFill="1" applyBorder="1" applyAlignment="1">
      <alignment horizontal="center"/>
    </xf>
    <xf numFmtId="166" fontId="0" fillId="0" borderId="0" xfId="0" applyNumberFormat="1"/>
    <xf numFmtId="0" fontId="0" fillId="0" borderId="7" xfId="0" applyBorder="1"/>
    <xf numFmtId="0" fontId="27" fillId="12" borderId="0" xfId="11" applyFill="1" applyAlignment="1">
      <alignment horizontal="center"/>
    </xf>
    <xf numFmtId="0" fontId="12" fillId="0" borderId="0" xfId="0" applyFont="1"/>
    <xf numFmtId="0" fontId="27" fillId="13" borderId="0" xfId="11" applyFill="1" applyAlignment="1">
      <alignment horizontal="center"/>
    </xf>
    <xf numFmtId="0" fontId="12" fillId="0" borderId="0" xfId="0" applyFont="1" applyAlignment="1">
      <alignment horizontal="center"/>
    </xf>
    <xf numFmtId="164" fontId="12" fillId="0" borderId="0" xfId="0" applyNumberFormat="1" applyFont="1" applyAlignment="1">
      <alignment horizontal="center"/>
    </xf>
    <xf numFmtId="0" fontId="13" fillId="2" borderId="0" xfId="1" applyFont="1" applyAlignment="1">
      <alignment horizontal="center"/>
    </xf>
    <xf numFmtId="0" fontId="15" fillId="0" borderId="0" xfId="0" applyFont="1" applyAlignment="1">
      <alignment horizontal="center"/>
    </xf>
    <xf numFmtId="0" fontId="14" fillId="4" borderId="0" xfId="2" applyFont="1" applyAlignment="1">
      <alignment horizontal="center"/>
    </xf>
    <xf numFmtId="164" fontId="18" fillId="0" borderId="0" xfId="0" applyNumberFormat="1" applyFont="1" applyAlignment="1">
      <alignment horizontal="center"/>
    </xf>
  </cellXfs>
  <cellStyles count="13">
    <cellStyle name="Accent5" xfId="7" builtinId="45"/>
    <cellStyle name="Bad" xfId="8" builtinId="27"/>
    <cellStyle name="Calculation" xfId="3" builtinId="22"/>
    <cellStyle name="Check Cell" xfId="10" builtinId="23"/>
    <cellStyle name="Currency" xfId="4" builtinId="4"/>
    <cellStyle name="Good" xfId="1" builtinId="26"/>
    <cellStyle name="Heading 4" xfId="5" builtinId="19"/>
    <cellStyle name="Neutral" xfId="2" builtinId="28"/>
    <cellStyle name="Normal" xfId="0" builtinId="0"/>
    <cellStyle name="Note" xfId="9" builtinId="10"/>
    <cellStyle name="Output" xfId="12" builtinId="21"/>
    <cellStyle name="Title" xfId="11" builtinId="15"/>
    <cellStyle name="Total" xfId="6" builtinId="25"/>
  </cellStyles>
  <dxfs count="967"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9" formatCode="dd/mm/yyyy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numFmt numFmtId="164" formatCode="&quot;₹&quot;\ #,##0.00"/>
      <alignment horizontal="general" vertical="bottom"/>
    </dxf>
    <dxf>
      <font>
        <b/>
        <strike val="0"/>
        <condense val="0"/>
        <extend val="0"/>
        <outline val="0"/>
        <shadow val="0"/>
        <vertAlign val="baseline"/>
        <sz val="14"/>
        <color theme="1"/>
        <name val="Calibri"/>
        <family val="2"/>
        <scheme val="minor"/>
      </font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  <alignment horizontal="general" vertical="bottom"/>
    </dxf>
    <dxf>
      <numFmt numFmtId="164" formatCode="&quot;₹&quot;\ #,##0.00"/>
    </dxf>
    <dxf>
      <font>
        <strike val="0"/>
        <outline val="0"/>
        <shadow val="0"/>
        <vertAlign val="baseline"/>
        <sz val="13"/>
        <color theme="1"/>
        <name val="Calibri"/>
        <family val="2"/>
        <scheme val="minor"/>
      </font>
    </dxf>
    <dxf>
      <font>
        <b/>
        <strike val="0"/>
        <outline val="0"/>
        <shadow val="0"/>
        <vertAlign val="baseline"/>
        <sz val="14"/>
        <color theme="1"/>
        <name val="Calibri"/>
        <family val="2"/>
        <scheme val="minor"/>
      </font>
      <alignment horizontal="general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  <alignment horizontal="center" vertical="bottom"/>
    </dxf>
    <dxf>
      <font>
        <b/>
        <i/>
      </font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alignment horizontal="center" vertical="bottom"/>
    </dxf>
    <dxf>
      <numFmt numFmtId="0" formatCode="General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left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left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alignment horizontal="left" vertical="bottom" textRotation="0" wrapText="0" indent="0" justifyLastLine="0" shrinkToFit="0" readingOrder="0"/>
    </dxf>
    <dxf>
      <alignment horizontal="left" vertical="bottom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numFmt numFmtId="166" formatCode="_ [$₹-4009]\ * #,##0.00_ ;_ [$₹-4009]\ * \-#,##0.00_ ;_ [$₹-4009]\ * &quot;-&quot;??_ ;_ @_ "/>
    </dxf>
    <dxf>
      <numFmt numFmtId="30" formatCode="@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  <alignment horizontal="center" vertical="bottom" textRotation="0" wrapText="0" indent="0" justifyLastLine="0" shrinkToFit="0" readingOrder="0"/>
    </dxf>
    <dxf>
      <numFmt numFmtId="166" formatCode="_ [$₹-4009]\ * #,##0.00_ ;_ [$₹-4009]\ * \-#,##0.00_ ;_ [$₹-4009]\ * &quot;-&quot;??_ ;_ @_ "/>
      <alignment horizontal="center" vertical="bottom"/>
    </dxf>
    <dxf>
      <numFmt numFmtId="166" formatCode="_ [$₹-4009]\ * #,##0.00_ ;_ [$₹-4009]\ * \-#,##0.00_ ;_ [$₹-4009]\ * &quot;-&quot;??_ ;_ @_ 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left/>
        <right/>
        <top style="thin">
          <color theme="4"/>
        </top>
        <bottom/>
      </border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numFmt numFmtId="164" formatCode="&quot;₹&quot;\ #,##0.00"/>
      <alignment horizontal="center" vertical="bottom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left/>
        <right/>
        <top/>
        <bottom style="medium">
          <color theme="4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[$₹-447]#,##0.00"/>
      <alignment horizontal="center" vertical="bottom" textRotation="0" wrapText="0" indent="0" justifyLastLine="0" shrinkToFit="0" readingOrder="0"/>
    </dxf>
    <dxf>
      <numFmt numFmtId="167" formatCode="[$₹-447]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₹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₹&quot;\ #,##0.00"/>
    </dxf>
    <dxf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</dxf>
    <dxf>
      <numFmt numFmtId="165" formatCode="[$₹-4009]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font>
        <b/>
      </font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alignment horizontal="center" vertical="bottom"/>
    </dxf>
    <dxf>
      <numFmt numFmtId="165" formatCode="[$₹-4009]\ #,##0.00"/>
      <alignment horizontal="center" vertical="bottom"/>
    </dxf>
    <dxf>
      <font>
        <b/>
      </font>
      <numFmt numFmtId="165" formatCode="[$₹-4009]\ #,##0.00"/>
      <alignment horizontal="center" vertical="bottom"/>
    </dxf>
    <dxf>
      <numFmt numFmtId="30" formatCode="@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alignment horizontal="center" vertical="bottom"/>
    </dxf>
    <dxf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&quot;₹&quot;\ #,##0.00"/>
      <alignment horizontal="center" vertical="bottom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30" formatCode="@"/>
    </dxf>
    <dxf>
      <alignment horizontal="center" vertical="bottom"/>
    </dxf>
    <dxf>
      <numFmt numFmtId="165" formatCode="[$₹-4009]\ #,##0.00"/>
    </dxf>
    <dxf>
      <numFmt numFmtId="165" formatCode="[$₹-4009]\ #,##0.0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/>
    </dxf>
    <dxf>
      <alignment horizontal="center" vertical="bottom"/>
    </dxf>
    <dxf>
      <numFmt numFmtId="165" formatCode="[$₹-4009]\ #,##0.00"/>
    </dxf>
    <dxf>
      <numFmt numFmtId="30" formatCode="@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/>
    </dxf>
    <dxf>
      <numFmt numFmtId="165" formatCode="[$₹-4009]\ #,##0.00"/>
    </dxf>
    <dxf>
      <numFmt numFmtId="165" formatCode="[$₹-4009]\ #,##0.00"/>
      <alignment horizontal="center" vertical="bottom" textRotation="0" wrapText="0" indent="0" justifyLastLine="0" shrinkToFit="0" readingOrder="0"/>
    </dxf>
    <dxf>
      <numFmt numFmtId="165" formatCode="[$₹-4009]\ #,##0.00"/>
    </dxf>
    <dxf>
      <numFmt numFmtId="164" formatCode="&quot;₹&quot;\ #,##0.00"/>
      <alignment horizontal="center" vertical="bottom"/>
    </dxf>
    <dxf>
      <numFmt numFmtId="165" formatCode="[$₹-4009]\ #,##0.00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164" formatCode="&quot;₹&quot;\ #,##0.00"/>
    </dxf>
    <dxf>
      <numFmt numFmtId="30" formatCode="@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</dxf>
    <dxf>
      <font>
        <b/>
      </font>
      <numFmt numFmtId="164" formatCode="&quot;₹&quot;\ #,##0.00"/>
      <alignment horizontal="center" vertical="bottom"/>
    </dxf>
    <dxf>
      <numFmt numFmtId="164" formatCode="&quot;₹&quot;\ #,##0.00"/>
    </dxf>
    <dxf>
      <font>
        <b/>
      </font>
      <numFmt numFmtId="30" formatCode="@"/>
    </dxf>
    <dxf>
      <numFmt numFmtId="30" formatCode="@"/>
    </dxf>
    <dxf>
      <numFmt numFmtId="30" formatCode="@"/>
    </dxf>
    <dxf>
      <numFmt numFmtId="164" formatCode="&quot;₹&quot;\ #,##0.00"/>
    </dxf>
    <dxf>
      <numFmt numFmtId="164" formatCode="&quot;₹&quot;\ #,##0.00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  <alignment horizontal="center" vertical="bottom" textRotation="0" wrapText="0" indent="0" justifyLastLine="0" shrinkToFit="0" readingOrder="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  <sz val="12"/>
      </font>
      <numFmt numFmtId="164" formatCode="&quot;₹&quot;\ #,##0.00"/>
      <fill>
        <patternFill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164" formatCode="&quot;₹&quot;\ #,##0.00"/>
    </dxf>
    <dxf>
      <numFmt numFmtId="164" formatCode="&quot;₹&quot;\ #,##0.00"/>
      <alignment horizontal="center" vertical="bottom"/>
    </dxf>
    <dxf>
      <numFmt numFmtId="164" formatCode="&quot;₹&quot;\ #,##0.00"/>
    </dxf>
    <dxf>
      <font>
        <b/>
        <strike val="0"/>
        <outline val="0"/>
        <shadow val="0"/>
        <vertAlign val="baseline"/>
        <sz val="12"/>
        <color theme="1"/>
        <name val="Calibri"/>
        <family val="2"/>
        <scheme val="minor"/>
      </font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allur1" displayName="vallur1" ref="A1:V76" totalsRowCount="1">
  <autoFilter ref="A1:V75" xr:uid="{00000000-0009-0000-0100-000001000000}"/>
  <sortState xmlns:xlrd2="http://schemas.microsoft.com/office/spreadsheetml/2017/richdata2" ref="A2:V74">
    <sortCondition ref="A1:A74"/>
  </sortState>
  <tableColumns count="22">
    <tableColumn id="1" xr3:uid="{00000000-0010-0000-0000-000001000000}" name="S.NO" totalsRowLabel="Total"/>
    <tableColumn id="2" xr3:uid="{00000000-0010-0000-0000-000002000000}" name="Customer Name"/>
    <tableColumn id="3" xr3:uid="{00000000-0010-0000-0000-000003000000}" name="PAID" totalsRowFunction="custom">
      <calculatedColumnFormula array="1">_xlfn.IFS(ISNUMBER(SEARCH("M",vallur1[[#This Row],[JANUARY]])),"M",ISNUMBER(SEARCH("A",vallur1[[#This Row],[JANUARY]])),"A",vallur1[[#This Row],[JANUARY]]="","",vallur1[[#This Row],[JANUARY]]&gt;=100,"P")</calculatedColumnFormula>
      <totalsRowFormula>COUNTIF(vallur1[PAID], "&gt;=a")</totalsRowFormula>
    </tableColumn>
    <tableColumn id="29" xr3:uid="{00000000-0010-0000-0000-00001D000000}" name="Package" totalsRowFunction="count" totalsRowDxfId="966"/>
    <tableColumn id="4" xr3:uid="{00000000-0010-0000-0000-000004000000}" name="Box No" totalsRowFunction="count" dataDxfId="965"/>
    <tableColumn id="28" xr3:uid="{00000000-0010-0000-0000-00001C000000}" name="CAF_ID" totalsRowFunction="count" dataDxfId="964"/>
    <tableColumn id="6" xr3:uid="{00000000-0010-0000-0000-000006000000}" name="Amount" dataDxfId="963" totalsRowDxfId="962"/>
    <tableColumn id="25" xr3:uid="{00000000-0010-0000-0000-000019000000}" name="Dec-20" totalsRowFunction="sum" dataDxfId="961" totalsRowDxfId="960"/>
    <tableColumn id="27" xr3:uid="{00000000-0010-0000-0000-00001B000000}" name="BALANCE" totalsRowFunction="sum" dataDxfId="959" totalsRowDxfId="958" dataCellStyle="Currency"/>
    <tableColumn id="5" xr3:uid="{00000000-0010-0000-0000-000005000000}" name="JANUARY" totalsRowFunction="sum" dataDxfId="957" totalsRowDxfId="956"/>
    <tableColumn id="7" xr3:uid="{00000000-0010-0000-0000-000007000000}" name="FEBEUARY" totalsRowFunction="sum" dataDxfId="955" totalsRowDxfId="954"/>
    <tableColumn id="9" xr3:uid="{00000000-0010-0000-0000-000009000000}" name="MARCH" totalsRowFunction="sum" dataDxfId="953" totalsRowDxfId="952"/>
    <tableColumn id="11" xr3:uid="{00000000-0010-0000-0000-00000B000000}" name="APRIL" totalsRowFunction="sum" dataDxfId="951" totalsRowDxfId="950"/>
    <tableColumn id="13" xr3:uid="{00000000-0010-0000-0000-00000D000000}" name="MAY" totalsRowFunction="sum" dataDxfId="949" totalsRowDxfId="948"/>
    <tableColumn id="15" xr3:uid="{00000000-0010-0000-0000-00000F000000}" name="JUNE" totalsRowFunction="sum" dataDxfId="947" totalsRowDxfId="946"/>
    <tableColumn id="17" xr3:uid="{00000000-0010-0000-0000-000011000000}" name="JULY" totalsRowFunction="sum" dataDxfId="945" totalsRowDxfId="944"/>
    <tableColumn id="19" xr3:uid="{00000000-0010-0000-0000-000013000000}" name="AUGUST" totalsRowFunction="sum" dataDxfId="943" totalsRowDxfId="942"/>
    <tableColumn id="10" xr3:uid="{00000000-0010-0000-0000-00000A000000}" name="SEPTEMBER" totalsRowFunction="sum" dataDxfId="941" totalsRowDxfId="940"/>
    <tableColumn id="21" xr3:uid="{00000000-0010-0000-0000-000015000000}" name="OCTOBER" totalsRowFunction="sum" dataDxfId="939" totalsRowDxfId="938"/>
    <tableColumn id="23" xr3:uid="{00000000-0010-0000-0000-000017000000}" name="NOVEMBER" totalsRowFunction="sum" dataDxfId="937" totalsRowDxfId="936"/>
    <tableColumn id="12" xr3:uid="{00000000-0010-0000-0000-00000C000000}" name="DECEMBER" totalsRowFunction="sum" dataDxfId="935" totalsRowDxfId="934"/>
    <tableColumn id="8" xr3:uid="{00000000-0010-0000-0000-000008000000}" name="COMMENTS" dataDxfId="933" totalsRowDxfId="932"/>
  </tableColumns>
  <tableStyleInfo name="TableStyleMedium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vallur2" displayName="vallur2" ref="A1:V49" totalsRowCount="1">
  <autoFilter ref="A1:V48" xr:uid="{00000000-0009-0000-0100-000002000000}"/>
  <sortState xmlns:xlrd2="http://schemas.microsoft.com/office/spreadsheetml/2017/richdata2" ref="A2:V48">
    <sortCondition ref="A1:A48"/>
  </sortState>
  <tableColumns count="22">
    <tableColumn id="1" xr3:uid="{00000000-0010-0000-0100-000001000000}" name="S.NO" totalsRowLabel="Total"/>
    <tableColumn id="2" xr3:uid="{00000000-0010-0000-0100-000002000000}" name="Customer Name"/>
    <tableColumn id="3" xr3:uid="{00000000-0010-0000-0100-000003000000}" name="PAID" totalsRowFunction="custom">
      <calculatedColumnFormula array="1">_xlfn.IFS(ISNUMBER(SEARCH("M",vallur2[[#This Row],[JANUARY]])),"M",ISNUMBER(SEARCH("A",vallur2[[#This Row],[JANUARY]])),"A",vallur2[[#This Row],[JANUARY]]="","",vallur2[[#This Row],[JANUARY]]&gt;=100,"P")</calculatedColumnFormula>
      <totalsRowFormula>COUNTIF(C2:C48, "&gt;=a")</totalsRowFormula>
    </tableColumn>
    <tableColumn id="29" xr3:uid="{00000000-0010-0000-0100-00001D000000}" name="Package" totalsRowFunction="count"/>
    <tableColumn id="4" xr3:uid="{00000000-0010-0000-0100-000004000000}" name="Box No" totalsRowFunction="count" dataDxfId="931"/>
    <tableColumn id="28" xr3:uid="{00000000-0010-0000-0100-00001C000000}" name="CAF_ID" totalsRowFunction="count" dataDxfId="930"/>
    <tableColumn id="10" xr3:uid="{00000000-0010-0000-0100-00000A000000}" name="Amount" dataDxfId="929" totalsRowDxfId="928"/>
    <tableColumn id="25" xr3:uid="{00000000-0010-0000-0100-000019000000}" name="Dec-20" totalsRowFunction="sum" dataDxfId="927" totalsRowDxfId="926"/>
    <tableColumn id="27" xr3:uid="{00000000-0010-0000-0100-00001B000000}" name="BALANCE" totalsRowFunction="sum" dataDxfId="925" totalsRowDxfId="924"/>
    <tableColumn id="5" xr3:uid="{00000000-0010-0000-0100-000005000000}" name="JANUARY" totalsRowFunction="sum" dataDxfId="923" totalsRowDxfId="922"/>
    <tableColumn id="7" xr3:uid="{00000000-0010-0000-0100-000007000000}" name="FEBEUARY" totalsRowFunction="sum" dataDxfId="921" totalsRowDxfId="920"/>
    <tableColumn id="9" xr3:uid="{00000000-0010-0000-0100-000009000000}" name="MARCH" totalsRowFunction="sum" dataDxfId="919" totalsRowDxfId="918"/>
    <tableColumn id="11" xr3:uid="{00000000-0010-0000-0100-00000B000000}" name="APRIL" totalsRowFunction="sum" dataDxfId="917" totalsRowDxfId="916"/>
    <tableColumn id="13" xr3:uid="{00000000-0010-0000-0100-00000D000000}" name="MAY" totalsRowFunction="sum" dataDxfId="915" totalsRowDxfId="914"/>
    <tableColumn id="15" xr3:uid="{00000000-0010-0000-0100-00000F000000}" name="JUNE" totalsRowFunction="sum" dataDxfId="913" totalsRowDxfId="912"/>
    <tableColumn id="17" xr3:uid="{00000000-0010-0000-0100-000011000000}" name="JULY" totalsRowFunction="sum" dataDxfId="911" totalsRowDxfId="910"/>
    <tableColumn id="19" xr3:uid="{00000000-0010-0000-0100-000013000000}" name="AUGUST" totalsRowFunction="sum" dataDxfId="909" totalsRowDxfId="908"/>
    <tableColumn id="8" xr3:uid="{00000000-0010-0000-0100-000008000000}" name="SEPTEMBER" totalsRowFunction="sum" dataDxfId="907" totalsRowDxfId="906"/>
    <tableColumn id="21" xr3:uid="{00000000-0010-0000-0100-000015000000}" name="OCTOBER" totalsRowFunction="sum" dataDxfId="905" totalsRowDxfId="904"/>
    <tableColumn id="23" xr3:uid="{00000000-0010-0000-0100-000017000000}" name="NOVEMBER" totalsRowFunction="sum" dataDxfId="903" totalsRowDxfId="902"/>
    <tableColumn id="12" xr3:uid="{00000000-0010-0000-0100-00000C000000}" name="DECEMBER" dataDxfId="901" totalsRowDxfId="900"/>
    <tableColumn id="6" xr3:uid="{00000000-0010-0000-0100-000006000000}" name="COMMENTS" dataDxfId="899" totalsRowDxfId="898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subramaniyasiva" displayName="subramaniyasiva" ref="A1:V69" totalsRowCount="1">
  <autoFilter ref="A1:V68" xr:uid="{00000000-0009-0000-0100-000003000000}"/>
  <sortState xmlns:xlrd2="http://schemas.microsoft.com/office/spreadsheetml/2017/richdata2" ref="A2:V68">
    <sortCondition ref="A1:A68"/>
  </sortState>
  <tableColumns count="22">
    <tableColumn id="1" xr3:uid="{00000000-0010-0000-0200-000001000000}" name="S.NO" totalsRowLabel="Total" dataDxfId="897" totalsRowDxfId="896"/>
    <tableColumn id="2" xr3:uid="{00000000-0010-0000-0200-000002000000}" name="Customer Name"/>
    <tableColumn id="3" xr3:uid="{00000000-0010-0000-0200-000003000000}" name="PAID" totalsRowFunction="custom">
      <calculatedColumnFormula array="1">_xlfn.IFS(ISNUMBER(SEARCH("M",subramaniyasiva[[#This Row],[JANUARY]])),"M",ISNUMBER(SEARCH("A",subramaniyasiva[[#This Row],[JANUARY]])),"A",subramaniyasiva[[#This Row],[JANUARY]]="","",subramaniyasiva[[#This Row],[JANUARY]]&gt;=100,"P")</calculatedColumnFormula>
      <totalsRowFormula>COUNTIF(C2:C68, "&gt;=a")</totalsRowFormula>
    </tableColumn>
    <tableColumn id="29" xr3:uid="{00000000-0010-0000-0200-00001D000000}" name="Package" totalsRowFunction="count"/>
    <tableColumn id="4" xr3:uid="{00000000-0010-0000-0200-000004000000}" name="Box No" totalsRowFunction="count" dataDxfId="895"/>
    <tableColumn id="28" xr3:uid="{00000000-0010-0000-0200-00001C000000}" name="CAF_ID" totalsRowFunction="count" dataDxfId="894"/>
    <tableColumn id="10" xr3:uid="{00000000-0010-0000-0200-00000A000000}" name="Amount" dataDxfId="893" totalsRowDxfId="892"/>
    <tableColumn id="25" xr3:uid="{00000000-0010-0000-0200-000019000000}" name="Dec-20" totalsRowFunction="sum" dataDxfId="891" totalsRowDxfId="890"/>
    <tableColumn id="27" xr3:uid="{00000000-0010-0000-0200-00001B000000}" name="BALANCE" totalsRowFunction="sum" dataDxfId="889" totalsRowDxfId="888"/>
    <tableColumn id="5" xr3:uid="{00000000-0010-0000-0200-000005000000}" name="JANUARY" totalsRowFunction="sum" dataDxfId="887" totalsRowDxfId="886"/>
    <tableColumn id="7" xr3:uid="{00000000-0010-0000-0200-000007000000}" name="FEBEUARY" totalsRowFunction="sum" dataDxfId="885" totalsRowDxfId="884"/>
    <tableColumn id="9" xr3:uid="{00000000-0010-0000-0200-000009000000}" name="MARCH" totalsRowFunction="sum" dataDxfId="883" totalsRowDxfId="882"/>
    <tableColumn id="11" xr3:uid="{00000000-0010-0000-0200-00000B000000}" name="APRIL" totalsRowFunction="sum" dataDxfId="881" totalsRowDxfId="880"/>
    <tableColumn id="13" xr3:uid="{00000000-0010-0000-0200-00000D000000}" name="MAY" totalsRowFunction="sum" dataDxfId="879" totalsRowDxfId="878"/>
    <tableColumn id="15" xr3:uid="{00000000-0010-0000-0200-00000F000000}" name="JUNE" totalsRowFunction="sum" dataDxfId="877" totalsRowDxfId="876"/>
    <tableColumn id="17" xr3:uid="{00000000-0010-0000-0200-000011000000}" name="JULY" totalsRowFunction="sum" dataDxfId="875" totalsRowDxfId="874"/>
    <tableColumn id="19" xr3:uid="{00000000-0010-0000-0200-000013000000}" name="AUGUST" totalsRowFunction="sum" dataDxfId="873" totalsRowDxfId="872"/>
    <tableColumn id="8" xr3:uid="{00000000-0010-0000-0200-000008000000}" name="SEPTEMBER" totalsRowFunction="sum" dataDxfId="871" totalsRowDxfId="870"/>
    <tableColumn id="21" xr3:uid="{00000000-0010-0000-0200-000015000000}" name="OCTOBER" totalsRowFunction="sum" dataDxfId="869" totalsRowDxfId="868"/>
    <tableColumn id="23" xr3:uid="{00000000-0010-0000-0200-000017000000}" name="NOVEMBER" totalsRowFunction="sum" dataDxfId="867" totalsRowDxfId="866"/>
    <tableColumn id="12" xr3:uid="{00000000-0010-0000-0200-00000C000000}" name="DECEMBER" dataDxfId="865" totalsRowDxfId="864"/>
    <tableColumn id="6" xr3:uid="{00000000-0010-0000-0200-000006000000}" name="COMMENTS" dataDxfId="863" totalsRowDxfId="862"/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bharadhidhasan" displayName="bharadhidhasan" ref="A1:V73" totalsRowCount="1" headerRowDxfId="861">
  <autoFilter ref="A1:V72" xr:uid="{00000000-0009-0000-0100-000004000000}"/>
  <sortState xmlns:xlrd2="http://schemas.microsoft.com/office/spreadsheetml/2017/richdata2" ref="A2:V72">
    <sortCondition ref="A1:A72"/>
  </sortState>
  <tableColumns count="22">
    <tableColumn id="1" xr3:uid="{00000000-0010-0000-0300-000001000000}" name="S.NO" totalsRowLabel="Total"/>
    <tableColumn id="2" xr3:uid="{00000000-0010-0000-0300-000002000000}" name="Customer Name"/>
    <tableColumn id="3" xr3:uid="{00000000-0010-0000-0300-000003000000}" name="PAID" totalsRowFunction="custom" dataDxfId="860" totalsRowDxfId="859">
      <calculatedColumnFormula array="1">_xlfn.IFS(ISNUMBER(SEARCH("M",bharadhidhasan[[#This Row],[JANUARY]])),"M",ISNUMBER(SEARCH("A",bharadhidhasan[[#This Row],[JANUARY]])),"A",bharadhidhasan[[#This Row],[JANUARY]]="","",bharadhidhasan[[#This Row],[JANUARY]]&gt;=100,"P")</calculatedColumnFormula>
      <totalsRowFormula>COUNTIF(C2:C72, "&gt;=a")</totalsRowFormula>
    </tableColumn>
    <tableColumn id="29" xr3:uid="{00000000-0010-0000-0300-00001D000000}" name="Package" totalsRowFunction="count"/>
    <tableColumn id="4" xr3:uid="{00000000-0010-0000-0300-000004000000}" name="Box No" totalsRowFunction="count" dataDxfId="858"/>
    <tableColumn id="28" xr3:uid="{00000000-0010-0000-0300-00001C000000}" name="CAF_ID" totalsRowFunction="count" dataDxfId="857"/>
    <tableColumn id="12" xr3:uid="{00000000-0010-0000-0300-00000C000000}" name="Amount" dataDxfId="856" totalsRowDxfId="855"/>
    <tableColumn id="25" xr3:uid="{00000000-0010-0000-0300-000019000000}" name="Dec-20" totalsRowFunction="sum" dataDxfId="854" totalsRowDxfId="853"/>
    <tableColumn id="27" xr3:uid="{00000000-0010-0000-0300-00001B000000}" name="BALANCE" totalsRowFunction="sum" dataDxfId="852" totalsRowDxfId="851"/>
    <tableColumn id="5" xr3:uid="{00000000-0010-0000-0300-000005000000}" name="JANUARY" totalsRowFunction="sum" dataDxfId="850" totalsRowDxfId="849"/>
    <tableColumn id="7" xr3:uid="{00000000-0010-0000-0300-000007000000}" name="FEBEUARY" totalsRowFunction="sum" dataDxfId="848" totalsRowDxfId="847"/>
    <tableColumn id="9" xr3:uid="{00000000-0010-0000-0300-000009000000}" name="MARCH" totalsRowFunction="sum" dataDxfId="846" totalsRowDxfId="845"/>
    <tableColumn id="11" xr3:uid="{00000000-0010-0000-0300-00000B000000}" name="APRIL" totalsRowFunction="sum" dataDxfId="844" totalsRowDxfId="843"/>
    <tableColumn id="13" xr3:uid="{00000000-0010-0000-0300-00000D000000}" name="MAY" totalsRowFunction="sum" dataDxfId="842" totalsRowDxfId="841"/>
    <tableColumn id="15" xr3:uid="{00000000-0010-0000-0300-00000F000000}" name="JUNE" totalsRowFunction="sum" dataDxfId="840" totalsRowDxfId="839"/>
    <tableColumn id="17" xr3:uid="{00000000-0010-0000-0300-000011000000}" name="JULY" totalsRowFunction="sum" dataDxfId="838" totalsRowDxfId="837"/>
    <tableColumn id="19" xr3:uid="{00000000-0010-0000-0300-000013000000}" name="AUGUST" totalsRowFunction="sum" dataDxfId="836" totalsRowDxfId="835"/>
    <tableColumn id="8" xr3:uid="{00000000-0010-0000-0300-000008000000}" name="SEPTEMBER" totalsRowFunction="sum" dataDxfId="834" totalsRowDxfId="833"/>
    <tableColumn id="21" xr3:uid="{00000000-0010-0000-0300-000015000000}" name="OCTOBER" totalsRowFunction="sum" dataDxfId="832" totalsRowDxfId="831"/>
    <tableColumn id="23" xr3:uid="{00000000-0010-0000-0300-000017000000}" name="NOVEMBER" totalsRowFunction="sum" dataDxfId="830" totalsRowDxfId="829"/>
    <tableColumn id="10" xr3:uid="{00000000-0010-0000-0300-00000A000000}" name="DECEMBER" dataDxfId="828" totalsRowDxfId="827"/>
    <tableColumn id="6" xr3:uid="{00000000-0010-0000-0300-000006000000}" name="COMMENTS" dataDxfId="826" totalsRowDxfId="825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Poothu_Kovil" displayName="Poothu_Kovil" ref="A1:V17" totalsRowCount="1" headerRowDxfId="824">
  <autoFilter ref="A1:V16" xr:uid="{00000000-0009-0000-0100-000005000000}"/>
  <tableColumns count="22">
    <tableColumn id="1" xr3:uid="{00000000-0010-0000-0400-000001000000}" name="S.NO" totalsRowLabel="Total"/>
    <tableColumn id="2" xr3:uid="{00000000-0010-0000-0400-000002000000}" name="Customer Name"/>
    <tableColumn id="3" xr3:uid="{00000000-0010-0000-0400-000003000000}" name="PAID" totalsRowFunction="custom">
      <calculatedColumnFormula array="1">_xlfn.IFS(ISNUMBER(SEARCH("M",Poothu_Kovil[[#This Row],[JANUARY]])),"M",ISNUMBER(SEARCH("A",Poothu_Kovil[[#This Row],[JANUARY]])),"A",Poothu_Kovil[[#This Row],[JANUARY]]="","",Poothu_Kovil[[#This Row],[JANUARY]]&gt;=100,"P")</calculatedColumnFormula>
      <totalsRowFormula>COUNTIF(C2:C16, "&gt;=a")</totalsRowFormula>
    </tableColumn>
    <tableColumn id="29" xr3:uid="{00000000-0010-0000-0400-00001D000000}" name="Package" totalsRowFunction="count"/>
    <tableColumn id="4" xr3:uid="{00000000-0010-0000-0400-000004000000}" name="Box No" totalsRowFunction="count" dataDxfId="823"/>
    <tableColumn id="28" xr3:uid="{00000000-0010-0000-0400-00001C000000}" name="CAF_ID" totalsRowFunction="count"/>
    <tableColumn id="10" xr3:uid="{00000000-0010-0000-0400-00000A000000}" name="Amount" dataDxfId="822" totalsRowDxfId="821"/>
    <tableColumn id="25" xr3:uid="{00000000-0010-0000-0400-000019000000}" name="Dec-20" totalsRowFunction="sum" dataDxfId="820" totalsRowDxfId="819"/>
    <tableColumn id="27" xr3:uid="{00000000-0010-0000-0400-00001B000000}" name="BALANCE" totalsRowFunction="sum" dataDxfId="818" totalsRowDxfId="817"/>
    <tableColumn id="5" xr3:uid="{00000000-0010-0000-0400-000005000000}" name="JANUARY" totalsRowFunction="sum" dataDxfId="816" totalsRowDxfId="815"/>
    <tableColumn id="7" xr3:uid="{00000000-0010-0000-0400-000007000000}" name="FEBEUARY" totalsRowFunction="sum" dataDxfId="814" totalsRowDxfId="813"/>
    <tableColumn id="9" xr3:uid="{00000000-0010-0000-0400-000009000000}" name="MARCH" totalsRowFunction="sum" dataDxfId="812" totalsRowDxfId="811"/>
    <tableColumn id="11" xr3:uid="{00000000-0010-0000-0400-00000B000000}" name="APRIL" totalsRowFunction="sum" dataDxfId="810" totalsRowDxfId="809"/>
    <tableColumn id="13" xr3:uid="{00000000-0010-0000-0400-00000D000000}" name="MAY" totalsRowFunction="sum" dataDxfId="808" totalsRowDxfId="807"/>
    <tableColumn id="15" xr3:uid="{00000000-0010-0000-0400-00000F000000}" name="JUNE" totalsRowFunction="sum" dataDxfId="806" totalsRowDxfId="805"/>
    <tableColumn id="17" xr3:uid="{00000000-0010-0000-0400-000011000000}" name="JULY" totalsRowFunction="sum" dataDxfId="804" totalsRowDxfId="803"/>
    <tableColumn id="19" xr3:uid="{00000000-0010-0000-0400-000013000000}" name="AUGUST" totalsRowFunction="sum" dataDxfId="802" totalsRowDxfId="801"/>
    <tableColumn id="8" xr3:uid="{00000000-0010-0000-0400-000008000000}" name="SEPTEMBER" totalsRowFunction="sum" dataDxfId="800" totalsRowDxfId="799"/>
    <tableColumn id="21" xr3:uid="{00000000-0010-0000-0400-000015000000}" name="OCTOBER" totalsRowFunction="sum" dataDxfId="798" totalsRowDxfId="797"/>
    <tableColumn id="23" xr3:uid="{00000000-0010-0000-0400-000017000000}" name="NOVEMBER" totalsRowFunction="sum" dataDxfId="796" totalsRowDxfId="795"/>
    <tableColumn id="12" xr3:uid="{00000000-0010-0000-0400-00000C000000}" name="DECEMBER" dataDxfId="794" totalsRowDxfId="793"/>
    <tableColumn id="6" xr3:uid="{00000000-0010-0000-0400-000006000000}" name="COMMENTS" dataDxfId="792" totalsRowDxfId="791"/>
  </tableColumns>
  <tableStyleInfo name="TableStyleMedium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Mannikam_Muthaliyar1" displayName="Mannikam_Muthaliyar1" ref="A1:V18" totalsRowCount="1">
  <autoFilter ref="A1:V17" xr:uid="{00000000-0009-0000-0100-000006000000}"/>
  <sortState xmlns:xlrd2="http://schemas.microsoft.com/office/spreadsheetml/2017/richdata2" ref="A2:S16">
    <sortCondition ref="A1:A16"/>
  </sortState>
  <tableColumns count="22">
    <tableColumn id="1" xr3:uid="{00000000-0010-0000-0500-000001000000}" name="S.NO" totalsRowLabel="Total"/>
    <tableColumn id="2" xr3:uid="{00000000-0010-0000-0500-000002000000}" name="Customer Name"/>
    <tableColumn id="3" xr3:uid="{00000000-0010-0000-0500-000003000000}" name="PAID" totalsRowFunction="custom">
      <calculatedColumnFormula array="1">_xlfn.IFS(ISNUMBER(SEARCH("M",Mannikam_Muthaliyar1[[#This Row],[JANUARY]])),"M",ISNUMBER(SEARCH("A",Mannikam_Muthaliyar1[[#This Row],[JANUARY]])),"A",Mannikam_Muthaliyar1[[#This Row],[JANUARY]]="","",Mannikam_Muthaliyar1[[#This Row],[JANUARY]]&gt;=100,"P")</calculatedColumnFormula>
      <totalsRowFormula>COUNTIF(C2:C17, "&gt;=a")</totalsRowFormula>
    </tableColumn>
    <tableColumn id="29" xr3:uid="{00000000-0010-0000-0500-00001D000000}" name="Package" totalsRowFunction="count"/>
    <tableColumn id="4" xr3:uid="{00000000-0010-0000-0500-000004000000}" name="Box No" totalsRowFunction="count" dataDxfId="790"/>
    <tableColumn id="28" xr3:uid="{00000000-0010-0000-0500-00001C000000}" name="CAF_ID" totalsRowFunction="count" dataDxfId="789" totalsRowDxfId="788"/>
    <tableColumn id="10" xr3:uid="{00000000-0010-0000-0500-00000A000000}" name="Amount" dataDxfId="787" totalsRowDxfId="786"/>
    <tableColumn id="25" xr3:uid="{00000000-0010-0000-0500-000019000000}" name="Dec-20" totalsRowFunction="sum" dataDxfId="785" totalsRowDxfId="784"/>
    <tableColumn id="5" xr3:uid="{00000000-0010-0000-0500-000005000000}" name="JANUARY" totalsRowFunction="sum" dataDxfId="783" totalsRowDxfId="782"/>
    <tableColumn id="7" xr3:uid="{00000000-0010-0000-0500-000007000000}" name="FEBEUARY" totalsRowFunction="sum" dataDxfId="781" totalsRowDxfId="780"/>
    <tableColumn id="9" xr3:uid="{00000000-0010-0000-0500-000009000000}" name="MARCH" totalsRowFunction="sum" dataDxfId="779" totalsRowDxfId="778"/>
    <tableColumn id="11" xr3:uid="{00000000-0010-0000-0500-00000B000000}" name="APRIL" totalsRowFunction="sum" dataDxfId="777" totalsRowDxfId="776"/>
    <tableColumn id="13" xr3:uid="{00000000-0010-0000-0500-00000D000000}" name="MAY" totalsRowFunction="sum" dataDxfId="775" totalsRowDxfId="774"/>
    <tableColumn id="15" xr3:uid="{00000000-0010-0000-0500-00000F000000}" name="JUNE" totalsRowFunction="sum" dataDxfId="773" totalsRowDxfId="772"/>
    <tableColumn id="17" xr3:uid="{00000000-0010-0000-0500-000011000000}" name="JULY" totalsRowFunction="sum" dataDxfId="771" totalsRowDxfId="770"/>
    <tableColumn id="19" xr3:uid="{00000000-0010-0000-0500-000013000000}" name="AUGUST" totalsRowFunction="sum" dataDxfId="769" totalsRowDxfId="768"/>
    <tableColumn id="6" xr3:uid="{00000000-0010-0000-0500-000006000000}" name="SEPTEMBER" totalsRowFunction="sum" dataDxfId="767" totalsRowDxfId="766"/>
    <tableColumn id="21" xr3:uid="{00000000-0010-0000-0500-000015000000}" name="OCTOBER" totalsRowFunction="sum" dataDxfId="765" totalsRowDxfId="764"/>
    <tableColumn id="23" xr3:uid="{00000000-0010-0000-0500-000017000000}" name="NOVEMBER" totalsRowFunction="sum" dataDxfId="763" totalsRowDxfId="762"/>
    <tableColumn id="14" xr3:uid="{00000000-0010-0000-0500-00000E000000}" name="DECEMBER" dataDxfId="761" totalsRowDxfId="760"/>
    <tableColumn id="27" xr3:uid="{00000000-0010-0000-0500-00001B000000}" name="BALANCE" totalsRowFunction="sum" dataDxfId="759" totalsRowDxfId="758"/>
    <tableColumn id="8" xr3:uid="{00000000-0010-0000-0500-000008000000}" name="COMMENTS" dataDxfId="757" totalsRowDxfId="756"/>
  </tableColumns>
  <tableStyleInfo name="TableStyleMedium1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Mannikam_Muthaliyar2" displayName="Mannikam_Muthaliyar2" ref="A1:V17" totalsRowCount="1" headerRowDxfId="755">
  <autoFilter ref="A1:V16" xr:uid="{00000000-0009-0000-0100-000007000000}"/>
  <sortState xmlns:xlrd2="http://schemas.microsoft.com/office/spreadsheetml/2017/richdata2" ref="A2:T14">
    <sortCondition ref="A1:A14"/>
  </sortState>
  <tableColumns count="22">
    <tableColumn id="1" xr3:uid="{00000000-0010-0000-0600-000001000000}" name="S.NO" totalsRowLabel="Total"/>
    <tableColumn id="2" xr3:uid="{00000000-0010-0000-0600-000002000000}" name="Customer Name"/>
    <tableColumn id="3" xr3:uid="{00000000-0010-0000-0600-000003000000}" name="PAID" totalsRowFunction="custom">
      <calculatedColumnFormula array="1">_xlfn.IFS(ISNUMBER(SEARCH("M",Mannikam_Muthaliyar2[[#This Row],[JANUARY]])),"M",ISNUMBER(SEARCH("A",Mannikam_Muthaliyar2[[#This Row],[JANUARY]])),"A",Mannikam_Muthaliyar2[[#This Row],[JANUARY]]="","",Mannikam_Muthaliyar2[[#This Row],[JANUARY]]&gt;=100,"P")</calculatedColumnFormula>
      <totalsRowFormula>COUNTIF(C2:C16, "&gt;=a")</totalsRowFormula>
    </tableColumn>
    <tableColumn id="29" xr3:uid="{00000000-0010-0000-0600-00001D000000}" name="Package" totalsRowFunction="count"/>
    <tableColumn id="4" xr3:uid="{00000000-0010-0000-0600-000004000000}" name="Box No" totalsRowFunction="count" dataDxfId="754"/>
    <tableColumn id="28" xr3:uid="{00000000-0010-0000-0600-00001C000000}" name="CAF_ID" totalsRowFunction="count"/>
    <tableColumn id="10" xr3:uid="{00000000-0010-0000-0600-00000A000000}" name="Amount" totalsRowDxfId="753"/>
    <tableColumn id="25" xr3:uid="{00000000-0010-0000-0600-000019000000}" name="Dec-20" totalsRowFunction="sum" dataDxfId="752" totalsRowDxfId="751"/>
    <tableColumn id="27" xr3:uid="{00000000-0010-0000-0600-00001B000000}" name="BALANCE" totalsRowFunction="sum" dataDxfId="750" totalsRowDxfId="749"/>
    <tableColumn id="5" xr3:uid="{00000000-0010-0000-0600-000005000000}" name="JANUARY" totalsRowFunction="sum" dataDxfId="748" totalsRowDxfId="747"/>
    <tableColumn id="7" xr3:uid="{00000000-0010-0000-0600-000007000000}" name="FEBEUARY" totalsRowFunction="sum" dataDxfId="746" totalsRowDxfId="745"/>
    <tableColumn id="9" xr3:uid="{00000000-0010-0000-0600-000009000000}" name="MARCH" totalsRowFunction="sum" dataDxfId="744" totalsRowDxfId="743"/>
    <tableColumn id="11" xr3:uid="{00000000-0010-0000-0600-00000B000000}" name="APRIL" totalsRowFunction="sum" dataDxfId="742" totalsRowDxfId="741"/>
    <tableColumn id="13" xr3:uid="{00000000-0010-0000-0600-00000D000000}" name="MAY" totalsRowFunction="sum" dataDxfId="740" totalsRowDxfId="739"/>
    <tableColumn id="15" xr3:uid="{00000000-0010-0000-0600-00000F000000}" name="JUNE" totalsRowFunction="sum" dataDxfId="738" totalsRowDxfId="737"/>
    <tableColumn id="17" xr3:uid="{00000000-0010-0000-0600-000011000000}" name="JULY" totalsRowFunction="sum" dataDxfId="736" totalsRowDxfId="735"/>
    <tableColumn id="19" xr3:uid="{00000000-0010-0000-0600-000013000000}" name="AUGUST" totalsRowFunction="sum" dataDxfId="734" totalsRowDxfId="733"/>
    <tableColumn id="6" xr3:uid="{00000000-0010-0000-0600-000006000000}" name="SEPTEMBER" totalsRowFunction="sum" dataDxfId="732" totalsRowDxfId="731"/>
    <tableColumn id="21" xr3:uid="{00000000-0010-0000-0600-000015000000}" name="OCTOBER" totalsRowFunction="sum" dataDxfId="730" totalsRowDxfId="729"/>
    <tableColumn id="23" xr3:uid="{00000000-0010-0000-0600-000017000000}" name="NOVEMBER" totalsRowFunction="sum" dataDxfId="728" totalsRowDxfId="727"/>
    <tableColumn id="12" xr3:uid="{00000000-0010-0000-0600-00000C000000}" name="DECEMBER" dataDxfId="726" totalsRowDxfId="725"/>
    <tableColumn id="8" xr3:uid="{00000000-0010-0000-0600-000008000000}" name="COMMENTS" dataDxfId="724" totalsRowDxfId="723"/>
  </tableColumns>
  <tableStyleInfo name="TableStyleMedium1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Ramasami_Mudhaliyar" displayName="Ramasami_Mudhaliyar" ref="A1:U48" totalsRowCount="1" totalsRowDxfId="722">
  <autoFilter ref="A1:U47" xr:uid="{00000000-0009-0000-0100-000008000000}"/>
  <sortState xmlns:xlrd2="http://schemas.microsoft.com/office/spreadsheetml/2017/richdata2" ref="A2:U46">
    <sortCondition ref="A1:A46"/>
  </sortState>
  <tableColumns count="21">
    <tableColumn id="1" xr3:uid="{00000000-0010-0000-0700-000001000000}" name="S.NO" totalsRowLabel="Total" totalsRowDxfId="721"/>
    <tableColumn id="2" xr3:uid="{00000000-0010-0000-0700-000002000000}" name="Customer Name" totalsRowDxfId="720"/>
    <tableColumn id="3" xr3:uid="{00000000-0010-0000-0700-000003000000}" name="PAID" totalsRowFunction="custom" totalsRowDxfId="719">
      <calculatedColumnFormula array="1">_xlfn.IFS(ISNUMBER(SEARCH("M",Ramasami_Mudhaliyar[[#This Row],[JANUARY]])),"M",ISNUMBER(SEARCH("A",Ramasami_Mudhaliyar[[#This Row],[JANUARY]])),"A",Ramasami_Mudhaliyar[[#This Row],[JANUARY]]="","",Ramasami_Mudhaliyar[[#This Row],[JANUARY]]&gt;=100,"P")</calculatedColumnFormula>
      <totalsRowFormula>COUNTIF(C2:C47, "&gt;=a")</totalsRowFormula>
    </tableColumn>
    <tableColumn id="29" xr3:uid="{00000000-0010-0000-0700-00001D000000}" name="Package" totalsRowFunction="count" totalsRowDxfId="718"/>
    <tableColumn id="4" xr3:uid="{00000000-0010-0000-0700-000004000000}" name="Box No" totalsRowFunction="count" dataDxfId="717" totalsRowDxfId="716"/>
    <tableColumn id="28" xr3:uid="{00000000-0010-0000-0700-00001C000000}" name="CAF_ID" totalsRowFunction="count" dataDxfId="715" totalsRowDxfId="714"/>
    <tableColumn id="25" xr3:uid="{00000000-0010-0000-0700-000019000000}" name="DEC-20" totalsRowFunction="sum" dataDxfId="713" totalsRowDxfId="712"/>
    <tableColumn id="27" xr3:uid="{00000000-0010-0000-0700-00001B000000}" name="BALANCE" totalsRowFunction="sum" dataDxfId="711" totalsRowDxfId="710"/>
    <tableColumn id="5" xr3:uid="{00000000-0010-0000-0700-000005000000}" name="JANUARY" totalsRowFunction="sum" dataDxfId="709" totalsRowDxfId="708"/>
    <tableColumn id="7" xr3:uid="{00000000-0010-0000-0700-000007000000}" name="FEBEUARY" totalsRowFunction="sum" dataDxfId="707" totalsRowDxfId="706"/>
    <tableColumn id="9" xr3:uid="{00000000-0010-0000-0700-000009000000}" name="MARCH" totalsRowFunction="sum" dataDxfId="705" totalsRowDxfId="704"/>
    <tableColumn id="11" xr3:uid="{00000000-0010-0000-0700-00000B000000}" name="APRIL" totalsRowFunction="sum" dataDxfId="703" totalsRowDxfId="702"/>
    <tableColumn id="13" xr3:uid="{00000000-0010-0000-0700-00000D000000}" name="MAY" totalsRowFunction="sum" dataDxfId="701" totalsRowDxfId="700"/>
    <tableColumn id="15" xr3:uid="{00000000-0010-0000-0700-00000F000000}" name="JUNE" totalsRowFunction="sum" dataDxfId="699" totalsRowDxfId="698"/>
    <tableColumn id="17" xr3:uid="{00000000-0010-0000-0700-000011000000}" name="JULY" totalsRowFunction="sum" dataDxfId="697" totalsRowDxfId="696"/>
    <tableColumn id="19" xr3:uid="{00000000-0010-0000-0700-000013000000}" name="AUGUST" totalsRowFunction="sum" dataDxfId="695" totalsRowDxfId="694"/>
    <tableColumn id="8" xr3:uid="{00000000-0010-0000-0700-000008000000}" name="SEPTEMBER" totalsRowFunction="sum" dataDxfId="693" totalsRowDxfId="692"/>
    <tableColumn id="21" xr3:uid="{00000000-0010-0000-0700-000015000000}" name="OCTOBER" totalsRowFunction="sum" dataDxfId="691" totalsRowDxfId="690"/>
    <tableColumn id="23" xr3:uid="{00000000-0010-0000-0700-000017000000}" name="NOVEMBER" totalsRowFunction="sum" dataDxfId="689" totalsRowDxfId="688"/>
    <tableColumn id="10" xr3:uid="{00000000-0010-0000-0700-00000A000000}" name="DECEMBER" totalsRowFunction="sum" dataDxfId="687" totalsRowDxfId="686"/>
    <tableColumn id="6" xr3:uid="{00000000-0010-0000-0700-000006000000}" name="COMMENTS" dataDxfId="685" totalsRowDxfId="684"/>
  </tableColumns>
  <tableStyleInfo name="TableStyleMedium1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PillaiyarKovil" displayName="PillaiyarKovil" ref="A1:V44" totalsRowCount="1" headerRowDxfId="683" totalsRowDxfId="682">
  <autoFilter ref="A1:V43" xr:uid="{00000000-0009-0000-0100-000009000000}"/>
  <sortState xmlns:xlrd2="http://schemas.microsoft.com/office/spreadsheetml/2017/richdata2" ref="A2:V42">
    <sortCondition ref="A1:A42"/>
  </sortState>
  <tableColumns count="22">
    <tableColumn id="1" xr3:uid="{00000000-0010-0000-0800-000001000000}" name="S.NO" totalsRowLabel="Total" totalsRowDxfId="681"/>
    <tableColumn id="2" xr3:uid="{00000000-0010-0000-0800-000002000000}" name="Customer Name" totalsRowDxfId="680"/>
    <tableColumn id="3" xr3:uid="{00000000-0010-0000-0800-000003000000}" name="PAID" totalsRowFunction="custom" totalsRowDxfId="679">
      <calculatedColumnFormula array="1">_xlfn.IFS(ISNUMBER(SEARCH("M",PillaiyarKovil[[#This Row],[JANUARY]])),"M",PillaiyarKovil[[#This Row],[JANUARY]]="A","A",PillaiyarKovil[[#This Row],[JANUARY]]="","",PillaiyarKovil[[#This Row],[JANUARY]]&gt;=100,"P")</calculatedColumnFormula>
      <totalsRowFormula>COUNTIF(C2:C43, "&gt;=a")</totalsRowFormula>
    </tableColumn>
    <tableColumn id="29" xr3:uid="{00000000-0010-0000-0800-00001D000000}" name="Package" totalsRowFunction="count" totalsRowDxfId="678"/>
    <tableColumn id="4" xr3:uid="{00000000-0010-0000-0800-000004000000}" name="Box No" totalsRowFunction="count" dataDxfId="677" totalsRowDxfId="676"/>
    <tableColumn id="28" xr3:uid="{00000000-0010-0000-0800-00001C000000}" name="CAF_ID" totalsRowFunction="count" totalsRowDxfId="675"/>
    <tableColumn id="10" xr3:uid="{00000000-0010-0000-0800-00000A000000}" name="Amount" dataDxfId="674" totalsRowDxfId="673"/>
    <tableColumn id="25" xr3:uid="{00000000-0010-0000-0800-000019000000}" name="Dec-20" totalsRowFunction="sum" dataDxfId="672" totalsRowDxfId="671"/>
    <tableColumn id="27" xr3:uid="{00000000-0010-0000-0800-00001B000000}" name="BALANCE" totalsRowFunction="sum" dataDxfId="670" totalsRowDxfId="669"/>
    <tableColumn id="5" xr3:uid="{00000000-0010-0000-0800-000005000000}" name="JANUARY" totalsRowFunction="sum" dataDxfId="668" totalsRowDxfId="667"/>
    <tableColumn id="7" xr3:uid="{00000000-0010-0000-0800-000007000000}" name="FEBEUARY" totalsRowFunction="sum" dataDxfId="666" totalsRowDxfId="665"/>
    <tableColumn id="9" xr3:uid="{00000000-0010-0000-0800-000009000000}" name="MARCH" totalsRowFunction="sum" dataDxfId="664" totalsRowDxfId="663"/>
    <tableColumn id="11" xr3:uid="{00000000-0010-0000-0800-00000B000000}" name="APRIL" totalsRowFunction="sum" dataDxfId="662" totalsRowDxfId="661"/>
    <tableColumn id="13" xr3:uid="{00000000-0010-0000-0800-00000D000000}" name="MAY" totalsRowFunction="sum" dataDxfId="660" totalsRowDxfId="659"/>
    <tableColumn id="15" xr3:uid="{00000000-0010-0000-0800-00000F000000}" name="JUNE" totalsRowFunction="sum" dataDxfId="658" totalsRowDxfId="657"/>
    <tableColumn id="17" xr3:uid="{00000000-0010-0000-0800-000011000000}" name="JULY" totalsRowFunction="sum" dataDxfId="656" totalsRowDxfId="655"/>
    <tableColumn id="19" xr3:uid="{00000000-0010-0000-0800-000013000000}" name="AUGUST" totalsRowFunction="sum" dataDxfId="654" totalsRowDxfId="653"/>
    <tableColumn id="8" xr3:uid="{00000000-0010-0000-0800-000008000000}" name="SEPTEMBER" totalsRowFunction="sum" dataDxfId="652" totalsRowDxfId="651"/>
    <tableColumn id="21" xr3:uid="{00000000-0010-0000-0800-000015000000}" name="OCTOBER" totalsRowFunction="sum" dataDxfId="650" totalsRowDxfId="649"/>
    <tableColumn id="23" xr3:uid="{00000000-0010-0000-0800-000017000000}" name="NOVEMBER" totalsRowFunction="sum" dataDxfId="648" totalsRowDxfId="647"/>
    <tableColumn id="12" xr3:uid="{00000000-0010-0000-0800-00000C000000}" name="DECEMBER" dataDxfId="646" totalsRowDxfId="645"/>
    <tableColumn id="6" xr3:uid="{00000000-0010-0000-0800-000006000000}" name="COMMENTS" dataDxfId="644" totalsRowDxfId="643"/>
  </tableColumns>
  <tableStyleInfo name="TableStyleMedium1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kmudhaliyar" displayName="kmudhaliyar" ref="A1:V29" totalsRowCount="1" totalsRowDxfId="642">
  <autoFilter ref="A1:V28" xr:uid="{00000000-0009-0000-0100-00000A000000}"/>
  <sortState xmlns:xlrd2="http://schemas.microsoft.com/office/spreadsheetml/2017/richdata2" ref="A2:V26">
    <sortCondition ref="A1:A26"/>
  </sortState>
  <tableColumns count="22">
    <tableColumn id="1" xr3:uid="{00000000-0010-0000-0900-000001000000}" name="S.NO" totalsRowLabel="Total" totalsRowDxfId="641"/>
    <tableColumn id="2" xr3:uid="{00000000-0010-0000-0900-000002000000}" name="Customer Name" totalsRowDxfId="640"/>
    <tableColumn id="3" xr3:uid="{00000000-0010-0000-0900-000003000000}" name="PAID" totalsRowFunction="custom" totalsRowDxfId="639">
      <calculatedColumnFormula array="1">_xlfn.IFS(ISNUMBER(SEARCH("M",kmudhaliyar[[#This Row],[JANUARY]])),"M",kmudhaliyar[[#This Row],[JANUARY]]="A","A",kmudhaliyar[[#This Row],[JANUARY]]="","",kmudhaliyar[[#This Row],[JANUARY]]&gt;=100,"P")</calculatedColumnFormula>
      <totalsRowFormula>COUNTIF(C2:C28, "&gt;=a")</totalsRowFormula>
    </tableColumn>
    <tableColumn id="29" xr3:uid="{00000000-0010-0000-0900-00001D000000}" name="Package" totalsRowFunction="count" totalsRowDxfId="638"/>
    <tableColumn id="4" xr3:uid="{00000000-0010-0000-0900-000004000000}" name="Box No" totalsRowFunction="count" dataDxfId="637" totalsRowDxfId="636"/>
    <tableColumn id="28" xr3:uid="{00000000-0010-0000-0900-00001C000000}" name="CAF_ID" totalsRowFunction="count" totalsRowDxfId="635"/>
    <tableColumn id="10" xr3:uid="{00000000-0010-0000-0900-00000A000000}" name="Amount" dataDxfId="634" totalsRowDxfId="633"/>
    <tableColumn id="25" xr3:uid="{00000000-0010-0000-0900-000019000000}" name="Dec-20" totalsRowFunction="sum" dataDxfId="632" totalsRowDxfId="631"/>
    <tableColumn id="27" xr3:uid="{00000000-0010-0000-0900-00001B000000}" name="BALANCE" totalsRowFunction="sum" dataDxfId="630" totalsRowDxfId="629"/>
    <tableColumn id="5" xr3:uid="{00000000-0010-0000-0900-000005000000}" name="JANUARY" totalsRowFunction="sum" dataDxfId="628" totalsRowDxfId="627"/>
    <tableColumn id="7" xr3:uid="{00000000-0010-0000-0900-000007000000}" name="FEBEUARY" totalsRowFunction="sum" dataDxfId="626" totalsRowDxfId="625"/>
    <tableColumn id="9" xr3:uid="{00000000-0010-0000-0900-000009000000}" name="MARCH" totalsRowFunction="sum" dataDxfId="624" totalsRowDxfId="623"/>
    <tableColumn id="11" xr3:uid="{00000000-0010-0000-0900-00000B000000}" name="APRIL" totalsRowFunction="sum" dataDxfId="622" totalsRowDxfId="621"/>
    <tableColumn id="13" xr3:uid="{00000000-0010-0000-0900-00000D000000}" name="MAY" totalsRowFunction="sum" dataDxfId="620" totalsRowDxfId="619"/>
    <tableColumn id="15" xr3:uid="{00000000-0010-0000-0900-00000F000000}" name="JUNE" totalsRowFunction="sum" dataDxfId="618" totalsRowDxfId="617"/>
    <tableColumn id="17" xr3:uid="{00000000-0010-0000-0900-000011000000}" name="JULY" totalsRowFunction="sum" dataDxfId="616" totalsRowDxfId="615"/>
    <tableColumn id="19" xr3:uid="{00000000-0010-0000-0900-000013000000}" name="AUGUST" totalsRowFunction="sum" dataDxfId="614" totalsRowDxfId="613"/>
    <tableColumn id="8" xr3:uid="{00000000-0010-0000-0900-000008000000}" name="SEPTEMBER" totalsRowFunction="sum" dataDxfId="612" totalsRowDxfId="611"/>
    <tableColumn id="21" xr3:uid="{00000000-0010-0000-0900-000015000000}" name="OCTOBER" totalsRowFunction="sum" dataDxfId="610" totalsRowDxfId="609"/>
    <tableColumn id="23" xr3:uid="{00000000-0010-0000-0900-000017000000}" name="NOVEMBER" totalsRowFunction="sum" dataDxfId="608" totalsRowDxfId="607"/>
    <tableColumn id="14" xr3:uid="{00000000-0010-0000-0900-00000E000000}" name="DECEMBER" dataDxfId="606" totalsRowDxfId="605"/>
    <tableColumn id="6" xr3:uid="{00000000-0010-0000-0900-000006000000}" name="COMMENTS" dataDxfId="604" totalsRowDxfId="603"/>
  </tableColumns>
  <tableStyleInfo name="TableStyleMedium1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mariamman" displayName="mariamman" ref="A1:V40" totalsRowCount="1" totalsRowDxfId="602">
  <autoFilter ref="A1:V39" xr:uid="{00000000-0009-0000-0100-00000B000000}"/>
  <sortState xmlns:xlrd2="http://schemas.microsoft.com/office/spreadsheetml/2017/richdata2" ref="A2:V38">
    <sortCondition ref="A1:A38"/>
  </sortState>
  <tableColumns count="22">
    <tableColumn id="1" xr3:uid="{00000000-0010-0000-0A00-000001000000}" name="S.NO" totalsRowLabel="Total" totalsRowDxfId="601"/>
    <tableColumn id="2" xr3:uid="{00000000-0010-0000-0A00-000002000000}" name="Customer Name" totalsRowDxfId="600"/>
    <tableColumn id="3" xr3:uid="{00000000-0010-0000-0A00-000003000000}" name="PAID" totalsRowFunction="custom" totalsRowDxfId="599">
      <calculatedColumnFormula array="1">_xlfn.IFS(ISNUMBER(SEARCH("M",mariamman[[#This Row],[JANUARY]])),"M",mariamman[[#This Row],[JANUARY]]="A","A",mariamman[[#This Row],[JANUARY]]="","",mariamman[[#This Row],[JANUARY]]&gt;=100,"P")</calculatedColumnFormula>
      <totalsRowFormula>COUNTIF(C2:C39, "&gt;=a")</totalsRowFormula>
    </tableColumn>
    <tableColumn id="29" xr3:uid="{00000000-0010-0000-0A00-00001D000000}" name="Package" totalsRowFunction="count" totalsRowDxfId="598"/>
    <tableColumn id="4" xr3:uid="{00000000-0010-0000-0A00-000004000000}" name="Box No" totalsRowFunction="count" dataDxfId="597" totalsRowDxfId="596"/>
    <tableColumn id="28" xr3:uid="{00000000-0010-0000-0A00-00001C000000}" name="CAF_ID" totalsRowFunction="count" totalsRowDxfId="595"/>
    <tableColumn id="10" xr3:uid="{00000000-0010-0000-0A00-00000A000000}" name="Amount" dataDxfId="594" totalsRowDxfId="593"/>
    <tableColumn id="25" xr3:uid="{00000000-0010-0000-0A00-000019000000}" name="Dec-20" totalsRowFunction="sum" dataDxfId="592" totalsRowDxfId="591"/>
    <tableColumn id="27" xr3:uid="{00000000-0010-0000-0A00-00001B000000}" name="BALANCE" totalsRowFunction="sum" dataDxfId="590" totalsRowDxfId="589"/>
    <tableColumn id="5" xr3:uid="{00000000-0010-0000-0A00-000005000000}" name="JANUARY" totalsRowFunction="sum" dataDxfId="588" totalsRowDxfId="587"/>
    <tableColumn id="7" xr3:uid="{00000000-0010-0000-0A00-000007000000}" name="FEBEUARY" totalsRowFunction="sum" dataDxfId="586" totalsRowDxfId="585"/>
    <tableColumn id="9" xr3:uid="{00000000-0010-0000-0A00-000009000000}" name="MARCH" totalsRowFunction="sum" dataDxfId="584" totalsRowDxfId="583"/>
    <tableColumn id="11" xr3:uid="{00000000-0010-0000-0A00-00000B000000}" name="APRIL" totalsRowFunction="sum" dataDxfId="582" totalsRowDxfId="581"/>
    <tableColumn id="13" xr3:uid="{00000000-0010-0000-0A00-00000D000000}" name="MAY" totalsRowFunction="sum" dataDxfId="580" totalsRowDxfId="579"/>
    <tableColumn id="15" xr3:uid="{00000000-0010-0000-0A00-00000F000000}" name="JUNE" totalsRowFunction="sum" dataDxfId="578" totalsRowDxfId="577"/>
    <tableColumn id="17" xr3:uid="{00000000-0010-0000-0A00-000011000000}" name="JULY" totalsRowFunction="sum" dataDxfId="576" totalsRowDxfId="575"/>
    <tableColumn id="19" xr3:uid="{00000000-0010-0000-0A00-000013000000}" name="AUGUST" totalsRowFunction="sum" dataDxfId="574" totalsRowDxfId="573"/>
    <tableColumn id="8" xr3:uid="{00000000-0010-0000-0A00-000008000000}" name="SEPTEMBER" totalsRowFunction="sum" dataDxfId="572" totalsRowDxfId="571"/>
    <tableColumn id="21" xr3:uid="{00000000-0010-0000-0A00-000015000000}" name="OCTOBER" totalsRowFunction="sum" dataDxfId="570" totalsRowDxfId="569"/>
    <tableColumn id="23" xr3:uid="{00000000-0010-0000-0A00-000017000000}" name="NOVEMBER" totalsRowFunction="sum" dataDxfId="568" totalsRowDxfId="567"/>
    <tableColumn id="12" xr3:uid="{00000000-0010-0000-0A00-00000C000000}" name="DECEMBER" dataDxfId="566" totalsRowDxfId="565"/>
    <tableColumn id="6" xr3:uid="{00000000-0010-0000-0A00-000006000000}" name="COMMENTS" dataDxfId="564" totalsRowDxfId="563"/>
  </tableColumns>
  <tableStyleInfo name="TableStyleMedium1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acolony" displayName="acolony" ref="A1:V45" totalsRowCount="1" totalsRowDxfId="562">
  <autoFilter ref="A1:V44" xr:uid="{00000000-0009-0000-0100-00000C000000}"/>
  <sortState xmlns:xlrd2="http://schemas.microsoft.com/office/spreadsheetml/2017/richdata2" ref="A2:V43">
    <sortCondition ref="A1:A43"/>
  </sortState>
  <tableColumns count="22">
    <tableColumn id="1" xr3:uid="{00000000-0010-0000-0B00-000001000000}" name="S.NO" totalsRowLabel="Total" totalsRowDxfId="561"/>
    <tableColumn id="2" xr3:uid="{00000000-0010-0000-0B00-000002000000}" name="Customer Name" totalsRowDxfId="560"/>
    <tableColumn id="3" xr3:uid="{00000000-0010-0000-0B00-000003000000}" name="PAID" totalsRowFunction="custom" totalsRowDxfId="559">
      <calculatedColumnFormula array="1">_xlfn.IFS(ISNUMBER(SEARCH("M",acolony[[#This Row],[JANUARY]])),"M",acolony[[#This Row],[JANUARY]]="A","A",acolony[[#This Row],[JANUARY]]="","",acolony[[#This Row],[JANUARY]]&gt;=100,"P")</calculatedColumnFormula>
      <totalsRowFormula>COUNTIF(C2:C44, "&gt;=a")</totalsRowFormula>
    </tableColumn>
    <tableColumn id="29" xr3:uid="{00000000-0010-0000-0B00-00001D000000}" name="Package" totalsRowFunction="count" totalsRowDxfId="558"/>
    <tableColumn id="4" xr3:uid="{00000000-0010-0000-0B00-000004000000}" name="Box No" totalsRowFunction="count" dataDxfId="557" totalsRowDxfId="556"/>
    <tableColumn id="28" xr3:uid="{00000000-0010-0000-0B00-00001C000000}" name="CAF_ID" totalsRowFunction="count" dataDxfId="555" totalsRowDxfId="554"/>
    <tableColumn id="10" xr3:uid="{00000000-0010-0000-0B00-00000A000000}" name="Amount" dataDxfId="553" totalsRowDxfId="552"/>
    <tableColumn id="25" xr3:uid="{00000000-0010-0000-0B00-000019000000}" name="Dec-20" totalsRowFunction="sum" dataDxfId="551" totalsRowDxfId="550"/>
    <tableColumn id="27" xr3:uid="{00000000-0010-0000-0B00-00001B000000}" name="BALANCE" totalsRowFunction="sum" dataDxfId="549" totalsRowDxfId="548"/>
    <tableColumn id="5" xr3:uid="{00000000-0010-0000-0B00-000005000000}" name="JANUARY" totalsRowFunction="sum" dataDxfId="547" totalsRowDxfId="546"/>
    <tableColumn id="7" xr3:uid="{00000000-0010-0000-0B00-000007000000}" name="FEBEUARY" totalsRowFunction="sum" dataDxfId="545" totalsRowDxfId="544"/>
    <tableColumn id="9" xr3:uid="{00000000-0010-0000-0B00-000009000000}" name="MARCH" totalsRowFunction="sum" dataDxfId="543" totalsRowDxfId="542"/>
    <tableColumn id="11" xr3:uid="{00000000-0010-0000-0B00-00000B000000}" name="APRIL" totalsRowFunction="sum" dataDxfId="541" totalsRowDxfId="540"/>
    <tableColumn id="13" xr3:uid="{00000000-0010-0000-0B00-00000D000000}" name="MAY" totalsRowFunction="sum" dataDxfId="539" totalsRowDxfId="538"/>
    <tableColumn id="15" xr3:uid="{00000000-0010-0000-0B00-00000F000000}" name="JUNE" totalsRowFunction="sum" dataDxfId="537" totalsRowDxfId="536"/>
    <tableColumn id="17" xr3:uid="{00000000-0010-0000-0B00-000011000000}" name="JULY" totalsRowFunction="sum" dataDxfId="535" totalsRowDxfId="534"/>
    <tableColumn id="19" xr3:uid="{00000000-0010-0000-0B00-000013000000}" name="AUGUST" totalsRowFunction="sum" dataDxfId="533" totalsRowDxfId="532"/>
    <tableColumn id="6" xr3:uid="{00000000-0010-0000-0B00-000006000000}" name="SEPTEMBER" totalsRowFunction="sum" dataDxfId="531" totalsRowDxfId="530"/>
    <tableColumn id="21" xr3:uid="{00000000-0010-0000-0B00-000015000000}" name="OCTOBER" totalsRowFunction="sum" dataDxfId="529" totalsRowDxfId="528"/>
    <tableColumn id="23" xr3:uid="{00000000-0010-0000-0B00-000017000000}" name="NOVEMBER" totalsRowFunction="sum" dataDxfId="527" totalsRowDxfId="526"/>
    <tableColumn id="12" xr3:uid="{00000000-0010-0000-0B00-00000C000000}" name="DECEMBER" dataDxfId="525" totalsRowDxfId="524"/>
    <tableColumn id="8" xr3:uid="{00000000-0010-0000-0B00-000008000000}" name="COMMENTS" dataDxfId="523" totalsRowDxfId="522"/>
  </tableColumns>
  <tableStyleInfo name="TableStyleMedium1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1" displayName="Table1" ref="A1:AC45" totalsRowShown="0">
  <autoFilter ref="A1:AC45" xr:uid="{00000000-0009-0000-0100-00000D000000}"/>
  <sortState xmlns:xlrd2="http://schemas.microsoft.com/office/spreadsheetml/2017/richdata2" ref="A2:AC45">
    <sortCondition ref="A1:A45"/>
  </sortState>
  <tableColumns count="29">
    <tableColumn id="1" xr3:uid="{00000000-0010-0000-0C00-000001000000}" name="S.NO"/>
    <tableColumn id="2" xr3:uid="{00000000-0010-0000-0C00-000002000000}" name="Customer Name"/>
    <tableColumn id="3" xr3:uid="{00000000-0010-0000-0C00-000003000000}" name="PAID"/>
    <tableColumn id="29" xr3:uid="{00000000-0010-0000-0C00-00001D000000}" name="Package"/>
    <tableColumn id="4" xr3:uid="{00000000-0010-0000-0C00-000004000000}" name="Box No" dataDxfId="521"/>
    <tableColumn id="5" xr3:uid="{00000000-0010-0000-0C00-000005000000}" name="CAF_ID" dataDxfId="520"/>
    <tableColumn id="6" xr3:uid="{00000000-0010-0000-0C00-000006000000}" name="JANUARY"/>
    <tableColumn id="7" xr3:uid="{00000000-0010-0000-0C00-000007000000}" name="JAN/DATE"/>
    <tableColumn id="8" xr3:uid="{00000000-0010-0000-0C00-000008000000}" name="FEBEUARY"/>
    <tableColumn id="9" xr3:uid="{00000000-0010-0000-0C00-000009000000}" name="FEB/DATE"/>
    <tableColumn id="10" xr3:uid="{00000000-0010-0000-0C00-00000A000000}" name="MARCH"/>
    <tableColumn id="11" xr3:uid="{00000000-0010-0000-0C00-00000B000000}" name="MARCH/DATE"/>
    <tableColumn id="12" xr3:uid="{00000000-0010-0000-0C00-00000C000000}" name="APRIL"/>
    <tableColumn id="13" xr3:uid="{00000000-0010-0000-0C00-00000D000000}" name="APRIL/DATE"/>
    <tableColumn id="14" xr3:uid="{00000000-0010-0000-0C00-00000E000000}" name="MAY"/>
    <tableColumn id="15" xr3:uid="{00000000-0010-0000-0C00-00000F000000}" name="MAY/DATE"/>
    <tableColumn id="16" xr3:uid="{00000000-0010-0000-0C00-000010000000}" name="JUNE"/>
    <tableColumn id="17" xr3:uid="{00000000-0010-0000-0C00-000011000000}" name="JUNE/DATE"/>
    <tableColumn id="18" xr3:uid="{00000000-0010-0000-0C00-000012000000}" name="JULY"/>
    <tableColumn id="19" xr3:uid="{00000000-0010-0000-0C00-000013000000}" name="JULY/DATE"/>
    <tableColumn id="20" xr3:uid="{00000000-0010-0000-0C00-000014000000}" name="AUGUST"/>
    <tableColumn id="21" xr3:uid="{00000000-0010-0000-0C00-000015000000}" name="AUG/DATE"/>
    <tableColumn id="22" xr3:uid="{00000000-0010-0000-0C00-000016000000}" name="OCTOBER"/>
    <tableColumn id="23" xr3:uid="{00000000-0010-0000-0C00-000017000000}" name="OCT/DATE"/>
    <tableColumn id="24" xr3:uid="{00000000-0010-0000-0C00-000018000000}" name="NOVEMBER"/>
    <tableColumn id="25" xr3:uid="{00000000-0010-0000-0C00-000019000000}" name="NOV/DATE"/>
    <tableColumn id="26" xr3:uid="{00000000-0010-0000-0C00-00001A000000}" name="DECEMBER"/>
    <tableColumn id="27" xr3:uid="{00000000-0010-0000-0C00-00001B000000}" name="DEC/DATE"/>
    <tableColumn id="28" xr3:uid="{00000000-0010-0000-0C00-00001C000000}" name="TOTAL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mainroad" displayName="mainroad" ref="A1:V41" totalsRowCount="1" totalsRowDxfId="519">
  <autoFilter ref="A1:V40" xr:uid="{00000000-0009-0000-0100-00000E000000}"/>
  <sortState xmlns:xlrd2="http://schemas.microsoft.com/office/spreadsheetml/2017/richdata2" ref="A2:V39">
    <sortCondition ref="A1:A39"/>
  </sortState>
  <tableColumns count="22">
    <tableColumn id="1" xr3:uid="{00000000-0010-0000-0D00-000001000000}" name="S.NO" totalsRowLabel="Total" totalsRowDxfId="518"/>
    <tableColumn id="2" xr3:uid="{00000000-0010-0000-0D00-000002000000}" name="Customer Name" totalsRowDxfId="517"/>
    <tableColumn id="3" xr3:uid="{00000000-0010-0000-0D00-000003000000}" name="PAID" totalsRowFunction="custom" totalsRowDxfId="516">
      <calculatedColumnFormula array="1">_xlfn.IFS(ISNUMBER(SEARCH("M",mainroad[[#This Row],[JANUARY]])),"M",mainroad[[#This Row],[JANUARY]]="A","A",mainroad[[#This Row],[JANUARY]]="","",mainroad[[#This Row],[JANUARY]]&gt;=100,"P")</calculatedColumnFormula>
      <totalsRowFormula>COUNTIF(C2:C40, "&gt;=a")</totalsRowFormula>
    </tableColumn>
    <tableColumn id="29" xr3:uid="{00000000-0010-0000-0D00-00001D000000}" name="Package" totalsRowFunction="count" totalsRowDxfId="515"/>
    <tableColumn id="4" xr3:uid="{00000000-0010-0000-0D00-000004000000}" name="Box No" totalsRowFunction="count" dataDxfId="514" totalsRowDxfId="513"/>
    <tableColumn id="28" xr3:uid="{00000000-0010-0000-0D00-00001C000000}" name="CAF_ID" totalsRowFunction="count" dataDxfId="512" totalsRowDxfId="511"/>
    <tableColumn id="12" xr3:uid="{00000000-0010-0000-0D00-00000C000000}" name="Amount" dataDxfId="510" totalsRowDxfId="509"/>
    <tableColumn id="25" xr3:uid="{00000000-0010-0000-0D00-000019000000}" name="DEC-20" totalsRowFunction="sum" dataDxfId="508" totalsRowDxfId="507"/>
    <tableColumn id="27" xr3:uid="{00000000-0010-0000-0D00-00001B000000}" name="BALANCE" totalsRowFunction="sum" dataDxfId="506" totalsRowDxfId="505"/>
    <tableColumn id="5" xr3:uid="{00000000-0010-0000-0D00-000005000000}" name="JANUARY" totalsRowFunction="sum" dataDxfId="504" totalsRowDxfId="503"/>
    <tableColumn id="7" xr3:uid="{00000000-0010-0000-0D00-000007000000}" name="FEBEUARY" totalsRowFunction="sum" dataDxfId="502" totalsRowDxfId="501"/>
    <tableColumn id="9" xr3:uid="{00000000-0010-0000-0D00-000009000000}" name="MARCH" totalsRowFunction="sum" dataDxfId="500" totalsRowDxfId="499"/>
    <tableColumn id="11" xr3:uid="{00000000-0010-0000-0D00-00000B000000}" name="APRIL" totalsRowFunction="sum" dataDxfId="498" totalsRowDxfId="497"/>
    <tableColumn id="13" xr3:uid="{00000000-0010-0000-0D00-00000D000000}" name="MAY" totalsRowFunction="sum" dataDxfId="496" totalsRowDxfId="495"/>
    <tableColumn id="15" xr3:uid="{00000000-0010-0000-0D00-00000F000000}" name="JUNE" totalsRowFunction="sum" dataDxfId="494" totalsRowDxfId="493"/>
    <tableColumn id="17" xr3:uid="{00000000-0010-0000-0D00-000011000000}" name="JULY" totalsRowFunction="sum" dataDxfId="492" totalsRowDxfId="491"/>
    <tableColumn id="19" xr3:uid="{00000000-0010-0000-0D00-000013000000}" name="AUGUST" totalsRowFunction="sum" dataDxfId="490" totalsRowDxfId="489"/>
    <tableColumn id="8" xr3:uid="{00000000-0010-0000-0D00-000008000000}" name="SEPTEMBER" totalsRowFunction="sum" dataDxfId="488" totalsRowDxfId="487"/>
    <tableColumn id="21" xr3:uid="{00000000-0010-0000-0D00-000015000000}" name="OCTOBER" totalsRowFunction="sum" dataDxfId="486" totalsRowDxfId="485"/>
    <tableColumn id="23" xr3:uid="{00000000-0010-0000-0D00-000017000000}" name="NOVEMBER" totalsRowFunction="sum" dataDxfId="484" totalsRowDxfId="483"/>
    <tableColumn id="10" xr3:uid="{00000000-0010-0000-0D00-00000A000000}" name="DECEMBER" totalsRowFunction="sum" dataDxfId="482" totalsRowDxfId="481"/>
    <tableColumn id="6" xr3:uid="{00000000-0010-0000-0D00-000006000000}" name="COMMENTS" dataDxfId="480" totalsRowDxfId="479"/>
  </tableColumns>
  <tableStyleInfo name="TableStyleMedium1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bharathipuram130" displayName="bharathipuram130" ref="A1:V30" totalsRowCount="1" totalsRowDxfId="478">
  <autoFilter ref="A1:V29" xr:uid="{00000000-0009-0000-0100-00000F000000}"/>
  <sortState xmlns:xlrd2="http://schemas.microsoft.com/office/spreadsheetml/2017/richdata2" ref="A2:V28">
    <sortCondition ref="A1:A28"/>
  </sortState>
  <tableColumns count="22">
    <tableColumn id="1" xr3:uid="{00000000-0010-0000-0E00-000001000000}" name="S.NO" totalsRowLabel="Total" totalsRowDxfId="477"/>
    <tableColumn id="2" xr3:uid="{00000000-0010-0000-0E00-000002000000}" name="Customer Name" totalsRowDxfId="476"/>
    <tableColumn id="3" xr3:uid="{00000000-0010-0000-0E00-000003000000}" name="PAID" totalsRowFunction="custom" totalsRowDxfId="475">
      <calculatedColumnFormula array="1">_xlfn.IFS(ISNUMBER(SEARCH("M",bharathipuram130[[#This Row],[JANUARY]])),"M",bharathipuram130[[#This Row],[JANUARY]]="A","A",bharathipuram130[[#This Row],[JANUARY]]="","",bharathipuram130[[#This Row],[JANUARY]]&gt;=100,"P")</calculatedColumnFormula>
      <totalsRowFormula>COUNTIF(C2:C29, "&gt;=a")</totalsRowFormula>
    </tableColumn>
    <tableColumn id="29" xr3:uid="{00000000-0010-0000-0E00-00001D000000}" name="Package" totalsRowFunction="count" totalsRowDxfId="474"/>
    <tableColumn id="4" xr3:uid="{00000000-0010-0000-0E00-000004000000}" name="Box No" totalsRowFunction="count" dataDxfId="473" totalsRowDxfId="472"/>
    <tableColumn id="28" xr3:uid="{00000000-0010-0000-0E00-00001C000000}" name="CAF_ID" totalsRowFunction="count" dataDxfId="471" totalsRowDxfId="470"/>
    <tableColumn id="12" xr3:uid="{00000000-0010-0000-0E00-00000C000000}" name="Amount" dataDxfId="469" totalsRowDxfId="468"/>
    <tableColumn id="25" xr3:uid="{00000000-0010-0000-0E00-000019000000}" name="DEC-20" totalsRowFunction="sum" dataDxfId="467" totalsRowDxfId="466"/>
    <tableColumn id="27" xr3:uid="{00000000-0010-0000-0E00-00001B000000}" name="BALANCE" totalsRowFunction="sum" dataDxfId="465" totalsRowDxfId="464"/>
    <tableColumn id="5" xr3:uid="{00000000-0010-0000-0E00-000005000000}" name="JANUARY" totalsRowFunction="sum" dataDxfId="463" totalsRowDxfId="462"/>
    <tableColumn id="7" xr3:uid="{00000000-0010-0000-0E00-000007000000}" name="FEBEUARY" totalsRowFunction="sum" dataDxfId="461" totalsRowDxfId="460"/>
    <tableColumn id="9" xr3:uid="{00000000-0010-0000-0E00-000009000000}" name="MARCH" totalsRowFunction="sum" dataDxfId="459" totalsRowDxfId="458"/>
    <tableColumn id="11" xr3:uid="{00000000-0010-0000-0E00-00000B000000}" name="APRIL" totalsRowFunction="sum" dataDxfId="457" totalsRowDxfId="456"/>
    <tableColumn id="13" xr3:uid="{00000000-0010-0000-0E00-00000D000000}" name="MAY" totalsRowFunction="sum" dataDxfId="455" totalsRowDxfId="454"/>
    <tableColumn id="15" xr3:uid="{00000000-0010-0000-0E00-00000F000000}" name="JUNE" totalsRowFunction="sum" dataDxfId="453" totalsRowDxfId="452"/>
    <tableColumn id="17" xr3:uid="{00000000-0010-0000-0E00-000011000000}" name="JULY" totalsRowFunction="sum" dataDxfId="451" totalsRowDxfId="450"/>
    <tableColumn id="19" xr3:uid="{00000000-0010-0000-0E00-000013000000}" name="AUGUST" totalsRowFunction="sum" dataDxfId="449" totalsRowDxfId="448"/>
    <tableColumn id="8" xr3:uid="{00000000-0010-0000-0E00-000008000000}" name="SEPTEMBER" totalsRowFunction="sum" dataDxfId="447" totalsRowDxfId="446"/>
    <tableColumn id="21" xr3:uid="{00000000-0010-0000-0E00-000015000000}" name="OCTOBER" totalsRowFunction="sum" dataDxfId="445" totalsRowDxfId="444"/>
    <tableColumn id="23" xr3:uid="{00000000-0010-0000-0E00-000017000000}" name="NOVEMBER" totalsRowFunction="sum" dataDxfId="443" totalsRowDxfId="442"/>
    <tableColumn id="10" xr3:uid="{00000000-0010-0000-0E00-00000A000000}" name="DECEMBER" dataDxfId="441" totalsRowDxfId="440"/>
    <tableColumn id="6" xr3:uid="{00000000-0010-0000-0E00-000006000000}" name="COMMENTS" dataDxfId="439" totalsRowDxfId="438"/>
  </tableColumns>
  <tableStyleInfo name="TableStyleMedium1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bharathipuram231" displayName="bharathipuram231" ref="A1:V32" totalsRowCount="1" totalsRowDxfId="437">
  <autoFilter ref="A1:V31" xr:uid="{00000000-0009-0000-0100-000010000000}"/>
  <sortState xmlns:xlrd2="http://schemas.microsoft.com/office/spreadsheetml/2017/richdata2" ref="A2:V29">
    <sortCondition ref="A1:A29"/>
  </sortState>
  <tableColumns count="22">
    <tableColumn id="1" xr3:uid="{00000000-0010-0000-0F00-000001000000}" name="S.NO" totalsRowLabel="Total" totalsRowDxfId="436"/>
    <tableColumn id="2" xr3:uid="{00000000-0010-0000-0F00-000002000000}" name="Customer Name" totalsRowDxfId="435"/>
    <tableColumn id="3" xr3:uid="{00000000-0010-0000-0F00-000003000000}" name="PAID" totalsRowFunction="custom" totalsRowDxfId="434">
      <calculatedColumnFormula array="1">_xlfn.IFS(ISNUMBER(SEARCH("M",bharathipuram231[[#This Row],[JANUARY]])),"M",bharathipuram231[[#This Row],[JANUARY]]="A","A",bharathipuram231[[#This Row],[JANUARY]]="","",bharathipuram231[[#This Row],[JANUARY]]&gt;=100,"P")</calculatedColumnFormula>
      <totalsRowFormula>COUNTIF(C2:C31, "&gt;=a")</totalsRowFormula>
    </tableColumn>
    <tableColumn id="29" xr3:uid="{00000000-0010-0000-0F00-00001D000000}" name="Package" totalsRowFunction="count" totalsRowDxfId="433"/>
    <tableColumn id="4" xr3:uid="{00000000-0010-0000-0F00-000004000000}" name="Box No" totalsRowFunction="count" dataDxfId="432" totalsRowDxfId="431"/>
    <tableColumn id="28" xr3:uid="{00000000-0010-0000-0F00-00001C000000}" name="CAF_ID" totalsRowFunction="count" dataDxfId="430" totalsRowDxfId="429"/>
    <tableColumn id="10" xr3:uid="{00000000-0010-0000-0F00-00000A000000}" name="Amount" dataDxfId="428" totalsRowDxfId="427"/>
    <tableColumn id="25" xr3:uid="{00000000-0010-0000-0F00-000019000000}" name="DEC-20" totalsRowFunction="sum" dataDxfId="426" totalsRowDxfId="425"/>
    <tableColumn id="27" xr3:uid="{00000000-0010-0000-0F00-00001B000000}" name="BALANCE" totalsRowFunction="sum" dataDxfId="424" totalsRowDxfId="423"/>
    <tableColumn id="5" xr3:uid="{00000000-0010-0000-0F00-000005000000}" name="JANUARY" totalsRowFunction="sum" dataDxfId="422" totalsRowDxfId="421"/>
    <tableColumn id="7" xr3:uid="{00000000-0010-0000-0F00-000007000000}" name="FEBEUARY" totalsRowFunction="sum" dataDxfId="420" totalsRowDxfId="419"/>
    <tableColumn id="9" xr3:uid="{00000000-0010-0000-0F00-000009000000}" name="MARCH" totalsRowFunction="sum" dataDxfId="418" totalsRowDxfId="417"/>
    <tableColumn id="11" xr3:uid="{00000000-0010-0000-0F00-00000B000000}" name="APRIL" totalsRowFunction="sum" dataDxfId="416" totalsRowDxfId="415"/>
    <tableColumn id="13" xr3:uid="{00000000-0010-0000-0F00-00000D000000}" name="MAY" totalsRowFunction="sum" dataDxfId="414" totalsRowDxfId="413"/>
    <tableColumn id="15" xr3:uid="{00000000-0010-0000-0F00-00000F000000}" name="JUNE" totalsRowFunction="sum" dataDxfId="412" totalsRowDxfId="411"/>
    <tableColumn id="17" xr3:uid="{00000000-0010-0000-0F00-000011000000}" name="JULY" totalsRowFunction="sum" dataDxfId="410" totalsRowDxfId="409"/>
    <tableColumn id="19" xr3:uid="{00000000-0010-0000-0F00-000013000000}" name="AUGUST" totalsRowFunction="sum" dataDxfId="408" totalsRowDxfId="407"/>
    <tableColumn id="8" xr3:uid="{00000000-0010-0000-0F00-000008000000}" name="SEPTEMBER" totalsRowFunction="sum" dataDxfId="406" totalsRowDxfId="405"/>
    <tableColumn id="21" xr3:uid="{00000000-0010-0000-0F00-000015000000}" name="OCTOBER" totalsRowFunction="sum" dataDxfId="404" totalsRowDxfId="403"/>
    <tableColumn id="23" xr3:uid="{00000000-0010-0000-0F00-000017000000}" name="NOVEMBER" totalsRowFunction="sum" dataDxfId="402" totalsRowDxfId="401"/>
    <tableColumn id="14" xr3:uid="{00000000-0010-0000-0F00-00000E000000}" name="DECEMBER" dataDxfId="400" totalsRowDxfId="399"/>
    <tableColumn id="6" xr3:uid="{00000000-0010-0000-0F00-000006000000}" name="COMMENTS" dataDxfId="398" totalsRowDxfId="397"/>
  </tableColumns>
  <tableStyleInfo name="TableStyleMedium1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agalist" displayName="agalist" ref="A1:U13" totalsRowCount="1" totalsRowDxfId="396">
  <autoFilter ref="A1:U12" xr:uid="{00000000-0009-0000-0100-000011000000}"/>
  <sortState xmlns:xlrd2="http://schemas.microsoft.com/office/spreadsheetml/2017/richdata2" ref="A2:T12">
    <sortCondition ref="A1:A12"/>
  </sortState>
  <tableColumns count="21">
    <tableColumn id="1" xr3:uid="{00000000-0010-0000-1000-000001000000}" name="S.NO" totalsRowLabel="Total" totalsRowDxfId="395"/>
    <tableColumn id="2" xr3:uid="{00000000-0010-0000-1000-000002000000}" name="Customer Name" totalsRowDxfId="394"/>
    <tableColumn id="3" xr3:uid="{00000000-0010-0000-1000-000003000000}" name="PAID" totalsRowFunction="custom" totalsRowDxfId="393">
      <calculatedColumnFormula array="1">_xlfn.IFS(ISNUMBER(SEARCH("M",agalist[[#This Row],[JANUARY]])),"M",agalist[[#This Row],[JANUARY]]="A","A",agalist[[#This Row],[JANUARY]]="","",agalist[[#This Row],[JANUARY]]&gt;=100,"P")</calculatedColumnFormula>
      <totalsRowFormula>COUNTIF(C2:C12, "&gt;=a")</totalsRowFormula>
    </tableColumn>
    <tableColumn id="29" xr3:uid="{00000000-0010-0000-1000-00001D000000}" name="Package" totalsRowFunction="count" totalsRowDxfId="392"/>
    <tableColumn id="4" xr3:uid="{00000000-0010-0000-1000-000004000000}" name="Box No" totalsRowFunction="count" dataDxfId="391" totalsRowDxfId="390"/>
    <tableColumn id="28" xr3:uid="{00000000-0010-0000-1000-00001C000000}" name="CAF_ID" totalsRowFunction="count" dataDxfId="389" totalsRowDxfId="388"/>
    <tableColumn id="10" xr3:uid="{00000000-0010-0000-1000-00000A000000}" name="Amount" dataDxfId="387" totalsRowDxfId="386"/>
    <tableColumn id="27" xr3:uid="{00000000-0010-0000-1000-00001B000000}" name="BALANCE" totalsRowFunction="sum" dataDxfId="385" totalsRowDxfId="384"/>
    <tableColumn id="5" xr3:uid="{00000000-0010-0000-1000-000005000000}" name="JANUARY" totalsRowFunction="sum" dataDxfId="383" totalsRowDxfId="382"/>
    <tableColumn id="7" xr3:uid="{00000000-0010-0000-1000-000007000000}" name="FEBEUARY" totalsRowFunction="sum" dataDxfId="381" totalsRowDxfId="380"/>
    <tableColumn id="9" xr3:uid="{00000000-0010-0000-1000-000009000000}" name="MARCH" totalsRowFunction="sum" dataDxfId="379" totalsRowDxfId="378"/>
    <tableColumn id="11" xr3:uid="{00000000-0010-0000-1000-00000B000000}" name="APRIL" totalsRowFunction="sum" dataDxfId="377" totalsRowDxfId="376"/>
    <tableColumn id="13" xr3:uid="{00000000-0010-0000-1000-00000D000000}" name="MAY" totalsRowFunction="sum" dataDxfId="375" totalsRowDxfId="374"/>
    <tableColumn id="15" xr3:uid="{00000000-0010-0000-1000-00000F000000}" name="JUNE" totalsRowFunction="sum" dataDxfId="373" totalsRowDxfId="372"/>
    <tableColumn id="17" xr3:uid="{00000000-0010-0000-1000-000011000000}" name="JULY" totalsRowFunction="sum" dataDxfId="371" totalsRowDxfId="370"/>
    <tableColumn id="19" xr3:uid="{00000000-0010-0000-1000-000013000000}" name="AUGUST" totalsRowFunction="sum" dataDxfId="369" totalsRowDxfId="368"/>
    <tableColumn id="8" xr3:uid="{00000000-0010-0000-1000-000008000000}" name="SEPTEMBER" totalsRowFunction="sum" dataDxfId="367" totalsRowDxfId="366"/>
    <tableColumn id="21" xr3:uid="{00000000-0010-0000-1000-000015000000}" name="OCTOBER" totalsRowFunction="sum" dataDxfId="365" totalsRowDxfId="364"/>
    <tableColumn id="23" xr3:uid="{00000000-0010-0000-1000-000017000000}" name="NOVEMBER" totalsRowFunction="sum" dataDxfId="363" totalsRowDxfId="362"/>
    <tableColumn id="25" xr3:uid="{00000000-0010-0000-1000-000019000000}" name="DECEMBER" totalsRowFunction="sum" dataDxfId="361" totalsRowDxfId="360"/>
    <tableColumn id="6" xr3:uid="{00000000-0010-0000-1000-000006000000}" name="COMMENTS" dataDxfId="359" totalsRowDxfId="358"/>
  </tableColumns>
  <tableStyleInfo name="TableStyleMedium1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tteiyampatti" displayName="etteiyampatti" ref="A1:R12" totalsRowCount="1" totalsRowDxfId="357">
  <autoFilter ref="A1:R11" xr:uid="{00000000-0009-0000-0100-000012000000}"/>
  <tableColumns count="18">
    <tableColumn id="1" xr3:uid="{00000000-0010-0000-1100-000001000000}" name="S.NO" totalsRowLabel="Total" totalsRowDxfId="356"/>
    <tableColumn id="2" xr3:uid="{00000000-0010-0000-1100-000002000000}" name="Customer Name" totalsRowDxfId="355"/>
    <tableColumn id="3" xr3:uid="{00000000-0010-0000-1100-000003000000}" name="PAID" totalsRowDxfId="354"/>
    <tableColumn id="29" xr3:uid="{00000000-0010-0000-1100-00001D000000}" name="Package" totalsRowFunction="count" totalsRowDxfId="353"/>
    <tableColumn id="4" xr3:uid="{00000000-0010-0000-1100-000004000000}" name="Box No" totalsRowFunction="count" dataDxfId="352" totalsRowDxfId="351"/>
    <tableColumn id="5" xr3:uid="{00000000-0010-0000-1100-000005000000}" name="CAF_ID" totalsRowFunction="count" totalsRowDxfId="350"/>
    <tableColumn id="6" xr3:uid="{00000000-0010-0000-1100-000006000000}" name="JANUARY" dataDxfId="349" totalsRowDxfId="348"/>
    <tableColumn id="8" xr3:uid="{00000000-0010-0000-1100-000008000000}" name="FEBEUARY" dataDxfId="347" totalsRowDxfId="346"/>
    <tableColumn id="10" xr3:uid="{00000000-0010-0000-1100-00000A000000}" name="MARCH" dataDxfId="345" totalsRowDxfId="344"/>
    <tableColumn id="12" xr3:uid="{00000000-0010-0000-1100-00000C000000}" name="APRIL" dataDxfId="343" totalsRowDxfId="342"/>
    <tableColumn id="14" xr3:uid="{00000000-0010-0000-1100-00000E000000}" name="MAY" dataDxfId="341" totalsRowDxfId="340"/>
    <tableColumn id="16" xr3:uid="{00000000-0010-0000-1100-000010000000}" name="JUNE" dataDxfId="339" totalsRowDxfId="338"/>
    <tableColumn id="18" xr3:uid="{00000000-0010-0000-1100-000012000000}" name="JULY" dataDxfId="337" totalsRowDxfId="336"/>
    <tableColumn id="20" xr3:uid="{00000000-0010-0000-1100-000014000000}" name="AUGUST" dataDxfId="335" totalsRowDxfId="334"/>
    <tableColumn id="7" xr3:uid="{00000000-0010-0000-1100-000007000000}" name="SEPTEMBER" dataDxfId="333" totalsRowDxfId="332"/>
    <tableColumn id="22" xr3:uid="{00000000-0010-0000-1100-000016000000}" name="OCTOBER" dataDxfId="331" totalsRowDxfId="330"/>
    <tableColumn id="24" xr3:uid="{00000000-0010-0000-1100-000018000000}" name="NOVEMBER" dataDxfId="329" totalsRowDxfId="328"/>
    <tableColumn id="26" xr3:uid="{00000000-0010-0000-1100-00001A000000}" name="DECEMBER" dataDxfId="327" totalsRowDxfId="326"/>
  </tableColumns>
  <tableStyleInfo name="TableStyleMedium1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udhur" displayName="pudhur" ref="A1:V28" totalsRowCount="1" totalsRowDxfId="323" headerRowBorderDxfId="325" tableBorderDxfId="324">
  <autoFilter ref="A1:V27" xr:uid="{00000000-0009-0000-0100-000013000000}"/>
  <sortState xmlns:xlrd2="http://schemas.microsoft.com/office/spreadsheetml/2017/richdata2" ref="A2:V27">
    <sortCondition ref="A1:A27"/>
  </sortState>
  <tableColumns count="22">
    <tableColumn id="1" xr3:uid="{00000000-0010-0000-1200-000001000000}" name="S.NO" totalsRowLabel="Total" totalsRowDxfId="322"/>
    <tableColumn id="2" xr3:uid="{00000000-0010-0000-1200-000002000000}" name="Customer Name" totalsRowDxfId="321"/>
    <tableColumn id="4" xr3:uid="{00000000-0010-0000-1200-000004000000}" name="PAID" totalsRowFunction="custom" totalsRowDxfId="320">
      <calculatedColumnFormula array="1">_xlfn.IFS(ISNUMBER(SEARCH("G",pudhur[[#This Row],[JANUARY]])),"G",ISNUMBER(SEARCH("A",pudhur[[#This Row],[JANUARY]])),"A",pudhur[[#This Row],[JANUARY]]="","",pudhur[[#This Row],[JANUARY]]&gt;=100,"P")</calculatedColumnFormula>
      <totalsRowFormula>COUNTIF(C2:C27, "&gt;=a")</totalsRowFormula>
    </tableColumn>
    <tableColumn id="5" xr3:uid="{00000000-0010-0000-1200-000005000000}" name="Package" totalsRowFunction="count" totalsRowDxfId="319"/>
    <tableColumn id="3" xr3:uid="{00000000-0010-0000-1200-000003000000}" name="Box No" totalsRowFunction="count" dataDxfId="318" totalsRowDxfId="317"/>
    <tableColumn id="6" xr3:uid="{00000000-0010-0000-1200-000006000000}" name="CAF_ID" totalsRowFunction="count" dataDxfId="316" totalsRowDxfId="315"/>
    <tableColumn id="10" xr3:uid="{00000000-0010-0000-1200-00000A000000}" name="Amount" dataDxfId="314" totalsRowDxfId="313"/>
    <tableColumn id="27" xr3:uid="{00000000-0010-0000-1200-00001B000000}" name="DEC-20" totalsRowFunction="sum" dataDxfId="312" totalsRowDxfId="311"/>
    <tableColumn id="7" xr3:uid="{00000000-0010-0000-1200-000007000000}" name="JANUARY" totalsRowFunction="sum" dataDxfId="310" totalsRowDxfId="309"/>
    <tableColumn id="9" xr3:uid="{00000000-0010-0000-1200-000009000000}" name="FEBEUARY" totalsRowFunction="sum" dataDxfId="308" totalsRowDxfId="307"/>
    <tableColumn id="11" xr3:uid="{00000000-0010-0000-1200-00000B000000}" name="MARCH" totalsRowFunction="sum" dataDxfId="306" totalsRowDxfId="305"/>
    <tableColumn id="13" xr3:uid="{00000000-0010-0000-1200-00000D000000}" name="APRIL" totalsRowFunction="sum" dataDxfId="304" totalsRowDxfId="303"/>
    <tableColumn id="15" xr3:uid="{00000000-0010-0000-1200-00000F000000}" name="MAY" totalsRowFunction="sum" dataDxfId="302" totalsRowDxfId="301"/>
    <tableColumn id="17" xr3:uid="{00000000-0010-0000-1200-000011000000}" name="JUNE" totalsRowFunction="sum" dataDxfId="300" totalsRowDxfId="299"/>
    <tableColumn id="19" xr3:uid="{00000000-0010-0000-1200-000013000000}" name="JULY" totalsRowFunction="sum" dataDxfId="298" totalsRowDxfId="297"/>
    <tableColumn id="21" xr3:uid="{00000000-0010-0000-1200-000015000000}" name="AUGUST" totalsRowFunction="sum" dataDxfId="296" totalsRowDxfId="295"/>
    <tableColumn id="14" xr3:uid="{00000000-0010-0000-1200-00000E000000}" name="SEPTEMBER" totalsRowFunction="sum" dataDxfId="294" totalsRowDxfId="293"/>
    <tableColumn id="23" xr3:uid="{00000000-0010-0000-1200-000017000000}" name="OCTOBER" totalsRowFunction="sum" dataDxfId="292" totalsRowDxfId="291"/>
    <tableColumn id="25" xr3:uid="{00000000-0010-0000-1200-000019000000}" name="NOVEMBER" totalsRowFunction="sum" dataDxfId="290" totalsRowDxfId="289"/>
    <tableColumn id="12" xr3:uid="{00000000-0010-0000-1200-00000C000000}" name="DECEMBER" dataDxfId="288" totalsRowDxfId="287"/>
    <tableColumn id="29" xr3:uid="{00000000-0010-0000-1200-00001D000000}" name="BALANCE" totalsRowFunction="sum" dataDxfId="286" totalsRowDxfId="285"/>
    <tableColumn id="8" xr3:uid="{00000000-0010-0000-1200-000008000000}" name="COMMENTS" dataDxfId="284" totalsRowDxfId="283"/>
  </tableColumns>
  <tableStyleInfo name="TableStyleMedium1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sankark" displayName="sankark" ref="A1:V10" totalsRowCount="1" totalsRowDxfId="280" headerRowBorderDxfId="282" tableBorderDxfId="281" totalsRowBorderDxfId="279">
  <autoFilter ref="A1:V9" xr:uid="{00000000-0009-0000-0100-000014000000}"/>
  <sortState xmlns:xlrd2="http://schemas.microsoft.com/office/spreadsheetml/2017/richdata2" ref="A2:V9">
    <sortCondition ref="A1:A9"/>
  </sortState>
  <tableColumns count="22">
    <tableColumn id="1" xr3:uid="{00000000-0010-0000-1300-000001000000}" name="S.NO" totalsRowLabel="Total" totalsRowDxfId="278"/>
    <tableColumn id="2" xr3:uid="{00000000-0010-0000-1300-000002000000}" name="Customer Name" totalsRowDxfId="277"/>
    <tableColumn id="4" xr3:uid="{00000000-0010-0000-1300-000004000000}" name="PAID" totalsRowFunction="custom" totalsRowDxfId="276">
      <calculatedColumnFormula array="1">_xlfn.IFS(ISNUMBER(SEARCH("G",sankark[[#This Row],[JANUARY]])),"G",ISNUMBER(SEARCH("A",sankark[[#This Row],[JANUARY]])),"A",sankark[[#This Row],[JANUARY]]="","",sankark[[#This Row],[JANUARY]]&gt;=100,"P")</calculatedColumnFormula>
      <totalsRowFormula>COUNTIF(C2:C9, "&gt;=a")</totalsRowFormula>
    </tableColumn>
    <tableColumn id="5" xr3:uid="{00000000-0010-0000-1300-000005000000}" name="Package" totalsRowFunction="count" totalsRowDxfId="275"/>
    <tableColumn id="3" xr3:uid="{00000000-0010-0000-1300-000003000000}" name="Box No" totalsRowFunction="count" totalsRowDxfId="274"/>
    <tableColumn id="6" xr3:uid="{00000000-0010-0000-1300-000006000000}" name="CAF_ID" totalsRowFunction="count" totalsRowDxfId="273"/>
    <tableColumn id="12" xr3:uid="{00000000-0010-0000-1300-00000C000000}" name="Amount" totalsRowDxfId="272"/>
    <tableColumn id="27" xr3:uid="{00000000-0010-0000-1300-00001B000000}" name="DEC-20" totalsRowFunction="sum" dataDxfId="271" totalsRowDxfId="270"/>
    <tableColumn id="7" xr3:uid="{00000000-0010-0000-1300-000007000000}" name="JANUARY" totalsRowFunction="sum" dataDxfId="269" totalsRowDxfId="268"/>
    <tableColumn id="9" xr3:uid="{00000000-0010-0000-1300-000009000000}" name="FEBEUARY" totalsRowFunction="sum" dataDxfId="267" totalsRowDxfId="266"/>
    <tableColumn id="11" xr3:uid="{00000000-0010-0000-1300-00000B000000}" name="MARCH" totalsRowFunction="sum" dataDxfId="265" totalsRowDxfId="264"/>
    <tableColumn id="13" xr3:uid="{00000000-0010-0000-1300-00000D000000}" name="APRIL" totalsRowFunction="sum" dataDxfId="263" totalsRowDxfId="262"/>
    <tableColumn id="15" xr3:uid="{00000000-0010-0000-1300-00000F000000}" name="MAY" totalsRowFunction="sum" dataDxfId="261" totalsRowDxfId="260"/>
    <tableColumn id="17" xr3:uid="{00000000-0010-0000-1300-000011000000}" name="JUNE" totalsRowFunction="sum" dataDxfId="259" totalsRowDxfId="258"/>
    <tableColumn id="19" xr3:uid="{00000000-0010-0000-1300-000013000000}" name="JULY" totalsRowFunction="sum" dataDxfId="257" totalsRowDxfId="256"/>
    <tableColumn id="21" xr3:uid="{00000000-0010-0000-1300-000015000000}" name="AUGUST" totalsRowFunction="sum" dataDxfId="255" totalsRowDxfId="254"/>
    <tableColumn id="10" xr3:uid="{00000000-0010-0000-1300-00000A000000}" name="SEPTEMBER" totalsRowFunction="sum" dataDxfId="253" totalsRowDxfId="252"/>
    <tableColumn id="23" xr3:uid="{00000000-0010-0000-1300-000017000000}" name="OCTOBER" totalsRowFunction="sum" dataDxfId="251" totalsRowDxfId="250"/>
    <tableColumn id="25" xr3:uid="{00000000-0010-0000-1300-000019000000}" name="NOVEMBER" totalsRowFunction="sum" dataDxfId="249" totalsRowDxfId="248"/>
    <tableColumn id="14" xr3:uid="{00000000-0010-0000-1300-00000E000000}" name="DECEMBER" dataDxfId="247" totalsRowDxfId="246"/>
    <tableColumn id="29" xr3:uid="{00000000-0010-0000-1300-00001D000000}" name="BALANCE" totalsRowFunction="sum" dataDxfId="245" totalsRowDxfId="244"/>
    <tableColumn id="8" xr3:uid="{00000000-0010-0000-1300-000008000000}" name="COMMENTS" totalsRowDxfId="243"/>
  </tableColumns>
  <tableStyleInfo name="TableStyleMedium1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kamarajnagar" displayName="kamarajnagar" ref="A1:V34" totalsRowCount="1" headerRowDxfId="242">
  <autoFilter ref="A1:V33" xr:uid="{00000000-0009-0000-0100-000015000000}"/>
  <sortState xmlns:xlrd2="http://schemas.microsoft.com/office/spreadsheetml/2017/richdata2" ref="A2:V33">
    <sortCondition ref="A1:A33"/>
  </sortState>
  <tableColumns count="22">
    <tableColumn id="1" xr3:uid="{00000000-0010-0000-1400-000001000000}" name="S.NO" totalsRowLabel="Total"/>
    <tableColumn id="2" xr3:uid="{00000000-0010-0000-1400-000002000000}" name="Customer Name" dataDxfId="241" totalsRowDxfId="240"/>
    <tableColumn id="3" xr3:uid="{00000000-0010-0000-1400-000003000000}" name="PAID" totalsRowFunction="custom">
      <calculatedColumnFormula array="1">_xlfn.IFS(ISNUMBER(SEARCH("G",kamarajnagar[[#This Row],[JANUARY]])),"G",ISNUMBER(SEARCH("A",kamarajnagar[[#This Row],[JANUARY]])),"A",kamarajnagar[[#This Row],[JANUARY]]="","",kamarajnagar[[#This Row],[JANUARY]]&gt;=100,"P")</calculatedColumnFormula>
      <totalsRowFormula>COUNTIF(C2:C33, "&gt;=a")</totalsRowFormula>
    </tableColumn>
    <tableColumn id="29" xr3:uid="{00000000-0010-0000-1400-00001D000000}" name="Package" totalsRowFunction="count"/>
    <tableColumn id="4" xr3:uid="{00000000-0010-0000-1400-000004000000}" name="Box No" totalsRowFunction="count" dataDxfId="239"/>
    <tableColumn id="5" xr3:uid="{00000000-0010-0000-1400-000005000000}" name="CAF_ID" totalsRowFunction="count" dataDxfId="238"/>
    <tableColumn id="11" xr3:uid="{00000000-0010-0000-1400-00000B000000}" name="Amount" dataDxfId="237" totalsRowDxfId="236"/>
    <tableColumn id="26" xr3:uid="{00000000-0010-0000-1400-00001A000000}" name="DEC-20" totalsRowFunction="sum" dataDxfId="235" totalsRowDxfId="234"/>
    <tableColumn id="6" xr3:uid="{00000000-0010-0000-1400-000006000000}" name="JANUARY" totalsRowFunction="sum" dataDxfId="233" totalsRowDxfId="232"/>
    <tableColumn id="8" xr3:uid="{00000000-0010-0000-1400-000008000000}" name="FEBRUARY" totalsRowFunction="sum" dataDxfId="231" totalsRowDxfId="230"/>
    <tableColumn id="10" xr3:uid="{00000000-0010-0000-1400-00000A000000}" name="MARCH" totalsRowFunction="sum" dataDxfId="229" totalsRowDxfId="228"/>
    <tableColumn id="12" xr3:uid="{00000000-0010-0000-1400-00000C000000}" name="APRIL" totalsRowFunction="sum" dataDxfId="227" totalsRowDxfId="226"/>
    <tableColumn id="14" xr3:uid="{00000000-0010-0000-1400-00000E000000}" name="MAY" totalsRowFunction="sum" dataDxfId="225" totalsRowDxfId="224"/>
    <tableColumn id="16" xr3:uid="{00000000-0010-0000-1400-000010000000}" name="JUNE" totalsRowFunction="sum" dataDxfId="223" totalsRowDxfId="222"/>
    <tableColumn id="18" xr3:uid="{00000000-0010-0000-1400-000012000000}" name="JULY" totalsRowFunction="sum" dataDxfId="221" totalsRowDxfId="220"/>
    <tableColumn id="20" xr3:uid="{00000000-0010-0000-1400-000014000000}" name="AUGUST" totalsRowFunction="sum" dataDxfId="219" totalsRowDxfId="218"/>
    <tableColumn id="9" xr3:uid="{00000000-0010-0000-1400-000009000000}" name="SEPTEMBER" totalsRowFunction="sum" dataDxfId="217" totalsRowDxfId="216"/>
    <tableColumn id="22" xr3:uid="{00000000-0010-0000-1400-000016000000}" name="OCTOBER" totalsRowFunction="sum" dataDxfId="215" totalsRowDxfId="214"/>
    <tableColumn id="24" xr3:uid="{00000000-0010-0000-1400-000018000000}" name="NOVEMBER" totalsRowFunction="sum" dataDxfId="213" totalsRowDxfId="212"/>
    <tableColumn id="15" xr3:uid="{00000000-0010-0000-1400-00000F000000}" name="DECEMBER" dataDxfId="211" totalsRowDxfId="210"/>
    <tableColumn id="28" xr3:uid="{00000000-0010-0000-1400-00001C000000}" name="BAL" totalsRowFunction="sum" dataDxfId="209" totalsRowDxfId="208"/>
    <tableColumn id="7" xr3:uid="{00000000-0010-0000-1400-000007000000}" name="COMMENTS" dataDxfId="207" totalsRowDxfId="206"/>
  </tableColumns>
  <tableStyleInfo name="TableStyleMedium1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muslismst" displayName="muslismst" ref="A1:V27" totalsRowCount="1" headerRowBorderDxfId="205" tableBorderDxfId="204">
  <autoFilter ref="A1:V26" xr:uid="{00000000-0009-0000-0100-000016000000}"/>
  <sortState xmlns:xlrd2="http://schemas.microsoft.com/office/spreadsheetml/2017/richdata2" ref="A2:V26">
    <sortCondition ref="A1:A26"/>
  </sortState>
  <tableColumns count="22">
    <tableColumn id="1" xr3:uid="{00000000-0010-0000-1500-000001000000}" name="S.NO" totalsRowLabel="TOTAL" totalsRowDxfId="203"/>
    <tableColumn id="2" xr3:uid="{00000000-0010-0000-1500-000002000000}" name="Customer Name" dataDxfId="202" totalsRowDxfId="201"/>
    <tableColumn id="4" xr3:uid="{00000000-0010-0000-1500-000004000000}" name="PAID" totalsRowFunction="custom" totalsRowDxfId="200">
      <calculatedColumnFormula array="1">_xlfn.IFS(ISNUMBER(SEARCH("G",muslismst[[#This Row],[JANUARY]])),"G",ISNUMBER(SEARCH("A",muslismst[[#This Row],[JANUARY]])),"A",muslismst[[#This Row],[JANUARY]]="","",muslismst[[#This Row],[JANUARY]]&gt;=100,"P")</calculatedColumnFormula>
      <totalsRowFormula>COUNTIF(C2:C26, "&gt;=a")</totalsRowFormula>
    </tableColumn>
    <tableColumn id="5" xr3:uid="{00000000-0010-0000-1500-000005000000}" name="Package" totalsRowFunction="count" dataDxfId="199" totalsRowDxfId="198"/>
    <tableColumn id="3" xr3:uid="{00000000-0010-0000-1500-000003000000}" name="Box No" totalsRowFunction="count" dataDxfId="197" totalsRowDxfId="196"/>
    <tableColumn id="6" xr3:uid="{00000000-0010-0000-1500-000006000000}" name="CAF_ID" totalsRowFunction="count" dataDxfId="195" totalsRowDxfId="194"/>
    <tableColumn id="12" xr3:uid="{00000000-0010-0000-1500-00000C000000}" name="Amount" dataDxfId="193" totalsRowDxfId="192"/>
    <tableColumn id="27" xr3:uid="{00000000-0010-0000-1500-00001B000000}" name="DEC-20" totalsRowFunction="sum" dataDxfId="191" totalsRowDxfId="190"/>
    <tableColumn id="7" xr3:uid="{00000000-0010-0000-1500-000007000000}" name="JANUARY" totalsRowFunction="sum" dataDxfId="189" totalsRowDxfId="188"/>
    <tableColumn id="9" xr3:uid="{00000000-0010-0000-1500-000009000000}" name="FEBEUARY" totalsRowFunction="sum" dataDxfId="187" totalsRowDxfId="186"/>
    <tableColumn id="11" xr3:uid="{00000000-0010-0000-1500-00000B000000}" name="MARCH" totalsRowFunction="sum" dataDxfId="185" totalsRowDxfId="184"/>
    <tableColumn id="13" xr3:uid="{00000000-0010-0000-1500-00000D000000}" name="APRIL" totalsRowFunction="sum" dataDxfId="183" totalsRowDxfId="182"/>
    <tableColumn id="15" xr3:uid="{00000000-0010-0000-1500-00000F000000}" name="MAY" totalsRowFunction="sum" dataDxfId="181" totalsRowDxfId="180"/>
    <tableColumn id="17" xr3:uid="{00000000-0010-0000-1500-000011000000}" name="JUNE" totalsRowFunction="sum" dataDxfId="179" totalsRowDxfId="178"/>
    <tableColumn id="19" xr3:uid="{00000000-0010-0000-1500-000013000000}" name="JULY" totalsRowFunction="sum" dataDxfId="177" totalsRowDxfId="176"/>
    <tableColumn id="21" xr3:uid="{00000000-0010-0000-1500-000015000000}" name="AUGUST" totalsRowFunction="sum" dataDxfId="175" totalsRowDxfId="174"/>
    <tableColumn id="10" xr3:uid="{00000000-0010-0000-1500-00000A000000}" name="SEPTEMBER" totalsRowFunction="sum" dataDxfId="173" totalsRowDxfId="172"/>
    <tableColumn id="23" xr3:uid="{00000000-0010-0000-1500-000017000000}" name="OCTOBER" totalsRowFunction="sum" dataDxfId="171" totalsRowDxfId="170"/>
    <tableColumn id="25" xr3:uid="{00000000-0010-0000-1500-000019000000}" name="NOVEMBER" totalsRowFunction="sum" dataDxfId="169" totalsRowDxfId="168"/>
    <tableColumn id="14" xr3:uid="{00000000-0010-0000-1500-00000E000000}" name="DECEMBER" dataDxfId="167" totalsRowDxfId="166"/>
    <tableColumn id="29" xr3:uid="{00000000-0010-0000-1500-00001D000000}" name="BALANCE" totalsRowFunction="sum" dataDxfId="165" totalsRowDxfId="164"/>
    <tableColumn id="8" xr3:uid="{00000000-0010-0000-1500-000008000000}" name="COMMENTS" dataDxfId="163" totalsRowDxfId="162"/>
  </tableColumns>
  <tableStyleInfo name="TableStyleMedium1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govtbox" displayName="govtbox" ref="A1:U123" totalsRowCount="1">
  <autoFilter ref="A1:U122" xr:uid="{00000000-0009-0000-0100-000017000000}"/>
  <sortState xmlns:xlrd2="http://schemas.microsoft.com/office/spreadsheetml/2017/richdata2" ref="A2:U122">
    <sortCondition ref="A1:A122"/>
  </sortState>
  <tableColumns count="21">
    <tableColumn id="1" xr3:uid="{00000000-0010-0000-1600-000001000000}" name="S.NO" totalsRowLabel="Total"/>
    <tableColumn id="2" xr3:uid="{00000000-0010-0000-1600-000002000000}" name="Customer Name"/>
    <tableColumn id="3" xr3:uid="{00000000-0010-0000-1600-000003000000}" name="PAID">
      <calculatedColumnFormula array="1">_xlfn.IFS(ISNUMBER(SEARCH("G",govtbox[[#This Row],[JANUARY]])),"G",ISNUMBER(SEARCH("A",govtbox[[#This Row],[JANUARY]])),"A",govtbox[[#This Row],[JANUARY]]="","",govtbox[[#This Row],[JANUARY]]&gt;=100,"P")</calculatedColumnFormula>
    </tableColumn>
    <tableColumn id="4" xr3:uid="{00000000-0010-0000-1600-000004000000}" name="Box No" totalsRowFunction="count" dataDxfId="159"/>
    <tableColumn id="5" xr3:uid="{00000000-0010-0000-1600-000005000000}" name="CAFID" totalsRowFunction="count" dataDxfId="158" totalsRowDxfId="157"/>
    <tableColumn id="29" xr3:uid="{00000000-0010-0000-1600-00001D000000}" name="Old no" dataDxfId="156" totalsRowDxfId="155"/>
    <tableColumn id="26" xr3:uid="{00000000-0010-0000-1600-00001A000000}" name="Dec-20" totalsRowFunction="sum" dataDxfId="154" totalsRowDxfId="153"/>
    <tableColumn id="6" xr3:uid="{00000000-0010-0000-1600-000006000000}" name="JANUARY" totalsRowFunction="sum" dataDxfId="152" totalsRowDxfId="151"/>
    <tableColumn id="8" xr3:uid="{00000000-0010-0000-1600-000008000000}" name="FEBEUARY" totalsRowFunction="sum" dataDxfId="150" totalsRowDxfId="149"/>
    <tableColumn id="10" xr3:uid="{00000000-0010-0000-1600-00000A000000}" name="MARCH" totalsRowFunction="sum" dataDxfId="148" totalsRowDxfId="147"/>
    <tableColumn id="12" xr3:uid="{00000000-0010-0000-1600-00000C000000}" name="APRIL" totalsRowFunction="sum" dataDxfId="146" totalsRowDxfId="145"/>
    <tableColumn id="14" xr3:uid="{00000000-0010-0000-1600-00000E000000}" name="MAY" totalsRowFunction="sum" dataDxfId="144" totalsRowDxfId="143"/>
    <tableColumn id="16" xr3:uid="{00000000-0010-0000-1600-000010000000}" name="JUNE" totalsRowFunction="sum" dataDxfId="142" totalsRowDxfId="141"/>
    <tableColumn id="18" xr3:uid="{00000000-0010-0000-1600-000012000000}" name="JULY" totalsRowFunction="sum" dataDxfId="140" totalsRowDxfId="139"/>
    <tableColumn id="20" xr3:uid="{00000000-0010-0000-1600-000014000000}" name="AUGUST" totalsRowFunction="sum" dataDxfId="138" totalsRowDxfId="137"/>
    <tableColumn id="9" xr3:uid="{00000000-0010-0000-1600-000009000000}" name="SEPTEMBER" totalsRowFunction="sum" dataDxfId="136" totalsRowDxfId="135"/>
    <tableColumn id="22" xr3:uid="{00000000-0010-0000-1600-000016000000}" name="OCTOBER" totalsRowFunction="sum" dataDxfId="134" totalsRowDxfId="133"/>
    <tableColumn id="24" xr3:uid="{00000000-0010-0000-1600-000018000000}" name="NOVEMBER" totalsRowFunction="sum" dataDxfId="132" totalsRowDxfId="131"/>
    <tableColumn id="13" xr3:uid="{00000000-0010-0000-1600-00000D000000}" name="DECEMBER" dataDxfId="130" totalsRowDxfId="129"/>
    <tableColumn id="28" xr3:uid="{00000000-0010-0000-1600-00001C000000}" name="BALANCE" totalsRowFunction="sum" dataDxfId="128" totalsRowDxfId="127"/>
    <tableColumn id="7" xr3:uid="{00000000-0010-0000-1600-000007000000}" name="COMMENTS" dataDxfId="126" totalsRowDxfId="125"/>
  </tableColumns>
  <tableStyleInfo name="TableStyleMedium1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e28" displayName="Table28" ref="A1:B2" insertRow="1" totalsRowShown="0">
  <autoFilter ref="A1:B2" xr:uid="{00000000-0009-0000-0100-000018000000}"/>
  <tableColumns count="2">
    <tableColumn id="1" xr3:uid="{00000000-0010-0000-1700-000001000000}" name="ActiveLists"/>
    <tableColumn id="2" xr3:uid="{00000000-0010-0000-1700-000002000000}" name="Paid Lists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Table26" displayName="Table26" ref="A1:O24" totalsRowCount="1">
  <autoFilter ref="A1:O23" xr:uid="{00000000-0009-0000-0100-000019000000}"/>
  <sortState xmlns:xlrd2="http://schemas.microsoft.com/office/spreadsheetml/2017/richdata2" ref="A2:N23">
    <sortCondition ref="A1:A23"/>
  </sortState>
  <tableColumns count="15">
    <tableColumn id="1" xr3:uid="{00000000-0010-0000-1800-000001000000}" name="S.NO" totalsRowLabel="Total" totalsRowDxfId="117"/>
    <tableColumn id="2" xr3:uid="{00000000-0010-0000-1800-000002000000}" name="AREA/STREET NAME" dataDxfId="116"/>
    <tableColumn id="3" xr3:uid="{00000000-0010-0000-1800-000003000000}" name="JANUARY" totalsRowFunction="sum" dataDxfId="115" totalsRowDxfId="114"/>
    <tableColumn id="4" xr3:uid="{00000000-0010-0000-1800-000004000000}" name="FEBUARY" dataDxfId="113" totalsRowDxfId="112"/>
    <tableColumn id="5" xr3:uid="{00000000-0010-0000-1800-000005000000}" name="MARCH" dataDxfId="111" totalsRowDxfId="110"/>
    <tableColumn id="6" xr3:uid="{00000000-0010-0000-1800-000006000000}" name="APRIL" dataDxfId="109" totalsRowDxfId="108"/>
    <tableColumn id="7" xr3:uid="{00000000-0010-0000-1800-000007000000}" name="MAY" dataDxfId="107" totalsRowDxfId="106"/>
    <tableColumn id="8" xr3:uid="{00000000-0010-0000-1800-000008000000}" name="JUNE" dataDxfId="105" totalsRowDxfId="104"/>
    <tableColumn id="9" xr3:uid="{00000000-0010-0000-1800-000009000000}" name="JULY" totalsRowFunction="sum" dataDxfId="103" totalsRowDxfId="102"/>
    <tableColumn id="10" xr3:uid="{00000000-0010-0000-1800-00000A000000}" name="AUGUST" totalsRowFunction="sum" dataDxfId="101" totalsRowDxfId="100"/>
    <tableColumn id="11" xr3:uid="{00000000-0010-0000-1800-00000B000000}" name="SEPTEMBER" totalsRowFunction="sum" dataDxfId="99" totalsRowDxfId="98"/>
    <tableColumn id="12" xr3:uid="{00000000-0010-0000-1800-00000C000000}" name="OCTOBER" totalsRowFunction="sum" dataDxfId="97" totalsRowDxfId="96"/>
    <tableColumn id="13" xr3:uid="{00000000-0010-0000-1800-00000D000000}" name="NOVEMBER" totalsRowFunction="sum" dataDxfId="95" totalsRowDxfId="94"/>
    <tableColumn id="14" xr3:uid="{00000000-0010-0000-1800-00000E000000}" name="DECEMBER" totalsRowFunction="sum" dataDxfId="93" totalsRowDxfId="92"/>
    <tableColumn id="15" xr3:uid="{00000000-0010-0000-1800-00000F000000}" name="Unknown" totalsRowFunction="sum" dataDxfId="91" totalsRowDxfId="90">
      <calculatedColumnFormula>SUM(Table27[[#This Row],[ACTIVE LIST]]-Table27[[#This Row],[Total]])</calculatedColumnFormula>
    </tableColumn>
  </tableColumns>
  <tableStyleInfo name="TableStyleMedium20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Table27" displayName="Table27" ref="P1:U24" totalsRowCount="1" headerRowDxfId="89" dataDxfId="88" totalsRowDxfId="87">
  <autoFilter ref="P1:U23" xr:uid="{00000000-0009-0000-0100-00001A000000}"/>
  <tableColumns count="6">
    <tableColumn id="1" xr3:uid="{00000000-0010-0000-1900-000001000000}" name="ACTIVE LIST" totalsRowFunction="sum" dataDxfId="86" totalsRowDxfId="85"/>
    <tableColumn id="2" xr3:uid="{00000000-0010-0000-1900-000002000000}" name="PAID" totalsRowFunction="sum" dataDxfId="84" totalsRowDxfId="83"/>
    <tableColumn id="3" xr3:uid="{00000000-0010-0000-1900-000003000000}" name="MURUGAN" totalsRowFunction="custom" dataDxfId="82" totalsRowDxfId="81">
      <totalsRowFormula>SUM(R2:R22)</totalsRowFormula>
    </tableColumn>
    <tableColumn id="5" xr3:uid="{00000000-0010-0000-1900-000005000000}" name="Appa" totalsRowFunction="sum" dataDxfId="80" totalsRowDxfId="79"/>
    <tableColumn id="6" xr3:uid="{00000000-0010-0000-1900-000006000000}" name="Equal/Not" dataDxfId="78" totalsRowDxfId="77"/>
    <tableColumn id="4" xr3:uid="{00000000-0010-0000-1900-000004000000}" name="Total" totalsRowFunction="sum" dataDxfId="76" totalsRowDxfId="75"/>
  </tableColumns>
  <tableStyleInfo name="TableStyleMedium18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Table42" displayName="Table42" ref="A2:AJ25" totalsRowCount="1" headerRowDxfId="74" dataDxfId="73" totalsRowDxfId="72">
  <autoFilter ref="A2:AJ24" xr:uid="{00000000-0009-0000-0100-00001B000000}"/>
  <tableColumns count="36">
    <tableColumn id="1" xr3:uid="{00000000-0010-0000-1A00-000001000000}" name="Date" totalsRowLabel="Total" dataDxfId="71" totalsRowDxfId="70"/>
    <tableColumn id="2" xr3:uid="{00000000-0010-0000-1A00-000002000000}" name="Amount" totalsRowFunction="sum" dataDxfId="69" totalsRowDxfId="68"/>
    <tableColumn id="3" xr3:uid="{00000000-0010-0000-1A00-000003000000}" name="Salary" totalsRowFunction="sum" dataDxfId="67" totalsRowDxfId="66"/>
    <tableColumn id="4" xr3:uid="{00000000-0010-0000-1A00-000004000000}" name="Date2" totalsRowLabel="Total" dataDxfId="65" totalsRowDxfId="64"/>
    <tableColumn id="5" xr3:uid="{00000000-0010-0000-1A00-000005000000}" name="Amount2" totalsRowFunction="sum" dataDxfId="63" totalsRowDxfId="62"/>
    <tableColumn id="6" xr3:uid="{00000000-0010-0000-1A00-000006000000}" name="Salary2" totalsRowFunction="sum" dataDxfId="61" totalsRowDxfId="60"/>
    <tableColumn id="7" xr3:uid="{00000000-0010-0000-1A00-000007000000}" name="Date3" totalsRowLabel="Total" dataDxfId="59" totalsRowDxfId="58"/>
    <tableColumn id="8" xr3:uid="{00000000-0010-0000-1A00-000008000000}" name="Amount3" totalsRowFunction="sum" dataDxfId="57" totalsRowDxfId="56"/>
    <tableColumn id="9" xr3:uid="{00000000-0010-0000-1A00-000009000000}" name="Salary3" totalsRowFunction="sum" dataDxfId="55" totalsRowDxfId="54"/>
    <tableColumn id="10" xr3:uid="{00000000-0010-0000-1A00-00000A000000}" name="Date4" totalsRowLabel="Total" dataDxfId="53" totalsRowDxfId="52"/>
    <tableColumn id="11" xr3:uid="{00000000-0010-0000-1A00-00000B000000}" name="Amount4" totalsRowFunction="sum" dataDxfId="51" totalsRowDxfId="50"/>
    <tableColumn id="12" xr3:uid="{00000000-0010-0000-1A00-00000C000000}" name="Salary4" totalsRowFunction="sum" dataDxfId="49" totalsRowDxfId="48"/>
    <tableColumn id="13" xr3:uid="{00000000-0010-0000-1A00-00000D000000}" name="Date5" totalsRowLabel="Total" dataDxfId="47" totalsRowDxfId="46"/>
    <tableColumn id="14" xr3:uid="{00000000-0010-0000-1A00-00000E000000}" name="Amount5" totalsRowFunction="sum" dataDxfId="45" totalsRowDxfId="44"/>
    <tableColumn id="15" xr3:uid="{00000000-0010-0000-1A00-00000F000000}" name="Salary5" totalsRowFunction="sum" dataDxfId="43" totalsRowDxfId="42"/>
    <tableColumn id="16" xr3:uid="{00000000-0010-0000-1A00-000010000000}" name="Date6" totalsRowLabel="Total" dataDxfId="41" totalsRowDxfId="40"/>
    <tableColumn id="17" xr3:uid="{00000000-0010-0000-1A00-000011000000}" name="Amount6" totalsRowFunction="sum" dataDxfId="39" totalsRowDxfId="38"/>
    <tableColumn id="18" xr3:uid="{00000000-0010-0000-1A00-000012000000}" name="Salary6" totalsRowFunction="sum" dataDxfId="37" totalsRowDxfId="36"/>
    <tableColumn id="19" xr3:uid="{00000000-0010-0000-1A00-000013000000}" name="Date7" totalsRowLabel="Total" dataDxfId="35" totalsRowDxfId="34"/>
    <tableColumn id="20" xr3:uid="{00000000-0010-0000-1A00-000014000000}" name="Amount7" totalsRowFunction="sum" dataDxfId="33" totalsRowDxfId="32"/>
    <tableColumn id="21" xr3:uid="{00000000-0010-0000-1A00-000015000000}" name="Salary7" totalsRowFunction="sum" dataDxfId="31" totalsRowDxfId="30"/>
    <tableColumn id="22" xr3:uid="{00000000-0010-0000-1A00-000016000000}" name="Date8" totalsRowLabel="Total" dataDxfId="29" totalsRowDxfId="28"/>
    <tableColumn id="23" xr3:uid="{00000000-0010-0000-1A00-000017000000}" name="Amount8" totalsRowFunction="sum" dataDxfId="27" totalsRowDxfId="26"/>
    <tableColumn id="24" xr3:uid="{00000000-0010-0000-1A00-000018000000}" name="Salary8" totalsRowFunction="sum" dataDxfId="25" totalsRowDxfId="24"/>
    <tableColumn id="25" xr3:uid="{00000000-0010-0000-1A00-000019000000}" name="Date9" totalsRowLabel="Total" dataDxfId="23" totalsRowDxfId="22"/>
    <tableColumn id="26" xr3:uid="{00000000-0010-0000-1A00-00001A000000}" name="Amount9" totalsRowFunction="sum" dataDxfId="21" totalsRowDxfId="20"/>
    <tableColumn id="27" xr3:uid="{00000000-0010-0000-1A00-00001B000000}" name="Salary9" totalsRowFunction="sum" dataDxfId="19" totalsRowDxfId="18"/>
    <tableColumn id="28" xr3:uid="{00000000-0010-0000-1A00-00001C000000}" name="Date10" totalsRowLabel="Total" dataDxfId="17" totalsRowDxfId="16"/>
    <tableColumn id="29" xr3:uid="{00000000-0010-0000-1A00-00001D000000}" name="Amount10" totalsRowFunction="sum" dataDxfId="15" totalsRowDxfId="14"/>
    <tableColumn id="30" xr3:uid="{00000000-0010-0000-1A00-00001E000000}" name="Salary10" totalsRowFunction="sum" dataDxfId="13" totalsRowDxfId="12"/>
    <tableColumn id="31" xr3:uid="{00000000-0010-0000-1A00-00001F000000}" name="Date11" totalsRowLabel="Total" dataDxfId="11" totalsRowDxfId="10"/>
    <tableColumn id="32" xr3:uid="{00000000-0010-0000-1A00-000020000000}" name="Amount11" totalsRowFunction="sum" dataDxfId="9" totalsRowDxfId="8"/>
    <tableColumn id="33" xr3:uid="{00000000-0010-0000-1A00-000021000000}" name="Salary11" totalsRowFunction="sum" dataDxfId="7" totalsRowDxfId="6"/>
    <tableColumn id="34" xr3:uid="{00000000-0010-0000-1A00-000022000000}" name="Date12" totalsRowLabel="Total" dataDxfId="5" totalsRowDxfId="4"/>
    <tableColumn id="35" xr3:uid="{00000000-0010-0000-1A00-000023000000}" name="Amount12" totalsRowFunction="sum" dataDxfId="3" totalsRowDxfId="2"/>
    <tableColumn id="36" xr3:uid="{00000000-0010-0000-1A00-000024000000}" name="Salary12" totalsRowFunction="sum" dataDxfId="1" totalsRow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table" Target="../tables/table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table" Target="../tables/table15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table" Target="../tables/table16.xml"/><Relationship Id="rId1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table" Target="../tables/table20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table" Target="../tables/table22.xml"/><Relationship Id="rId1" Type="http://schemas.openxmlformats.org/officeDocument/2006/relationships/vmlDrawing" Target="../drawings/vmlDrawing19.v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table" Target="../tables/table27.xml"/><Relationship Id="rId1" Type="http://schemas.openxmlformats.org/officeDocument/2006/relationships/vmlDrawing" Target="../drawings/vmlDrawing2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107"/>
  <sheetViews>
    <sheetView topLeftCell="A57" zoomScale="115" zoomScaleNormal="115" workbookViewId="0">
      <selection activeCell="G67" sqref="G67"/>
    </sheetView>
  </sheetViews>
  <sheetFormatPr defaultColWidth="8.85546875" defaultRowHeight="15" x14ac:dyDescent="0.25"/>
  <cols>
    <col min="1" max="1" width="5.7109375" style="87" customWidth="1"/>
    <col min="2" max="2" width="22.140625" style="87" customWidth="1"/>
    <col min="3" max="3" width="7.140625" style="87" customWidth="1"/>
    <col min="4" max="4" width="30.28515625" style="80" customWidth="1"/>
    <col min="5" max="5" width="20.7109375" style="87" customWidth="1"/>
    <col min="6" max="6" width="10.85546875" style="87" customWidth="1"/>
    <col min="7" max="7" width="9.85546875" style="84" customWidth="1"/>
    <col min="8" max="8" width="11.5703125" style="84" customWidth="1"/>
    <col min="9" max="18" width="11.85546875" style="83" customWidth="1"/>
    <col min="19" max="20" width="11.85546875" style="61" customWidth="1"/>
    <col min="21" max="21" width="12.7109375" style="87" customWidth="1"/>
    <col min="22" max="22" width="35.5703125" style="87" customWidth="1"/>
    <col min="23" max="72" width="8.85546875" style="87" customWidth="1"/>
    <col min="73" max="16384" width="8.85546875" style="87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1" t="s">
        <v>8</v>
      </c>
      <c r="I1" s="84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84" t="s">
        <v>21</v>
      </c>
    </row>
    <row r="2" spans="1:22" ht="15.75" customHeight="1" x14ac:dyDescent="0.25">
      <c r="A2">
        <v>1</v>
      </c>
      <c r="B2" t="s">
        <v>22</v>
      </c>
      <c r="C2" t="str">
        <f t="array" ref="C2">_xlfn.IFS(ISNUMBER(SEARCH("M",vallur1[[#This Row],[JANUARY]])),"M",ISNUMBER(SEARCH("A",vallur1[[#This Row],[JANUARY]])),"A",vallur1[[#This Row],[JANUARY]]="","",vallur1[[#This Row],[JANUARY]]&gt;=100,"P")</f>
        <v>P</v>
      </c>
      <c r="D2" t="s">
        <v>23</v>
      </c>
      <c r="E2" s="85" t="s">
        <v>24</v>
      </c>
      <c r="F2" s="85" t="s">
        <v>25</v>
      </c>
      <c r="G2" s="81"/>
      <c r="H2" s="83">
        <v>200</v>
      </c>
      <c r="I2" s="82">
        <v>200</v>
      </c>
      <c r="J2" s="83">
        <v>200</v>
      </c>
      <c r="S2" s="83"/>
      <c r="T2" s="83"/>
      <c r="U2" s="83"/>
      <c r="V2" s="84"/>
    </row>
    <row r="3" spans="1:22" ht="15.75" customHeight="1" x14ac:dyDescent="0.25">
      <c r="A3">
        <v>2</v>
      </c>
      <c r="B3" t="s">
        <v>26</v>
      </c>
      <c r="C3" t="str">
        <f t="array" ref="C3">_xlfn.IFS(ISNUMBER(SEARCH("M",vallur1[[#This Row],[JANUARY]])),"M",ISNUMBER(SEARCH("A",vallur1[[#This Row],[JANUARY]])),"A",vallur1[[#This Row],[JANUARY]]="","",vallur1[[#This Row],[JANUARY]]&gt;=100,"P")</f>
        <v/>
      </c>
      <c r="E3" s="85" t="s">
        <v>27</v>
      </c>
      <c r="F3" s="85" t="s">
        <v>28</v>
      </c>
      <c r="G3" s="81"/>
      <c r="H3" s="83"/>
      <c r="I3" s="82"/>
      <c r="S3" s="83"/>
      <c r="T3" s="83"/>
      <c r="U3" s="83"/>
      <c r="V3" s="84"/>
    </row>
    <row r="4" spans="1:22" ht="15.75" customHeight="1" x14ac:dyDescent="0.25">
      <c r="A4">
        <v>3</v>
      </c>
      <c r="B4" t="s">
        <v>29</v>
      </c>
      <c r="C4" t="str">
        <f t="array" ref="C4">_xlfn.IFS(ISNUMBER(SEARCH("M",vallur1[[#This Row],[JANUARY]])),"M",ISNUMBER(SEARCH("A",vallur1[[#This Row],[JANUARY]])),"A",vallur1[[#This Row],[JANUARY]]="","",vallur1[[#This Row],[JANUARY]]&gt;=100,"P")</f>
        <v>P</v>
      </c>
      <c r="D4" t="s">
        <v>30</v>
      </c>
      <c r="E4" s="85" t="s">
        <v>31</v>
      </c>
      <c r="F4" s="85" t="s">
        <v>32</v>
      </c>
      <c r="G4" s="42"/>
      <c r="H4" s="83">
        <v>210</v>
      </c>
      <c r="I4" s="82"/>
      <c r="J4" s="83">
        <v>230</v>
      </c>
      <c r="S4" s="83"/>
      <c r="T4" s="83"/>
      <c r="U4" s="83"/>
      <c r="V4" s="84"/>
    </row>
    <row r="5" spans="1:22" ht="15.75" customHeight="1" x14ac:dyDescent="0.25">
      <c r="A5">
        <v>4</v>
      </c>
      <c r="B5" t="s">
        <v>33</v>
      </c>
      <c r="C5" t="str">
        <f t="array" ref="C5">_xlfn.IFS(ISNUMBER(SEARCH("M",vallur1[[#This Row],[JANUARY]])),"M",ISNUMBER(SEARCH("A",vallur1[[#This Row],[JANUARY]])),"A",vallur1[[#This Row],[JANUARY]]="","",vallur1[[#This Row],[JANUARY]]&gt;=100,"P")</f>
        <v>P</v>
      </c>
      <c r="D5" t="s">
        <v>23</v>
      </c>
      <c r="E5" s="85" t="s">
        <v>34</v>
      </c>
      <c r="F5" s="85" t="s">
        <v>35</v>
      </c>
      <c r="G5" s="81"/>
      <c r="H5" s="83">
        <v>200</v>
      </c>
      <c r="I5" s="82"/>
      <c r="J5" s="83">
        <v>200</v>
      </c>
      <c r="S5" s="83"/>
      <c r="T5" s="83"/>
      <c r="U5" s="83"/>
      <c r="V5" s="84"/>
    </row>
    <row r="6" spans="1:22" ht="15.75" customHeight="1" x14ac:dyDescent="0.25">
      <c r="A6">
        <v>5</v>
      </c>
      <c r="B6" t="s">
        <v>2590</v>
      </c>
      <c r="C6" t="str">
        <f t="array" ref="C6">_xlfn.IFS(ISNUMBER(SEARCH("M",vallur1[[#This Row],[JANUARY]])),"M",ISNUMBER(SEARCH("A",vallur1[[#This Row],[JANUARY]])),"A",vallur1[[#This Row],[JANUARY]]="","",vallur1[[#This Row],[JANUARY]]&gt;=100,"P")</f>
        <v>P</v>
      </c>
      <c r="D6" t="s">
        <v>36</v>
      </c>
      <c r="E6" s="85" t="s">
        <v>37</v>
      </c>
      <c r="F6" s="85" t="s">
        <v>38</v>
      </c>
      <c r="G6" s="81"/>
      <c r="H6" s="83">
        <v>220</v>
      </c>
      <c r="I6" s="82"/>
      <c r="J6" s="83">
        <v>220</v>
      </c>
      <c r="S6" s="83"/>
      <c r="T6" s="83"/>
      <c r="U6" s="83"/>
      <c r="V6" s="84"/>
    </row>
    <row r="7" spans="1:22" ht="15.75" customHeight="1" x14ac:dyDescent="0.25">
      <c r="A7">
        <v>6</v>
      </c>
      <c r="B7" t="s">
        <v>39</v>
      </c>
      <c r="C7" t="str">
        <f t="array" ref="C7">_xlfn.IFS(ISNUMBER(SEARCH("M",vallur1[[#This Row],[JANUARY]])),"M",ISNUMBER(SEARCH("A",vallur1[[#This Row],[JANUARY]])),"A",vallur1[[#This Row],[JANUARY]]="","",vallur1[[#This Row],[JANUARY]]&gt;=100,"P")</f>
        <v>P</v>
      </c>
      <c r="D7" t="s">
        <v>30</v>
      </c>
      <c r="E7" s="85" t="s">
        <v>40</v>
      </c>
      <c r="F7" s="85" t="s">
        <v>41</v>
      </c>
      <c r="G7" s="81"/>
      <c r="H7" s="83">
        <v>220</v>
      </c>
      <c r="I7" s="82"/>
      <c r="J7" s="83">
        <v>220</v>
      </c>
      <c r="S7" s="83"/>
      <c r="T7" s="83"/>
      <c r="U7" s="83"/>
      <c r="V7" s="84"/>
    </row>
    <row r="8" spans="1:22" ht="15.75" customHeight="1" x14ac:dyDescent="0.25">
      <c r="A8">
        <v>7</v>
      </c>
      <c r="B8" t="s">
        <v>42</v>
      </c>
      <c r="C8" t="str">
        <f t="array" ref="C8">_xlfn.IFS(ISNUMBER(SEARCH("M",vallur1[[#This Row],[JANUARY]])),"M",ISNUMBER(SEARCH("A",vallur1[[#This Row],[JANUARY]])),"A",vallur1[[#This Row],[JANUARY]]="","",vallur1[[#This Row],[JANUARY]]&gt;=100,"P")</f>
        <v>P</v>
      </c>
      <c r="D8" t="s">
        <v>30</v>
      </c>
      <c r="E8" s="85" t="s">
        <v>43</v>
      </c>
      <c r="F8" s="85" t="s">
        <v>44</v>
      </c>
      <c r="G8" s="81"/>
      <c r="H8" s="83" t="s">
        <v>45</v>
      </c>
      <c r="I8" s="82"/>
      <c r="J8" s="83">
        <v>200</v>
      </c>
      <c r="S8" s="83"/>
      <c r="T8" s="83"/>
      <c r="U8" s="83"/>
      <c r="V8" s="84"/>
    </row>
    <row r="9" spans="1:22" s="91" customFormat="1" ht="15.75" customHeight="1" x14ac:dyDescent="0.25">
      <c r="A9" s="91">
        <v>8</v>
      </c>
      <c r="B9" s="91" t="s">
        <v>46</v>
      </c>
      <c r="C9" s="91" t="str">
        <f t="array" ref="C9">_xlfn.IFS(ISNUMBER(SEARCH("M",vallur1[[#This Row],[JANUARY]])),"M",ISNUMBER(SEARCH("A",vallur1[[#This Row],[JANUARY]])),"A",vallur1[[#This Row],[JANUARY]]="","",vallur1[[#This Row],[JANUARY]]&gt;=100,"P")</f>
        <v>P</v>
      </c>
      <c r="D9" s="91" t="s">
        <v>23</v>
      </c>
      <c r="E9" s="91" t="s">
        <v>47</v>
      </c>
      <c r="F9" s="91" t="s">
        <v>48</v>
      </c>
      <c r="H9" s="95">
        <v>200</v>
      </c>
      <c r="J9" s="95">
        <v>200</v>
      </c>
    </row>
    <row r="10" spans="1:22" ht="15.75" customHeight="1" x14ac:dyDescent="0.25">
      <c r="A10">
        <v>9</v>
      </c>
      <c r="B10" t="s">
        <v>50</v>
      </c>
      <c r="C10" t="str">
        <f t="array" ref="C10">_xlfn.IFS(ISNUMBER(SEARCH("M",vallur1[[#This Row],[JANUARY]])),"M",ISNUMBER(SEARCH("A",vallur1[[#This Row],[JANUARY]])),"A",vallur1[[#This Row],[JANUARY]]="","",vallur1[[#This Row],[JANUARY]]&gt;=100,"P")</f>
        <v>P</v>
      </c>
      <c r="D10" t="s">
        <v>51</v>
      </c>
      <c r="E10" s="85" t="s">
        <v>52</v>
      </c>
      <c r="F10" s="85" t="s">
        <v>53</v>
      </c>
      <c r="G10" s="81"/>
      <c r="H10" s="83" t="s">
        <v>54</v>
      </c>
      <c r="I10" s="82"/>
      <c r="J10" s="83" t="s">
        <v>54</v>
      </c>
      <c r="S10" s="83"/>
      <c r="T10" s="83"/>
      <c r="U10" s="83"/>
      <c r="V10" s="84"/>
    </row>
    <row r="11" spans="1:22" ht="15.75" customHeight="1" x14ac:dyDescent="0.25">
      <c r="A11">
        <v>10</v>
      </c>
      <c r="B11" t="s">
        <v>55</v>
      </c>
      <c r="C11" t="str">
        <f t="array" ref="C11">_xlfn.IFS(ISNUMBER(SEARCH("M",vallur1[[#This Row],[JANUARY]])),"M",ISNUMBER(SEARCH("A",vallur1[[#This Row],[JANUARY]])),"A",vallur1[[#This Row],[JANUARY]]="","",vallur1[[#This Row],[JANUARY]]&gt;=100,"P")</f>
        <v>P</v>
      </c>
      <c r="D11" t="s">
        <v>51</v>
      </c>
      <c r="E11" s="85" t="s">
        <v>56</v>
      </c>
      <c r="F11" s="85" t="s">
        <v>57</v>
      </c>
      <c r="G11" s="81"/>
      <c r="H11" s="83">
        <v>200</v>
      </c>
      <c r="I11" s="82"/>
      <c r="J11" s="83">
        <v>200</v>
      </c>
      <c r="S11" s="83"/>
      <c r="T11" s="83"/>
      <c r="U11" s="83"/>
      <c r="V11" s="84"/>
    </row>
    <row r="12" spans="1:22" ht="15.75" customHeight="1" x14ac:dyDescent="0.25">
      <c r="A12">
        <v>11</v>
      </c>
      <c r="B12" t="s">
        <v>2591</v>
      </c>
      <c r="C12" t="str">
        <f t="array" ref="C12">_xlfn.IFS(ISNUMBER(SEARCH("M",vallur1[[#This Row],[JANUARY]])),"M",ISNUMBER(SEARCH("A",vallur1[[#This Row],[JANUARY]])),"A",vallur1[[#This Row],[JANUARY]]="","",vallur1[[#This Row],[JANUARY]]&gt;=100,"P")</f>
        <v>P</v>
      </c>
      <c r="D12" t="s">
        <v>51</v>
      </c>
      <c r="E12" s="85" t="s">
        <v>58</v>
      </c>
      <c r="F12" s="85" t="s">
        <v>59</v>
      </c>
      <c r="G12" s="81"/>
      <c r="H12" s="83">
        <v>200</v>
      </c>
      <c r="I12" s="82"/>
      <c r="J12" s="83">
        <v>200</v>
      </c>
      <c r="S12" s="83"/>
      <c r="T12" s="83"/>
      <c r="U12" s="83"/>
      <c r="V12" s="84"/>
    </row>
    <row r="13" spans="1:22" ht="15.75" customHeight="1" x14ac:dyDescent="0.25">
      <c r="A13">
        <v>12</v>
      </c>
      <c r="B13" t="s">
        <v>60</v>
      </c>
      <c r="C13" t="str">
        <f t="array" ref="C13">_xlfn.IFS(ISNUMBER(SEARCH("M",vallur1[[#This Row],[JANUARY]])),"M",ISNUMBER(SEARCH("A",vallur1[[#This Row],[JANUARY]])),"A",vallur1[[#This Row],[JANUARY]]="","",vallur1[[#This Row],[JANUARY]]&gt;=100,"P")</f>
        <v>P</v>
      </c>
      <c r="D13" t="s">
        <v>61</v>
      </c>
      <c r="E13" s="85" t="s">
        <v>62</v>
      </c>
      <c r="F13" s="85" t="s">
        <v>63</v>
      </c>
      <c r="G13" s="81"/>
      <c r="H13" s="83">
        <v>200</v>
      </c>
      <c r="I13" s="82"/>
      <c r="J13" s="83">
        <v>200</v>
      </c>
      <c r="S13" s="83"/>
      <c r="T13" s="83"/>
      <c r="U13" s="83"/>
      <c r="V13" s="84"/>
    </row>
    <row r="14" spans="1:22" ht="15.75" customHeight="1" x14ac:dyDescent="0.25">
      <c r="A14">
        <v>13</v>
      </c>
      <c r="B14" t="s">
        <v>64</v>
      </c>
      <c r="C14" t="str">
        <f t="array" ref="C14">_xlfn.IFS(ISNUMBER(SEARCH("M",vallur1[[#This Row],[JANUARY]])),"M",ISNUMBER(SEARCH("A",vallur1[[#This Row],[JANUARY]])),"A",vallur1[[#This Row],[JANUARY]]="","",vallur1[[#This Row],[JANUARY]]&gt;=100,"P")</f>
        <v>P</v>
      </c>
      <c r="D14" t="s">
        <v>51</v>
      </c>
      <c r="E14" s="85" t="s">
        <v>65</v>
      </c>
      <c r="F14" s="85" t="s">
        <v>66</v>
      </c>
      <c r="G14" s="81"/>
      <c r="H14" s="83">
        <v>200</v>
      </c>
      <c r="I14" s="24"/>
      <c r="J14" s="83">
        <v>200</v>
      </c>
      <c r="S14" s="83"/>
      <c r="T14" s="83"/>
      <c r="U14" s="83"/>
      <c r="V14" s="84"/>
    </row>
    <row r="15" spans="1:22" ht="15.75" customHeight="1" x14ac:dyDescent="0.25">
      <c r="A15">
        <v>14</v>
      </c>
      <c r="B15" t="s">
        <v>67</v>
      </c>
      <c r="C15" t="str">
        <f t="array" ref="C15">_xlfn.IFS(ISNUMBER(SEARCH("M",vallur1[[#This Row],[JANUARY]])),"M",ISNUMBER(SEARCH("A",vallur1[[#This Row],[JANUARY]])),"A",vallur1[[#This Row],[JANUARY]]="","",vallur1[[#This Row],[JANUARY]]&gt;=100,"P")</f>
        <v>P</v>
      </c>
      <c r="D15" t="s">
        <v>30</v>
      </c>
      <c r="E15" s="85" t="s">
        <v>68</v>
      </c>
      <c r="F15" s="85" t="s">
        <v>69</v>
      </c>
      <c r="G15" s="81"/>
      <c r="H15" s="83">
        <v>220</v>
      </c>
      <c r="I15" s="82"/>
      <c r="J15" s="83">
        <v>220</v>
      </c>
      <c r="S15" s="83"/>
      <c r="T15" s="83"/>
      <c r="U15" s="83"/>
      <c r="V15" s="84"/>
    </row>
    <row r="16" spans="1:22" ht="15.75" customHeight="1" x14ac:dyDescent="0.25">
      <c r="A16">
        <v>15</v>
      </c>
      <c r="B16" t="s">
        <v>70</v>
      </c>
      <c r="C16" t="str">
        <f t="array" ref="C16">_xlfn.IFS(ISNUMBER(SEARCH("M",vallur1[[#This Row],[JANUARY]])),"M",ISNUMBER(SEARCH("A",vallur1[[#This Row],[JANUARY]])),"A",vallur1[[#This Row],[JANUARY]]="","",vallur1[[#This Row],[JANUARY]]&gt;=100,"P")</f>
        <v>P</v>
      </c>
      <c r="D16" t="s">
        <v>23</v>
      </c>
      <c r="E16" s="85" t="s">
        <v>71</v>
      </c>
      <c r="F16" s="85" t="s">
        <v>72</v>
      </c>
      <c r="G16" s="81"/>
      <c r="H16" s="83"/>
      <c r="I16" s="82"/>
      <c r="J16" s="83">
        <v>200</v>
      </c>
      <c r="S16" s="83"/>
      <c r="T16" s="83"/>
      <c r="U16" s="83"/>
      <c r="V16" s="84"/>
    </row>
    <row r="17" spans="1:22" ht="15.75" customHeight="1" x14ac:dyDescent="0.25">
      <c r="A17">
        <v>16</v>
      </c>
      <c r="B17" t="s">
        <v>73</v>
      </c>
      <c r="C17" t="str">
        <f t="array" ref="C17">_xlfn.IFS(ISNUMBER(SEARCH("M",vallur1[[#This Row],[JANUARY]])),"M",ISNUMBER(SEARCH("A",vallur1[[#This Row],[JANUARY]])),"A",vallur1[[#This Row],[JANUARY]]="","",vallur1[[#This Row],[JANUARY]]&gt;=100,"P")</f>
        <v>P</v>
      </c>
      <c r="D17" t="s">
        <v>23</v>
      </c>
      <c r="E17" s="85" t="s">
        <v>74</v>
      </c>
      <c r="F17" s="85" t="s">
        <v>75</v>
      </c>
      <c r="G17" s="81"/>
      <c r="H17" s="83">
        <v>200</v>
      </c>
      <c r="I17" s="82"/>
      <c r="J17" s="83">
        <v>200</v>
      </c>
      <c r="S17" s="83"/>
      <c r="T17" s="83"/>
      <c r="U17" s="83"/>
      <c r="V17" s="84"/>
    </row>
    <row r="18" spans="1:22" ht="15.75" customHeight="1" x14ac:dyDescent="0.25">
      <c r="A18">
        <v>17</v>
      </c>
      <c r="B18" t="s">
        <v>76</v>
      </c>
      <c r="C18" t="str">
        <f t="array" ref="C18">_xlfn.IFS(ISNUMBER(SEARCH("M",vallur1[[#This Row],[JANUARY]])),"M",ISNUMBER(SEARCH("A",vallur1[[#This Row],[JANUARY]])),"A",vallur1[[#This Row],[JANUARY]]="","",vallur1[[#This Row],[JANUARY]]&gt;=100,"P")</f>
        <v>P</v>
      </c>
      <c r="D18" t="s">
        <v>36</v>
      </c>
      <c r="E18" s="85" t="s">
        <v>77</v>
      </c>
      <c r="F18" s="85" t="s">
        <v>78</v>
      </c>
      <c r="G18" s="81"/>
      <c r="H18" s="83">
        <v>250</v>
      </c>
      <c r="I18" s="25">
        <v>200</v>
      </c>
      <c r="J18" s="83">
        <v>200</v>
      </c>
      <c r="S18" s="83"/>
      <c r="T18" s="83"/>
      <c r="U18" s="83"/>
      <c r="V18" s="84"/>
    </row>
    <row r="19" spans="1:22" s="22" customFormat="1" ht="15.75" customHeight="1" x14ac:dyDescent="0.25">
      <c r="A19" s="22">
        <v>18</v>
      </c>
      <c r="B19" s="22" t="s">
        <v>79</v>
      </c>
      <c r="C19" s="22" t="str">
        <f t="array" ref="C19">_xlfn.IFS(ISNUMBER(SEARCH("M",vallur1[[#This Row],[JANUARY]])),"M",ISNUMBER(SEARCH("A",vallur1[[#This Row],[JANUARY]])),"A",vallur1[[#This Row],[JANUARY]]="","",vallur1[[#This Row],[JANUARY]]&gt;=100,"P")</f>
        <v/>
      </c>
      <c r="H19" s="55" t="s">
        <v>80</v>
      </c>
    </row>
    <row r="20" spans="1:22" s="91" customFormat="1" ht="15.75" customHeight="1" x14ac:dyDescent="0.25">
      <c r="A20" s="91">
        <v>19</v>
      </c>
      <c r="B20" s="91" t="s">
        <v>81</v>
      </c>
      <c r="C20" s="91" t="str">
        <f t="array" ref="C20">_xlfn.IFS(ISNUMBER(SEARCH("M",vallur1[[#This Row],[JANUARY]])),"M",ISNUMBER(SEARCH("A",vallur1[[#This Row],[JANUARY]])),"A",vallur1[[#This Row],[JANUARY]]="","",vallur1[[#This Row],[JANUARY]]&gt;=100,"P")</f>
        <v>P</v>
      </c>
      <c r="D20" s="91" t="s">
        <v>36</v>
      </c>
      <c r="E20" s="91" t="s">
        <v>82</v>
      </c>
      <c r="F20" s="91" t="s">
        <v>83</v>
      </c>
      <c r="H20" s="95">
        <v>200</v>
      </c>
      <c r="J20" s="95">
        <v>200</v>
      </c>
    </row>
    <row r="21" spans="1:22" ht="15.75" customHeight="1" x14ac:dyDescent="0.25">
      <c r="A21">
        <v>20</v>
      </c>
      <c r="B21" t="s">
        <v>84</v>
      </c>
      <c r="C21" t="str">
        <f t="array" ref="C21">_xlfn.IFS(ISNUMBER(SEARCH("M",vallur1[[#This Row],[JANUARY]])),"M",ISNUMBER(SEARCH("A",vallur1[[#This Row],[JANUARY]])),"A",vallur1[[#This Row],[JANUARY]]="","",vallur1[[#This Row],[JANUARY]]&gt;=100,"P")</f>
        <v>P</v>
      </c>
      <c r="D21" s="80" t="s">
        <v>51</v>
      </c>
      <c r="E21" s="85" t="s">
        <v>85</v>
      </c>
      <c r="F21" s="85" t="s">
        <v>86</v>
      </c>
      <c r="G21" s="81"/>
      <c r="H21" s="83" t="s">
        <v>80</v>
      </c>
      <c r="I21" s="82"/>
      <c r="J21" s="83" t="s">
        <v>2565</v>
      </c>
      <c r="K21" s="83" t="s">
        <v>1638</v>
      </c>
      <c r="S21" s="83"/>
      <c r="T21" s="83"/>
      <c r="U21" s="83"/>
      <c r="V21" s="84"/>
    </row>
    <row r="22" spans="1:22" ht="15.75" customHeight="1" x14ac:dyDescent="0.25">
      <c r="A22">
        <v>21</v>
      </c>
      <c r="B22" t="s">
        <v>87</v>
      </c>
      <c r="C22" t="str">
        <f t="array" ref="C22">_xlfn.IFS(ISNUMBER(SEARCH("M",vallur1[[#This Row],[JANUARY]])),"M",ISNUMBER(SEARCH("A",vallur1[[#This Row],[JANUARY]])),"A",vallur1[[#This Row],[JANUARY]]="","",vallur1[[#This Row],[JANUARY]]&gt;=100,"P")</f>
        <v>P</v>
      </c>
      <c r="D22" t="s">
        <v>88</v>
      </c>
      <c r="E22" s="85" t="s">
        <v>89</v>
      </c>
      <c r="F22" s="85" t="s">
        <v>90</v>
      </c>
      <c r="G22" s="81"/>
      <c r="H22" s="83">
        <v>200</v>
      </c>
      <c r="I22" s="82"/>
      <c r="J22" s="83">
        <v>200</v>
      </c>
      <c r="S22" s="83"/>
      <c r="T22" s="83"/>
      <c r="U22" s="83"/>
      <c r="V22" s="84"/>
    </row>
    <row r="23" spans="1:22" ht="14.25" customHeight="1" x14ac:dyDescent="0.25">
      <c r="A23">
        <v>22</v>
      </c>
      <c r="B23" t="s">
        <v>91</v>
      </c>
      <c r="C23" t="str">
        <f t="array" ref="C23">_xlfn.IFS(ISNUMBER(SEARCH("M",vallur1[[#This Row],[JANUARY]])),"M",ISNUMBER(SEARCH("A",vallur1[[#This Row],[JANUARY]])),"A",vallur1[[#This Row],[JANUARY]]="","",vallur1[[#This Row],[JANUARY]]&gt;=100,"P")</f>
        <v>P</v>
      </c>
      <c r="D23" s="80" t="s">
        <v>51</v>
      </c>
      <c r="E23" s="85" t="s">
        <v>92</v>
      </c>
      <c r="F23" s="85" t="s">
        <v>93</v>
      </c>
      <c r="G23" s="81"/>
      <c r="H23" s="83" t="s">
        <v>385</v>
      </c>
      <c r="I23" s="37"/>
      <c r="J23" s="83">
        <v>200</v>
      </c>
      <c r="S23" s="83"/>
      <c r="T23" s="83"/>
      <c r="U23" s="83"/>
      <c r="V23" s="84"/>
    </row>
    <row r="24" spans="1:22" ht="15.75" customHeight="1" x14ac:dyDescent="0.25">
      <c r="A24">
        <v>23</v>
      </c>
      <c r="B24" t="s">
        <v>94</v>
      </c>
      <c r="C24" t="str">
        <f t="array" ref="C24">_xlfn.IFS(ISNUMBER(SEARCH("M",vallur1[[#This Row],[JANUARY]])),"M",ISNUMBER(SEARCH("A",vallur1[[#This Row],[JANUARY]])),"A",vallur1[[#This Row],[JANUARY]]="","",vallur1[[#This Row],[JANUARY]]&gt;=100,"P")</f>
        <v>M</v>
      </c>
      <c r="D24" t="s">
        <v>30</v>
      </c>
      <c r="E24" s="85" t="s">
        <v>95</v>
      </c>
      <c r="F24" s="85" t="s">
        <v>96</v>
      </c>
      <c r="G24" s="81"/>
      <c r="H24" s="83" t="s">
        <v>97</v>
      </c>
      <c r="I24" s="25"/>
      <c r="J24" s="83" t="s">
        <v>49</v>
      </c>
      <c r="S24" s="83"/>
      <c r="T24" s="83"/>
      <c r="U24" s="83"/>
      <c r="V24" s="84"/>
    </row>
    <row r="25" spans="1:22" ht="15.75" customHeight="1" x14ac:dyDescent="0.25">
      <c r="A25">
        <v>24</v>
      </c>
      <c r="B25" t="s">
        <v>98</v>
      </c>
      <c r="C25" t="str">
        <f t="array" ref="C25">_xlfn.IFS(ISNUMBER(SEARCH("M",vallur1[[#This Row],[JANUARY]])),"M",ISNUMBER(SEARCH("A",vallur1[[#This Row],[JANUARY]])),"A",vallur1[[#This Row],[JANUARY]]="","",vallur1[[#This Row],[JANUARY]]&gt;=100,"P")</f>
        <v>P</v>
      </c>
      <c r="D25" t="s">
        <v>36</v>
      </c>
      <c r="E25" s="85" t="s">
        <v>99</v>
      </c>
      <c r="F25" s="85" t="s">
        <v>100</v>
      </c>
      <c r="G25" s="81"/>
      <c r="H25" s="83">
        <v>220</v>
      </c>
      <c r="I25" s="25"/>
      <c r="J25" s="83">
        <v>230</v>
      </c>
      <c r="S25" s="83"/>
      <c r="T25" s="83"/>
      <c r="U25" s="83"/>
      <c r="V25" s="84"/>
    </row>
    <row r="26" spans="1:22" ht="15.75" customHeight="1" x14ac:dyDescent="0.25">
      <c r="A26">
        <v>25</v>
      </c>
      <c r="B26" t="s">
        <v>101</v>
      </c>
      <c r="C26" t="str">
        <f t="array" ref="C26">_xlfn.IFS(ISNUMBER(SEARCH("M",vallur1[[#This Row],[JANUARY]])),"M",ISNUMBER(SEARCH("A",vallur1[[#This Row],[JANUARY]])),"A",vallur1[[#This Row],[JANUARY]]="","",vallur1[[#This Row],[JANUARY]]&gt;=100,"P")</f>
        <v>P</v>
      </c>
      <c r="D26" t="s">
        <v>51</v>
      </c>
      <c r="E26" s="85" t="s">
        <v>102</v>
      </c>
      <c r="F26" s="85" t="s">
        <v>103</v>
      </c>
      <c r="G26" s="81"/>
      <c r="H26" s="83">
        <v>200</v>
      </c>
      <c r="I26" s="82"/>
      <c r="J26" s="83">
        <v>200</v>
      </c>
      <c r="S26" s="83"/>
      <c r="T26" s="83"/>
      <c r="U26" s="83"/>
      <c r="V26" s="84"/>
    </row>
    <row r="27" spans="1:22" ht="15.75" customHeight="1" x14ac:dyDescent="0.25">
      <c r="A27">
        <v>26</v>
      </c>
      <c r="B27" t="s">
        <v>104</v>
      </c>
      <c r="C27" t="str">
        <f t="array" ref="C27">_xlfn.IFS(ISNUMBER(SEARCH("M",vallur1[[#This Row],[JANUARY]])),"M",ISNUMBER(SEARCH("A",vallur1[[#This Row],[JANUARY]])),"A",vallur1[[#This Row],[JANUARY]]="","",vallur1[[#This Row],[JANUARY]]&gt;=100,"P")</f>
        <v>P</v>
      </c>
      <c r="D27" t="s">
        <v>23</v>
      </c>
      <c r="E27" s="85" t="s">
        <v>105</v>
      </c>
      <c r="F27" s="85" t="s">
        <v>106</v>
      </c>
      <c r="G27" s="81"/>
      <c r="H27" s="83">
        <v>200</v>
      </c>
      <c r="I27" s="25"/>
      <c r="J27" s="83">
        <v>230</v>
      </c>
      <c r="S27" s="83"/>
      <c r="T27" s="83"/>
      <c r="U27" s="83"/>
      <c r="V27" s="84"/>
    </row>
    <row r="28" spans="1:22" ht="15.75" customHeight="1" x14ac:dyDescent="0.25">
      <c r="A28">
        <v>27</v>
      </c>
      <c r="B28" t="s">
        <v>107</v>
      </c>
      <c r="C28" t="str">
        <f t="array" ref="C28">_xlfn.IFS(ISNUMBER(SEARCH("M",vallur1[[#This Row],[JANUARY]])),"M",ISNUMBER(SEARCH("A",vallur1[[#This Row],[JANUARY]])),"A",vallur1[[#This Row],[JANUARY]]="","",vallur1[[#This Row],[JANUARY]]&gt;=100,"P")</f>
        <v>P</v>
      </c>
      <c r="D28" t="s">
        <v>36</v>
      </c>
      <c r="E28" s="85" t="s">
        <v>108</v>
      </c>
      <c r="F28" s="85" t="s">
        <v>109</v>
      </c>
      <c r="G28" s="81"/>
      <c r="H28" s="83" t="s">
        <v>45</v>
      </c>
      <c r="I28" s="82"/>
      <c r="J28" s="83">
        <v>200</v>
      </c>
      <c r="S28" s="83"/>
      <c r="T28" s="83"/>
      <c r="U28" s="83"/>
      <c r="V28" s="84"/>
    </row>
    <row r="29" spans="1:22" s="91" customFormat="1" ht="15.75" customHeight="1" x14ac:dyDescent="0.25">
      <c r="A29" s="74">
        <v>28</v>
      </c>
      <c r="B29" s="74" t="s">
        <v>110</v>
      </c>
      <c r="C29" s="74" t="str">
        <f t="array" ref="C29">_xlfn.IFS(ISNUMBER(SEARCH("M",vallur1[[#This Row],[JANUARY]])),"M",ISNUMBER(SEARCH("A",vallur1[[#This Row],[JANUARY]])),"A",vallur1[[#This Row],[JANUARY]]="","",vallur1[[#This Row],[JANUARY]]&gt;=100,"P")</f>
        <v>P</v>
      </c>
      <c r="D29" s="74" t="s">
        <v>51</v>
      </c>
      <c r="E29" s="75" t="s">
        <v>111</v>
      </c>
      <c r="F29" s="75" t="s">
        <v>112</v>
      </c>
      <c r="G29" s="76"/>
      <c r="H29" s="78" t="s">
        <v>113</v>
      </c>
      <c r="I29" s="77"/>
      <c r="J29" s="78">
        <v>200</v>
      </c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9"/>
    </row>
    <row r="30" spans="1:22" ht="15.75" customHeight="1" x14ac:dyDescent="0.25">
      <c r="A30">
        <v>29</v>
      </c>
      <c r="B30" t="s">
        <v>50</v>
      </c>
      <c r="C30" t="str">
        <f t="array" ref="C30">_xlfn.IFS(ISNUMBER(SEARCH("M",vallur1[[#This Row],[JANUARY]])),"M",ISNUMBER(SEARCH("A",vallur1[[#This Row],[JANUARY]])),"A",vallur1[[#This Row],[JANUARY]]="","",vallur1[[#This Row],[JANUARY]]&gt;=100,"P")</f>
        <v>P</v>
      </c>
      <c r="D30" t="s">
        <v>51</v>
      </c>
      <c r="E30" s="85" t="s">
        <v>114</v>
      </c>
      <c r="F30" s="85" t="s">
        <v>115</v>
      </c>
      <c r="G30" s="81"/>
      <c r="H30" s="83">
        <v>200</v>
      </c>
      <c r="I30" s="82"/>
      <c r="J30" s="83">
        <v>200</v>
      </c>
      <c r="S30" s="83"/>
      <c r="T30" s="83"/>
      <c r="U30" s="83"/>
      <c r="V30" s="84"/>
    </row>
    <row r="31" spans="1:22" ht="15.75" customHeight="1" x14ac:dyDescent="0.25">
      <c r="A31">
        <v>30</v>
      </c>
      <c r="B31" t="s">
        <v>29</v>
      </c>
      <c r="C31" t="str">
        <f t="array" ref="C31">_xlfn.IFS(ISNUMBER(SEARCH("M",vallur1[[#This Row],[JANUARY]])),"M",ISNUMBER(SEARCH("A",vallur1[[#This Row],[JANUARY]])),"A",vallur1[[#This Row],[JANUARY]]="","",vallur1[[#This Row],[JANUARY]]&gt;=100,"P")</f>
        <v>P</v>
      </c>
      <c r="D31" t="s">
        <v>30</v>
      </c>
      <c r="E31" s="85" t="s">
        <v>116</v>
      </c>
      <c r="F31" s="85" t="s">
        <v>117</v>
      </c>
      <c r="G31" s="81"/>
      <c r="H31" s="83">
        <v>460</v>
      </c>
      <c r="I31" s="82"/>
      <c r="J31" s="83">
        <v>200</v>
      </c>
      <c r="S31" s="83"/>
      <c r="T31" s="83"/>
      <c r="U31" s="83"/>
      <c r="V31" s="84"/>
    </row>
    <row r="32" spans="1:22" ht="15.75" customHeight="1" x14ac:dyDescent="0.25">
      <c r="A32">
        <v>31</v>
      </c>
      <c r="B32" t="s">
        <v>118</v>
      </c>
      <c r="C32" t="str">
        <f t="array" ref="C32">_xlfn.IFS(ISNUMBER(SEARCH("M",vallur1[[#This Row],[JANUARY]])),"M",ISNUMBER(SEARCH("A",vallur1[[#This Row],[JANUARY]])),"A",vallur1[[#This Row],[JANUARY]]="","",vallur1[[#This Row],[JANUARY]]&gt;=100,"P")</f>
        <v>P</v>
      </c>
      <c r="D32" t="s">
        <v>36</v>
      </c>
      <c r="E32" s="85" t="s">
        <v>119</v>
      </c>
      <c r="F32" s="85" t="s">
        <v>120</v>
      </c>
      <c r="G32" s="81"/>
      <c r="H32" s="83">
        <v>200</v>
      </c>
      <c r="I32" s="82"/>
      <c r="J32" s="83">
        <v>230</v>
      </c>
      <c r="S32" s="83"/>
      <c r="T32" s="83"/>
      <c r="U32" s="83"/>
      <c r="V32" s="84"/>
    </row>
    <row r="33" spans="1:22" ht="15.75" customHeight="1" x14ac:dyDescent="0.25">
      <c r="A33">
        <v>32</v>
      </c>
      <c r="B33" t="s">
        <v>121</v>
      </c>
      <c r="C33" t="str">
        <f t="array" ref="C33">_xlfn.IFS(ISNUMBER(SEARCH("M",vallur1[[#This Row],[JANUARY]])),"M",ISNUMBER(SEARCH("A",vallur1[[#This Row],[JANUARY]])),"A",vallur1[[#This Row],[JANUARY]]="","",vallur1[[#This Row],[JANUARY]]&gt;=100,"P")</f>
        <v>P</v>
      </c>
      <c r="D33" t="s">
        <v>51</v>
      </c>
      <c r="E33" s="85" t="s">
        <v>122</v>
      </c>
      <c r="F33" s="85" t="s">
        <v>123</v>
      </c>
      <c r="G33" s="81"/>
      <c r="H33" s="83">
        <v>200</v>
      </c>
      <c r="I33" s="84"/>
      <c r="J33" s="83">
        <v>200</v>
      </c>
      <c r="S33" s="83"/>
      <c r="T33" s="83"/>
      <c r="U33" s="83"/>
      <c r="V33" s="84"/>
    </row>
    <row r="34" spans="1:22" ht="15.75" customHeight="1" x14ac:dyDescent="0.25">
      <c r="A34">
        <v>33</v>
      </c>
      <c r="B34" t="s">
        <v>124</v>
      </c>
      <c r="C34" t="str">
        <f t="array" ref="C34">_xlfn.IFS(ISNUMBER(SEARCH("M",vallur1[[#This Row],[JANUARY]])),"M",ISNUMBER(SEARCH("A",vallur1[[#This Row],[JANUARY]])),"A",vallur1[[#This Row],[JANUARY]]="","",vallur1[[#This Row],[JANUARY]]&gt;=100,"P")</f>
        <v>P</v>
      </c>
      <c r="D34" t="s">
        <v>51</v>
      </c>
      <c r="E34" s="85" t="s">
        <v>125</v>
      </c>
      <c r="F34" s="85" t="s">
        <v>126</v>
      </c>
      <c r="G34" s="81"/>
      <c r="H34" s="83">
        <v>200</v>
      </c>
      <c r="I34" s="82"/>
      <c r="J34" s="83">
        <v>200</v>
      </c>
      <c r="S34" s="83"/>
      <c r="T34" s="83"/>
      <c r="U34" s="83"/>
      <c r="V34" s="84"/>
    </row>
    <row r="35" spans="1:22" ht="15.75" customHeight="1" x14ac:dyDescent="0.25">
      <c r="A35">
        <v>34</v>
      </c>
      <c r="B35" t="s">
        <v>127</v>
      </c>
      <c r="C35" t="str">
        <f t="array" ref="C35">_xlfn.IFS(ISNUMBER(SEARCH("M",vallur1[[#This Row],[JANUARY]])),"M",ISNUMBER(SEARCH("A",vallur1[[#This Row],[JANUARY]])),"A",vallur1[[#This Row],[JANUARY]]="","",vallur1[[#This Row],[JANUARY]]&gt;=100,"P")</f>
        <v>P</v>
      </c>
      <c r="D35" t="s">
        <v>23</v>
      </c>
      <c r="E35" s="85" t="s">
        <v>128</v>
      </c>
      <c r="F35" s="85" t="s">
        <v>129</v>
      </c>
      <c r="G35" s="81"/>
      <c r="H35" s="83">
        <v>200</v>
      </c>
      <c r="I35" s="82"/>
      <c r="J35" s="83">
        <v>200</v>
      </c>
      <c r="S35" s="83"/>
      <c r="T35" s="83"/>
      <c r="U35" s="83"/>
      <c r="V35" s="84"/>
    </row>
    <row r="36" spans="1:22" ht="15.75" customHeight="1" x14ac:dyDescent="0.25">
      <c r="A36">
        <v>35</v>
      </c>
      <c r="B36" t="s">
        <v>130</v>
      </c>
      <c r="C36" t="str">
        <f t="array" ref="C36">_xlfn.IFS(ISNUMBER(SEARCH("M",vallur1[[#This Row],[JANUARY]])),"M",ISNUMBER(SEARCH("A",vallur1[[#This Row],[JANUARY]])),"A",vallur1[[#This Row],[JANUARY]]="","",vallur1[[#This Row],[JANUARY]]&gt;=100,"P")</f>
        <v>P</v>
      </c>
      <c r="D36" s="80" t="s">
        <v>131</v>
      </c>
      <c r="E36" s="85" t="s">
        <v>132</v>
      </c>
      <c r="F36" s="85" t="s">
        <v>133</v>
      </c>
      <c r="G36" s="81"/>
      <c r="H36" s="83"/>
      <c r="I36" s="82"/>
      <c r="J36" s="83">
        <v>200</v>
      </c>
      <c r="S36" s="83"/>
      <c r="T36" s="83"/>
      <c r="U36" s="83"/>
      <c r="V36" s="84"/>
    </row>
    <row r="37" spans="1:22" ht="15.75" customHeight="1" x14ac:dyDescent="0.25">
      <c r="A37">
        <v>36</v>
      </c>
      <c r="B37" t="s">
        <v>134</v>
      </c>
      <c r="C37" t="str">
        <f t="array" ref="C37">_xlfn.IFS(ISNUMBER(SEARCH("M",vallur1[[#This Row],[JANUARY]])),"M",ISNUMBER(SEARCH("A",vallur1[[#This Row],[JANUARY]])),"A",vallur1[[#This Row],[JANUARY]]="","",vallur1[[#This Row],[JANUARY]]&gt;=100,"P")</f>
        <v>P</v>
      </c>
      <c r="D37" t="s">
        <v>23</v>
      </c>
      <c r="E37" s="85" t="s">
        <v>135</v>
      </c>
      <c r="F37" s="85" t="s">
        <v>136</v>
      </c>
      <c r="G37" s="81"/>
      <c r="H37" s="83">
        <v>200</v>
      </c>
      <c r="I37" s="82"/>
      <c r="J37" s="83">
        <v>200</v>
      </c>
      <c r="S37" s="83"/>
      <c r="T37" s="83"/>
      <c r="U37" s="83"/>
      <c r="V37" s="84"/>
    </row>
    <row r="38" spans="1:22" ht="15.75" customHeight="1" x14ac:dyDescent="0.25">
      <c r="A38">
        <v>37</v>
      </c>
      <c r="B38" t="s">
        <v>137</v>
      </c>
      <c r="C38" t="str">
        <f t="array" ref="C38">_xlfn.IFS(ISNUMBER(SEARCH("M",vallur1[[#This Row],[JANUARY]])),"M",ISNUMBER(SEARCH("A",vallur1[[#This Row],[JANUARY]])),"A",vallur1[[#This Row],[JANUARY]]="","",vallur1[[#This Row],[JANUARY]]&gt;=100,"P")</f>
        <v>P</v>
      </c>
      <c r="D38" s="80" t="s">
        <v>36</v>
      </c>
      <c r="E38" s="85" t="s">
        <v>138</v>
      </c>
      <c r="F38" s="85" t="s">
        <v>139</v>
      </c>
      <c r="G38" s="81"/>
      <c r="H38" s="83">
        <v>200</v>
      </c>
      <c r="I38" s="82"/>
      <c r="J38" s="83">
        <v>200</v>
      </c>
      <c r="S38" s="83"/>
      <c r="T38" s="83"/>
      <c r="U38" s="83"/>
      <c r="V38" s="84"/>
    </row>
    <row r="39" spans="1:22" ht="15.75" customHeight="1" x14ac:dyDescent="0.25">
      <c r="A39">
        <v>38</v>
      </c>
      <c r="B39" t="s">
        <v>140</v>
      </c>
      <c r="C39" t="str">
        <f t="array" ref="C39">_xlfn.IFS(ISNUMBER(SEARCH("M",vallur1[[#This Row],[JANUARY]])),"M",ISNUMBER(SEARCH("A",vallur1[[#This Row],[JANUARY]])),"A",vallur1[[#This Row],[JANUARY]]="","",vallur1[[#This Row],[JANUARY]]&gt;=100,"P")</f>
        <v>P</v>
      </c>
      <c r="D39" t="s">
        <v>51</v>
      </c>
      <c r="E39" s="85" t="s">
        <v>141</v>
      </c>
      <c r="F39" s="85" t="s">
        <v>142</v>
      </c>
      <c r="G39" s="81"/>
      <c r="H39" s="83">
        <v>200</v>
      </c>
      <c r="I39" s="82"/>
      <c r="J39" s="83">
        <v>200</v>
      </c>
      <c r="S39" s="83"/>
      <c r="T39" s="83"/>
      <c r="U39" s="83"/>
      <c r="V39" s="84"/>
    </row>
    <row r="40" spans="1:22" ht="15.75" customHeight="1" x14ac:dyDescent="0.25">
      <c r="A40">
        <v>39</v>
      </c>
      <c r="B40" t="s">
        <v>143</v>
      </c>
      <c r="C40" t="str">
        <f t="array" ref="C40">_xlfn.IFS(ISNUMBER(SEARCH("M",vallur1[[#This Row],[JANUARY]])),"M",ISNUMBER(SEARCH("A",vallur1[[#This Row],[JANUARY]])),"A",vallur1[[#This Row],[JANUARY]]="","",vallur1[[#This Row],[JANUARY]]&gt;=100,"P")</f>
        <v>P</v>
      </c>
      <c r="D40" t="s">
        <v>51</v>
      </c>
      <c r="E40" s="85" t="s">
        <v>144</v>
      </c>
      <c r="F40" s="85" t="s">
        <v>145</v>
      </c>
      <c r="G40" s="81"/>
      <c r="H40" s="83">
        <v>200</v>
      </c>
      <c r="I40" s="82"/>
      <c r="J40" s="83">
        <v>200</v>
      </c>
      <c r="S40" s="83"/>
      <c r="T40" s="83"/>
      <c r="U40" s="83"/>
      <c r="V40" s="84"/>
    </row>
    <row r="41" spans="1:22" ht="15.75" customHeight="1" x14ac:dyDescent="0.25">
      <c r="A41">
        <v>40</v>
      </c>
      <c r="B41" t="s">
        <v>146</v>
      </c>
      <c r="C41" t="str">
        <f t="array" ref="C41">_xlfn.IFS(ISNUMBER(SEARCH("M",vallur1[[#This Row],[JANUARY]])),"M",ISNUMBER(SEARCH("A",vallur1[[#This Row],[JANUARY]])),"A",vallur1[[#This Row],[JANUARY]]="","",vallur1[[#This Row],[JANUARY]]&gt;=100,"P")</f>
        <v>P</v>
      </c>
      <c r="D41" t="s">
        <v>23</v>
      </c>
      <c r="E41" s="85" t="s">
        <v>147</v>
      </c>
      <c r="F41" s="85" t="s">
        <v>148</v>
      </c>
      <c r="G41" s="81"/>
      <c r="H41" s="83">
        <v>200</v>
      </c>
      <c r="I41" s="82"/>
      <c r="J41" s="83">
        <v>200</v>
      </c>
      <c r="S41" s="83"/>
      <c r="T41" s="83"/>
      <c r="U41" s="83"/>
      <c r="V41" s="84"/>
    </row>
    <row r="42" spans="1:22" ht="15.75" customHeight="1" x14ac:dyDescent="0.25">
      <c r="A42">
        <v>41</v>
      </c>
      <c r="B42" t="s">
        <v>149</v>
      </c>
      <c r="C42" t="str">
        <f t="array" ref="C42">_xlfn.IFS(ISNUMBER(SEARCH("M",vallur1[[#This Row],[JANUARY]])),"M",ISNUMBER(SEARCH("A",vallur1[[#This Row],[JANUARY]])),"A",vallur1[[#This Row],[JANUARY]]="","",vallur1[[#This Row],[JANUARY]]&gt;=100,"P")</f>
        <v>P</v>
      </c>
      <c r="D42" t="s">
        <v>36</v>
      </c>
      <c r="E42" s="85" t="s">
        <v>150</v>
      </c>
      <c r="F42" s="85" t="s">
        <v>151</v>
      </c>
      <c r="G42" s="81"/>
      <c r="H42" s="83">
        <v>220</v>
      </c>
      <c r="I42" s="82"/>
      <c r="J42" s="83">
        <v>220</v>
      </c>
      <c r="S42" s="83"/>
      <c r="T42" s="83"/>
      <c r="U42" s="83"/>
      <c r="V42" s="84"/>
    </row>
    <row r="43" spans="1:22" ht="15.75" customHeight="1" x14ac:dyDescent="0.25">
      <c r="A43">
        <v>42</v>
      </c>
      <c r="B43" t="s">
        <v>152</v>
      </c>
      <c r="C43" t="str">
        <f t="array" ref="C43">_xlfn.IFS(ISNUMBER(SEARCH("M",vallur1[[#This Row],[JANUARY]])),"M",ISNUMBER(SEARCH("A",vallur1[[#This Row],[JANUARY]])),"A",vallur1[[#This Row],[JANUARY]]="","",vallur1[[#This Row],[JANUARY]]&gt;=100,"P")</f>
        <v>P</v>
      </c>
      <c r="D43" t="s">
        <v>23</v>
      </c>
      <c r="E43" s="85" t="s">
        <v>153</v>
      </c>
      <c r="F43" s="85" t="s">
        <v>154</v>
      </c>
      <c r="G43" s="81"/>
      <c r="H43" s="83">
        <v>200</v>
      </c>
      <c r="I43" s="84"/>
      <c r="J43" s="83">
        <v>200</v>
      </c>
      <c r="S43" s="83"/>
      <c r="T43" s="83"/>
      <c r="U43" s="83"/>
      <c r="V43" s="84"/>
    </row>
    <row r="44" spans="1:22" ht="14.25" customHeight="1" x14ac:dyDescent="0.25">
      <c r="A44">
        <v>43</v>
      </c>
      <c r="B44" t="s">
        <v>155</v>
      </c>
      <c r="C44" t="str">
        <f t="array" ref="C44">_xlfn.IFS(ISNUMBER(SEARCH("M",vallur1[[#This Row],[JANUARY]])),"M",ISNUMBER(SEARCH("A",vallur1[[#This Row],[JANUARY]])),"A",vallur1[[#This Row],[JANUARY]]="","",vallur1[[#This Row],[JANUARY]]&gt;=100,"P")</f>
        <v>P</v>
      </c>
      <c r="D44" t="s">
        <v>51</v>
      </c>
      <c r="E44" s="85" t="s">
        <v>156</v>
      </c>
      <c r="F44" s="85" t="s">
        <v>157</v>
      </c>
      <c r="G44" s="81"/>
      <c r="H44" s="83">
        <v>200</v>
      </c>
      <c r="I44" s="84"/>
      <c r="J44" s="83">
        <v>200</v>
      </c>
      <c r="S44" s="83"/>
      <c r="T44" s="83"/>
      <c r="U44" s="83"/>
      <c r="V44" s="84"/>
    </row>
    <row r="45" spans="1:22" ht="15.75" customHeight="1" x14ac:dyDescent="0.25">
      <c r="A45">
        <v>44</v>
      </c>
      <c r="B45" t="s">
        <v>158</v>
      </c>
      <c r="C45" t="str">
        <f t="array" ref="C45">_xlfn.IFS(ISNUMBER(SEARCH("M",vallur1[[#This Row],[JANUARY]])),"M",ISNUMBER(SEARCH("A",vallur1[[#This Row],[JANUARY]])),"A",vallur1[[#This Row],[JANUARY]]="","",vallur1[[#This Row],[JANUARY]]&gt;=100,"P")</f>
        <v>P</v>
      </c>
      <c r="D45" t="s">
        <v>51</v>
      </c>
      <c r="E45" s="85" t="s">
        <v>159</v>
      </c>
      <c r="F45" s="85" t="s">
        <v>160</v>
      </c>
      <c r="G45" s="81"/>
      <c r="H45" s="83" t="s">
        <v>45</v>
      </c>
      <c r="I45" s="84"/>
      <c r="J45" s="83">
        <v>200</v>
      </c>
      <c r="S45" s="83"/>
      <c r="T45" s="83"/>
      <c r="U45" s="83"/>
      <c r="V45" s="84"/>
    </row>
    <row r="46" spans="1:22" ht="15.75" customHeight="1" x14ac:dyDescent="0.25">
      <c r="A46">
        <v>45</v>
      </c>
      <c r="B46" t="s">
        <v>161</v>
      </c>
      <c r="C46" t="str">
        <f t="array" ref="C46">_xlfn.IFS(ISNUMBER(SEARCH("M",vallur1[[#This Row],[JANUARY]])),"M",ISNUMBER(SEARCH("A",vallur1[[#This Row],[JANUARY]])),"A",vallur1[[#This Row],[JANUARY]]="","",vallur1[[#This Row],[JANUARY]]&gt;=100,"P")</f>
        <v>P</v>
      </c>
      <c r="D46" t="s">
        <v>51</v>
      </c>
      <c r="E46" s="85" t="s">
        <v>162</v>
      </c>
      <c r="F46" s="85" t="s">
        <v>163</v>
      </c>
      <c r="G46" s="81"/>
      <c r="H46" s="83">
        <v>200</v>
      </c>
      <c r="I46" s="82"/>
      <c r="J46" s="83">
        <v>200</v>
      </c>
      <c r="S46" s="83"/>
      <c r="T46" s="83"/>
      <c r="U46" s="83"/>
      <c r="V46" s="84"/>
    </row>
    <row r="47" spans="1:22" ht="15.75" customHeight="1" x14ac:dyDescent="0.25">
      <c r="A47">
        <v>46</v>
      </c>
      <c r="B47" s="91" t="s">
        <v>164</v>
      </c>
      <c r="C47" t="str">
        <f t="array" ref="C47">_xlfn.IFS(ISNUMBER(SEARCH("M",vallur1[[#This Row],[JANUARY]])),"M",ISNUMBER(SEARCH("A",vallur1[[#This Row],[JANUARY]])),"A",vallur1[[#This Row],[JANUARY]]="","",vallur1[[#This Row],[JANUARY]]&gt;=100,"P")</f>
        <v>P</v>
      </c>
      <c r="D47" t="s">
        <v>51</v>
      </c>
      <c r="E47" s="85" t="s">
        <v>165</v>
      </c>
      <c r="F47" s="85" t="s">
        <v>166</v>
      </c>
      <c r="G47" s="81"/>
      <c r="H47" s="83" t="s">
        <v>49</v>
      </c>
      <c r="I47" s="82">
        <v>200</v>
      </c>
      <c r="J47" s="83">
        <v>200</v>
      </c>
      <c r="S47" s="83"/>
      <c r="T47" s="83"/>
      <c r="U47" s="83"/>
      <c r="V47" s="85"/>
    </row>
    <row r="48" spans="1:22" ht="15.75" customHeight="1" x14ac:dyDescent="0.25">
      <c r="A48">
        <v>47</v>
      </c>
      <c r="B48" t="s">
        <v>167</v>
      </c>
      <c r="C48" t="str">
        <f t="array" ref="C48">_xlfn.IFS(ISNUMBER(SEARCH("M",vallur1[[#This Row],[JANUARY]])),"M",ISNUMBER(SEARCH("A",vallur1[[#This Row],[JANUARY]])),"A",vallur1[[#This Row],[JANUARY]]="","",vallur1[[#This Row],[JANUARY]]&gt;=100,"P")</f>
        <v>P</v>
      </c>
      <c r="D48" s="80" t="s">
        <v>36</v>
      </c>
      <c r="E48" s="85" t="s">
        <v>168</v>
      </c>
      <c r="F48" s="85" t="s">
        <v>169</v>
      </c>
      <c r="G48" s="81"/>
      <c r="H48" s="83" t="s">
        <v>170</v>
      </c>
      <c r="I48" s="82"/>
      <c r="J48" s="83">
        <v>220</v>
      </c>
      <c r="S48" s="83"/>
      <c r="T48" s="83"/>
      <c r="U48" s="83"/>
      <c r="V48" s="84"/>
    </row>
    <row r="49" spans="1:22" ht="15.75" customHeight="1" x14ac:dyDescent="0.25">
      <c r="A49">
        <v>48</v>
      </c>
      <c r="B49" t="s">
        <v>171</v>
      </c>
      <c r="C49" t="str">
        <f t="array" ref="C49">_xlfn.IFS(ISNUMBER(SEARCH("M",vallur1[[#This Row],[JANUARY]])),"M",ISNUMBER(SEARCH("A",vallur1[[#This Row],[JANUARY]])),"A",vallur1[[#This Row],[JANUARY]]="","",vallur1[[#This Row],[JANUARY]]&gt;=100,"P")</f>
        <v>P</v>
      </c>
      <c r="D49" s="80" t="s">
        <v>30</v>
      </c>
      <c r="E49" s="85" t="s">
        <v>172</v>
      </c>
      <c r="F49" s="85" t="s">
        <v>173</v>
      </c>
      <c r="G49" s="81"/>
      <c r="H49" s="83">
        <v>200</v>
      </c>
      <c r="I49" s="82"/>
      <c r="J49" s="83">
        <v>200</v>
      </c>
      <c r="S49" s="83"/>
      <c r="T49" s="83"/>
      <c r="U49" s="83"/>
      <c r="V49" s="84"/>
    </row>
    <row r="50" spans="1:22" ht="15.75" customHeight="1" x14ac:dyDescent="0.25">
      <c r="A50">
        <v>49</v>
      </c>
      <c r="B50" t="s">
        <v>174</v>
      </c>
      <c r="C50" t="str">
        <f t="array" ref="C50">_xlfn.IFS(ISNUMBER(SEARCH("M",vallur1[[#This Row],[JANUARY]])),"M",ISNUMBER(SEARCH("A",vallur1[[#This Row],[JANUARY]])),"A",vallur1[[#This Row],[JANUARY]]="","",vallur1[[#This Row],[JANUARY]]&gt;=100,"P")</f>
        <v>P</v>
      </c>
      <c r="D50" t="s">
        <v>30</v>
      </c>
      <c r="E50" s="85" t="s">
        <v>175</v>
      </c>
      <c r="F50" s="85" t="s">
        <v>176</v>
      </c>
      <c r="G50" s="81"/>
      <c r="H50" s="83">
        <v>200</v>
      </c>
      <c r="I50" s="82"/>
      <c r="J50" s="83">
        <v>200</v>
      </c>
      <c r="S50" s="83"/>
      <c r="T50" s="83"/>
      <c r="U50" s="83"/>
      <c r="V50" s="84"/>
    </row>
    <row r="51" spans="1:22" ht="15.75" customHeight="1" x14ac:dyDescent="0.25">
      <c r="A51">
        <v>50</v>
      </c>
      <c r="B51" t="s">
        <v>177</v>
      </c>
      <c r="C51" t="str">
        <f t="array" ref="C51">_xlfn.IFS(ISNUMBER(SEARCH("M",vallur1[[#This Row],[JANUARY]])),"M",ISNUMBER(SEARCH("A",vallur1[[#This Row],[JANUARY]])),"A",vallur1[[#This Row],[JANUARY]]="","",vallur1[[#This Row],[JANUARY]]&gt;=100,"P")</f>
        <v>P</v>
      </c>
      <c r="D51" t="s">
        <v>30</v>
      </c>
      <c r="E51" s="85" t="s">
        <v>178</v>
      </c>
      <c r="F51" s="85" t="s">
        <v>179</v>
      </c>
      <c r="G51" s="81"/>
      <c r="H51" s="83">
        <v>200</v>
      </c>
      <c r="I51" s="82"/>
      <c r="J51" s="83">
        <v>200</v>
      </c>
      <c r="S51" s="83"/>
      <c r="T51" s="83"/>
      <c r="U51" s="83"/>
      <c r="V51" s="84"/>
    </row>
    <row r="52" spans="1:22" ht="15.75" customHeight="1" x14ac:dyDescent="0.25">
      <c r="A52" s="73">
        <v>51</v>
      </c>
      <c r="B52" s="73" t="s">
        <v>39</v>
      </c>
      <c r="C52" s="73" t="str">
        <f t="array" ref="C52">_xlfn.IFS(ISNUMBER(SEARCH("M",vallur1[[#This Row],[JANUARY]])),"M",ISNUMBER(SEARCH("A",vallur1[[#This Row],[JANUARY]])),"A",vallur1[[#This Row],[JANUARY]]="","",vallur1[[#This Row],[JANUARY]]&gt;=100,"P")</f>
        <v>P</v>
      </c>
      <c r="D52" t="s">
        <v>23</v>
      </c>
      <c r="E52" s="73" t="s">
        <v>180</v>
      </c>
      <c r="F52" s="73" t="s">
        <v>181</v>
      </c>
      <c r="G52" s="73"/>
      <c r="H52" s="73" t="s">
        <v>113</v>
      </c>
      <c r="I52" s="73"/>
      <c r="J52" s="73" t="s">
        <v>113</v>
      </c>
      <c r="K52" s="73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</row>
    <row r="53" spans="1:22" ht="15.75" customHeight="1" x14ac:dyDescent="0.25">
      <c r="A53">
        <v>52</v>
      </c>
      <c r="B53" t="s">
        <v>182</v>
      </c>
      <c r="C53" t="str">
        <f t="array" ref="C53">_xlfn.IFS(ISNUMBER(SEARCH("M",vallur1[[#This Row],[JANUARY]])),"M",ISNUMBER(SEARCH("A",vallur1[[#This Row],[JANUARY]])),"A",vallur1[[#This Row],[JANUARY]]="","",vallur1[[#This Row],[JANUARY]]&gt;=100,"P")</f>
        <v/>
      </c>
      <c r="E53" s="85"/>
      <c r="F53" s="85"/>
      <c r="G53" s="81"/>
      <c r="H53" s="83"/>
      <c r="I53" s="82"/>
      <c r="S53" s="83"/>
      <c r="T53" s="83"/>
      <c r="U53" s="83"/>
      <c r="V53" s="84"/>
    </row>
    <row r="54" spans="1:22" ht="15.75" customHeight="1" x14ac:dyDescent="0.25">
      <c r="A54">
        <v>53</v>
      </c>
      <c r="B54" t="s">
        <v>183</v>
      </c>
      <c r="C54" t="str">
        <f t="array" ref="C54">_xlfn.IFS(ISNUMBER(SEARCH("M",vallur1[[#This Row],[JANUARY]])),"M",ISNUMBER(SEARCH("A",vallur1[[#This Row],[JANUARY]])),"A",vallur1[[#This Row],[JANUARY]]="","",vallur1[[#This Row],[JANUARY]]&gt;=100,"P")</f>
        <v>P</v>
      </c>
      <c r="D54" t="s">
        <v>51</v>
      </c>
      <c r="E54" s="85" t="s">
        <v>184</v>
      </c>
      <c r="F54" s="85" t="s">
        <v>185</v>
      </c>
      <c r="G54" s="81"/>
      <c r="H54" s="83">
        <v>200</v>
      </c>
      <c r="I54" s="82"/>
      <c r="J54" s="83">
        <v>200</v>
      </c>
      <c r="S54" s="83"/>
      <c r="T54" s="83"/>
      <c r="U54" s="83"/>
      <c r="V54" s="84"/>
    </row>
    <row r="55" spans="1:22" ht="15.75" customHeight="1" x14ac:dyDescent="0.25">
      <c r="A55">
        <v>54</v>
      </c>
      <c r="B55" t="s">
        <v>186</v>
      </c>
      <c r="C55" t="str">
        <f t="array" ref="C55">_xlfn.IFS(ISNUMBER(SEARCH("M",vallur1[[#This Row],[JANUARY]])),"M",ISNUMBER(SEARCH("A",vallur1[[#This Row],[JANUARY]])),"A",vallur1[[#This Row],[JANUARY]]="","",vallur1[[#This Row],[JANUARY]]&gt;=100,"P")</f>
        <v>P</v>
      </c>
      <c r="D55" t="s">
        <v>51</v>
      </c>
      <c r="E55" s="85" t="s">
        <v>187</v>
      </c>
      <c r="F55" s="85" t="s">
        <v>188</v>
      </c>
      <c r="G55" s="81"/>
      <c r="H55" s="83">
        <v>200</v>
      </c>
      <c r="I55" s="82"/>
      <c r="J55" s="83">
        <v>200</v>
      </c>
      <c r="S55" s="83"/>
      <c r="T55" s="83"/>
      <c r="U55" s="83"/>
      <c r="V55" s="84"/>
    </row>
    <row r="56" spans="1:22" ht="15.75" customHeight="1" x14ac:dyDescent="0.25">
      <c r="A56">
        <v>55</v>
      </c>
      <c r="B56" t="s">
        <v>189</v>
      </c>
      <c r="C56" t="str">
        <f t="array" ref="C56">_xlfn.IFS(ISNUMBER(SEARCH("M",vallur1[[#This Row],[JANUARY]])),"M",ISNUMBER(SEARCH("A",vallur1[[#This Row],[JANUARY]])),"A",vallur1[[#This Row],[JANUARY]]="","",vallur1[[#This Row],[JANUARY]]&gt;=100,"P")</f>
        <v>M</v>
      </c>
      <c r="D56" t="s">
        <v>30</v>
      </c>
      <c r="E56" s="85" t="s">
        <v>190</v>
      </c>
      <c r="F56" s="85" t="s">
        <v>191</v>
      </c>
      <c r="G56" s="81"/>
      <c r="H56" s="83">
        <v>300</v>
      </c>
      <c r="I56" s="82"/>
      <c r="J56" s="83" t="s">
        <v>49</v>
      </c>
      <c r="K56" s="83" t="s">
        <v>192</v>
      </c>
      <c r="S56" s="83"/>
      <c r="T56" s="83"/>
      <c r="U56" s="83"/>
      <c r="V56" s="84"/>
    </row>
    <row r="57" spans="1:22" ht="15.75" customHeight="1" x14ac:dyDescent="0.25">
      <c r="A57">
        <v>56</v>
      </c>
      <c r="B57" t="s">
        <v>50</v>
      </c>
      <c r="C57" t="str">
        <f t="array" ref="C57">_xlfn.IFS(ISNUMBER(SEARCH("M",vallur1[[#This Row],[JANUARY]])),"M",ISNUMBER(SEARCH("A",vallur1[[#This Row],[JANUARY]])),"A",vallur1[[#This Row],[JANUARY]]="","",vallur1[[#This Row],[JANUARY]]&gt;=100,"P")</f>
        <v>P</v>
      </c>
      <c r="D57" t="s">
        <v>36</v>
      </c>
      <c r="E57" s="85" t="s">
        <v>193</v>
      </c>
      <c r="F57" s="85" t="s">
        <v>194</v>
      </c>
      <c r="G57" s="81"/>
      <c r="H57" s="83">
        <v>220</v>
      </c>
      <c r="I57" s="24"/>
      <c r="J57" s="83">
        <v>220</v>
      </c>
      <c r="S57" s="83"/>
      <c r="T57" s="83"/>
      <c r="U57" s="83"/>
      <c r="V57" s="84"/>
    </row>
    <row r="58" spans="1:22" ht="15.75" customHeight="1" x14ac:dyDescent="0.25">
      <c r="A58">
        <v>57</v>
      </c>
      <c r="B58" t="s">
        <v>195</v>
      </c>
      <c r="C58" t="str">
        <f t="array" ref="C58">_xlfn.IFS(ISNUMBER(SEARCH("M",vallur1[[#This Row],[JANUARY]])),"M",ISNUMBER(SEARCH("A",vallur1[[#This Row],[JANUARY]])),"A",vallur1[[#This Row],[JANUARY]]="","",vallur1[[#This Row],[JANUARY]]&gt;=100,"P")</f>
        <v>P</v>
      </c>
      <c r="D58" t="s">
        <v>23</v>
      </c>
      <c r="E58" s="85" t="s">
        <v>196</v>
      </c>
      <c r="F58" s="85" t="s">
        <v>197</v>
      </c>
      <c r="G58" s="81"/>
      <c r="H58" s="83">
        <v>200</v>
      </c>
      <c r="I58" s="82"/>
      <c r="J58" s="83">
        <v>200</v>
      </c>
      <c r="S58" s="83"/>
      <c r="T58" s="83"/>
      <c r="U58" s="83"/>
      <c r="V58" s="84"/>
    </row>
    <row r="59" spans="1:22" ht="15.75" customHeight="1" x14ac:dyDescent="0.25">
      <c r="A59">
        <v>58</v>
      </c>
      <c r="B59" t="s">
        <v>198</v>
      </c>
      <c r="C59" t="str">
        <f t="array" ref="C59">_xlfn.IFS(ISNUMBER(SEARCH("M",vallur1[[#This Row],[JANUARY]])),"M",ISNUMBER(SEARCH("A",vallur1[[#This Row],[JANUARY]])),"A",vallur1[[#This Row],[JANUARY]]="","",vallur1[[#This Row],[JANUARY]]&gt;=100,"P")</f>
        <v>P</v>
      </c>
      <c r="D59" t="s">
        <v>23</v>
      </c>
      <c r="E59" s="85" t="s">
        <v>199</v>
      </c>
      <c r="F59" s="85" t="s">
        <v>200</v>
      </c>
      <c r="G59" s="81"/>
      <c r="H59" s="83">
        <v>200</v>
      </c>
      <c r="I59" s="25"/>
      <c r="J59" s="83">
        <v>200</v>
      </c>
      <c r="S59" s="83"/>
      <c r="T59" s="83"/>
      <c r="U59" s="83"/>
      <c r="V59" s="84"/>
    </row>
    <row r="60" spans="1:22" ht="15.75" customHeight="1" x14ac:dyDescent="0.25">
      <c r="A60">
        <v>59</v>
      </c>
      <c r="B60" t="s">
        <v>201</v>
      </c>
      <c r="C60" t="str">
        <f t="array" ref="C60">_xlfn.IFS(ISNUMBER(SEARCH("M",vallur1[[#This Row],[JANUARY]])),"M",ISNUMBER(SEARCH("A",vallur1[[#This Row],[JANUARY]])),"A",vallur1[[#This Row],[JANUARY]]="","",vallur1[[#This Row],[JANUARY]]&gt;=100,"P")</f>
        <v>P</v>
      </c>
      <c r="D60" t="s">
        <v>36</v>
      </c>
      <c r="E60" s="85" t="s">
        <v>202</v>
      </c>
      <c r="F60" s="85" t="s">
        <v>203</v>
      </c>
      <c r="G60" s="81"/>
      <c r="H60" s="83">
        <v>200</v>
      </c>
      <c r="I60" s="82"/>
      <c r="J60" s="83">
        <v>230</v>
      </c>
      <c r="S60" s="83"/>
      <c r="T60" s="83"/>
      <c r="U60" s="83"/>
      <c r="V60" s="84"/>
    </row>
    <row r="61" spans="1:22" ht="15.75" customHeight="1" x14ac:dyDescent="0.25">
      <c r="A61">
        <v>60</v>
      </c>
      <c r="B61" t="s">
        <v>204</v>
      </c>
      <c r="C61" t="str">
        <f t="array" ref="C61">_xlfn.IFS(ISNUMBER(SEARCH("M",vallur1[[#This Row],[JANUARY]])),"M",ISNUMBER(SEARCH("A",vallur1[[#This Row],[JANUARY]])),"A",vallur1[[#This Row],[JANUARY]]="","",vallur1[[#This Row],[JANUARY]]&gt;=100,"P")</f>
        <v>P</v>
      </c>
      <c r="D61" t="s">
        <v>23</v>
      </c>
      <c r="E61" s="85" t="s">
        <v>205</v>
      </c>
      <c r="F61" s="85" t="s">
        <v>206</v>
      </c>
      <c r="G61" s="81"/>
      <c r="H61" s="83">
        <v>200</v>
      </c>
      <c r="I61" s="82"/>
      <c r="J61" s="83">
        <v>200</v>
      </c>
      <c r="S61" s="83"/>
      <c r="T61" s="83"/>
      <c r="U61" s="83"/>
      <c r="V61" s="84"/>
    </row>
    <row r="62" spans="1:22" ht="15.75" customHeight="1" x14ac:dyDescent="0.25">
      <c r="A62">
        <v>61</v>
      </c>
      <c r="B62" t="s">
        <v>207</v>
      </c>
      <c r="C62" t="str">
        <f t="array" ref="C62">_xlfn.IFS(ISNUMBER(SEARCH("M",vallur1[[#This Row],[JANUARY]])),"M",ISNUMBER(SEARCH("A",vallur1[[#This Row],[JANUARY]])),"A",vallur1[[#This Row],[JANUARY]]="","",vallur1[[#This Row],[JANUARY]]&gt;=100,"P")</f>
        <v>P</v>
      </c>
      <c r="D62" t="s">
        <v>51</v>
      </c>
      <c r="E62" s="85" t="s">
        <v>208</v>
      </c>
      <c r="F62" s="85" t="s">
        <v>209</v>
      </c>
      <c r="G62" s="81"/>
      <c r="H62" s="83" t="s">
        <v>45</v>
      </c>
      <c r="I62" s="82"/>
      <c r="J62" s="83">
        <v>200</v>
      </c>
      <c r="S62" s="83"/>
      <c r="T62" s="83"/>
      <c r="U62" s="83"/>
      <c r="V62" s="84"/>
    </row>
    <row r="63" spans="1:22" ht="15.75" customHeight="1" x14ac:dyDescent="0.25">
      <c r="A63">
        <v>62</v>
      </c>
      <c r="B63" t="s">
        <v>210</v>
      </c>
      <c r="C63" t="str">
        <f t="array" ref="C63">_xlfn.IFS(ISNUMBER(SEARCH("M",vallur1[[#This Row],[JANUARY]])),"M",ISNUMBER(SEARCH("A",vallur1[[#This Row],[JANUARY]])),"A",vallur1[[#This Row],[JANUARY]]="","",vallur1[[#This Row],[JANUARY]]&gt;=100,"P")</f>
        <v>P</v>
      </c>
      <c r="D63" t="s">
        <v>51</v>
      </c>
      <c r="E63" s="85" t="s">
        <v>211</v>
      </c>
      <c r="F63" s="85" t="s">
        <v>212</v>
      </c>
      <c r="G63" s="81"/>
      <c r="H63" s="83">
        <v>200</v>
      </c>
      <c r="I63" s="82"/>
      <c r="J63" s="83">
        <v>200</v>
      </c>
      <c r="S63" s="83"/>
      <c r="T63" s="83"/>
      <c r="U63" s="83"/>
      <c r="V63" s="84"/>
    </row>
    <row r="64" spans="1:22" ht="15.75" customHeight="1" x14ac:dyDescent="0.25">
      <c r="A64">
        <v>63</v>
      </c>
      <c r="B64" t="s">
        <v>213</v>
      </c>
      <c r="C64" t="str">
        <f t="array" ref="C64">_xlfn.IFS(ISNUMBER(SEARCH("M",vallur1[[#This Row],[JANUARY]])),"M",ISNUMBER(SEARCH("A",vallur1[[#This Row],[JANUARY]])),"A",vallur1[[#This Row],[JANUARY]]="","",vallur1[[#This Row],[JANUARY]]&gt;=100,"P")</f>
        <v>P</v>
      </c>
      <c r="D64" t="s">
        <v>51</v>
      </c>
      <c r="E64" s="85" t="s">
        <v>214</v>
      </c>
      <c r="F64" s="85" t="s">
        <v>215</v>
      </c>
      <c r="G64" s="81"/>
      <c r="H64" s="83">
        <v>200</v>
      </c>
      <c r="I64" s="84"/>
      <c r="J64" s="83">
        <v>200</v>
      </c>
      <c r="S64" s="83"/>
      <c r="T64" s="83"/>
      <c r="U64" s="83"/>
      <c r="V64" s="84"/>
    </row>
    <row r="65" spans="1:22" ht="15.75" customHeight="1" x14ac:dyDescent="0.25">
      <c r="A65">
        <v>64</v>
      </c>
      <c r="B65" t="s">
        <v>216</v>
      </c>
      <c r="C65" t="str">
        <f t="array" ref="C65">_xlfn.IFS(ISNUMBER(SEARCH("M",vallur1[[#This Row],[JANUARY]])),"M",ISNUMBER(SEARCH("A",vallur1[[#This Row],[JANUARY]])),"A",vallur1[[#This Row],[JANUARY]]="","",vallur1[[#This Row],[JANUARY]]&gt;=100,"P")</f>
        <v>P</v>
      </c>
      <c r="D65" t="s">
        <v>30</v>
      </c>
      <c r="E65" s="85" t="s">
        <v>217</v>
      </c>
      <c r="F65" s="85" t="s">
        <v>218</v>
      </c>
      <c r="G65" s="81"/>
      <c r="H65" s="83">
        <v>230</v>
      </c>
      <c r="I65" s="82"/>
      <c r="J65" s="83">
        <v>230</v>
      </c>
      <c r="S65" s="83"/>
      <c r="T65" s="83"/>
      <c r="U65" s="83"/>
      <c r="V65" s="84"/>
    </row>
    <row r="66" spans="1:22" ht="15.75" customHeight="1" x14ac:dyDescent="0.25">
      <c r="A66">
        <v>65</v>
      </c>
      <c r="B66" t="s">
        <v>219</v>
      </c>
      <c r="C66" t="str">
        <f t="array" ref="C66">_xlfn.IFS(ISNUMBER(SEARCH("M",vallur1[[#This Row],[JANUARY]])),"M",ISNUMBER(SEARCH("A",vallur1[[#This Row],[JANUARY]])),"A",vallur1[[#This Row],[JANUARY]]="","",vallur1[[#This Row],[JANUARY]]&gt;=100,"P")</f>
        <v>P</v>
      </c>
      <c r="D66" t="s">
        <v>30</v>
      </c>
      <c r="E66" s="85" t="s">
        <v>220</v>
      </c>
      <c r="F66" s="85" t="s">
        <v>221</v>
      </c>
      <c r="G66" s="81"/>
      <c r="H66" s="83">
        <v>200</v>
      </c>
      <c r="I66" s="82"/>
      <c r="J66" s="83">
        <v>200</v>
      </c>
      <c r="S66" s="83"/>
      <c r="T66" s="83"/>
      <c r="U66" s="83"/>
      <c r="V66" s="84"/>
    </row>
    <row r="67" spans="1:22" ht="15.75" customHeight="1" x14ac:dyDescent="0.25">
      <c r="A67">
        <v>66</v>
      </c>
      <c r="B67" t="s">
        <v>222</v>
      </c>
      <c r="C67" t="str">
        <f t="array" ref="C67">_xlfn.IFS(ISNUMBER(SEARCH("M",vallur1[[#This Row],[JANUARY]])),"M",ISNUMBER(SEARCH("A",vallur1[[#This Row],[JANUARY]])),"A",vallur1[[#This Row],[JANUARY]]="","",vallur1[[#This Row],[JANUARY]]&gt;=100,"P")</f>
        <v>A</v>
      </c>
      <c r="D67" t="s">
        <v>51</v>
      </c>
      <c r="E67" s="85" t="s">
        <v>223</v>
      </c>
      <c r="F67" s="85" t="s">
        <v>224</v>
      </c>
      <c r="G67" s="81"/>
      <c r="H67" s="83">
        <v>200</v>
      </c>
      <c r="I67" s="82"/>
      <c r="J67" s="83" t="s">
        <v>45</v>
      </c>
      <c r="S67" s="83"/>
      <c r="T67" s="83"/>
      <c r="U67" s="83"/>
      <c r="V67" s="84"/>
    </row>
    <row r="68" spans="1:22" ht="15.75" customHeight="1" x14ac:dyDescent="0.25">
      <c r="A68">
        <v>67</v>
      </c>
      <c r="B68" t="s">
        <v>225</v>
      </c>
      <c r="C68" t="str">
        <f t="array" ref="C68">_xlfn.IFS(ISNUMBER(SEARCH("M",vallur1[[#This Row],[JANUARY]])),"M",ISNUMBER(SEARCH("A",vallur1[[#This Row],[JANUARY]])),"A",vallur1[[#This Row],[JANUARY]]="","",vallur1[[#This Row],[JANUARY]]&gt;=100,"P")</f>
        <v>P</v>
      </c>
      <c r="D68" t="s">
        <v>51</v>
      </c>
      <c r="E68" s="85" t="s">
        <v>226</v>
      </c>
      <c r="F68" s="85" t="s">
        <v>227</v>
      </c>
      <c r="G68" s="81"/>
      <c r="H68" s="83">
        <v>200</v>
      </c>
      <c r="I68" s="82"/>
      <c r="J68" s="83">
        <v>200</v>
      </c>
      <c r="S68" s="83"/>
      <c r="T68" s="83"/>
      <c r="U68" s="83"/>
      <c r="V68" s="84"/>
    </row>
    <row r="69" spans="1:22" ht="15.75" customHeight="1" x14ac:dyDescent="0.25">
      <c r="A69">
        <v>68</v>
      </c>
      <c r="B69" t="s">
        <v>228</v>
      </c>
      <c r="C69" t="str">
        <f t="array" ref="C69">_xlfn.IFS(ISNUMBER(SEARCH("M",vallur1[[#This Row],[JANUARY]])),"M",ISNUMBER(SEARCH("A",vallur1[[#This Row],[JANUARY]])),"A",vallur1[[#This Row],[JANUARY]]="","",vallur1[[#This Row],[JANUARY]]&gt;=100,"P")</f>
        <v>A</v>
      </c>
      <c r="D69" t="s">
        <v>36</v>
      </c>
      <c r="E69" s="85" t="s">
        <v>229</v>
      </c>
      <c r="F69" s="85" t="s">
        <v>230</v>
      </c>
      <c r="G69" s="81"/>
      <c r="H69" s="83" t="s">
        <v>231</v>
      </c>
      <c r="I69" s="82"/>
      <c r="J69" s="83" t="s">
        <v>231</v>
      </c>
      <c r="S69" s="83"/>
      <c r="T69" s="83"/>
      <c r="U69" s="83"/>
      <c r="V69" s="84"/>
    </row>
    <row r="70" spans="1:22" ht="15.75" customHeight="1" x14ac:dyDescent="0.25">
      <c r="A70">
        <v>69</v>
      </c>
      <c r="B70" t="s">
        <v>232</v>
      </c>
      <c r="C70" t="str">
        <f t="array" ref="C70">_xlfn.IFS(ISNUMBER(SEARCH("M",vallur1[[#This Row],[JANUARY]])),"M",ISNUMBER(SEARCH("A",vallur1[[#This Row],[JANUARY]])),"A",vallur1[[#This Row],[JANUARY]]="","",vallur1[[#This Row],[JANUARY]]&gt;=100,"P")</f>
        <v>A</v>
      </c>
      <c r="D70" t="s">
        <v>23</v>
      </c>
      <c r="E70" s="85" t="s">
        <v>233</v>
      </c>
      <c r="F70" s="85" t="s">
        <v>234</v>
      </c>
      <c r="G70" s="81"/>
      <c r="H70" s="83" t="s">
        <v>231</v>
      </c>
      <c r="I70" s="82"/>
      <c r="J70" s="83" t="s">
        <v>231</v>
      </c>
      <c r="S70" s="83"/>
      <c r="T70" s="83"/>
      <c r="U70" s="83"/>
      <c r="V70" s="84"/>
    </row>
    <row r="71" spans="1:22" ht="15.75" customHeight="1" x14ac:dyDescent="0.25">
      <c r="A71">
        <v>70</v>
      </c>
      <c r="B71" t="s">
        <v>164</v>
      </c>
      <c r="C71" t="str">
        <f t="array" ref="C71">_xlfn.IFS(ISNUMBER(SEARCH("M",vallur1[[#This Row],[JANUARY]])),"M",ISNUMBER(SEARCH("A",vallur1[[#This Row],[JANUARY]])),"A",vallur1[[#This Row],[JANUARY]]="","",vallur1[[#This Row],[JANUARY]]&gt;=100,"P")</f>
        <v>A</v>
      </c>
      <c r="D71" t="s">
        <v>51</v>
      </c>
      <c r="E71" s="85" t="s">
        <v>235</v>
      </c>
      <c r="F71" s="85" t="s">
        <v>236</v>
      </c>
      <c r="G71" s="81"/>
      <c r="H71" s="83" t="s">
        <v>231</v>
      </c>
      <c r="I71" s="82"/>
      <c r="J71" s="83" t="s">
        <v>231</v>
      </c>
      <c r="S71" s="83"/>
      <c r="T71" s="83"/>
      <c r="U71" s="83"/>
      <c r="V71" s="84"/>
    </row>
    <row r="72" spans="1:22" ht="16.5" customHeight="1" x14ac:dyDescent="0.25">
      <c r="A72">
        <v>71</v>
      </c>
      <c r="B72" t="s">
        <v>237</v>
      </c>
      <c r="C72" t="str">
        <f t="array" ref="C72">_xlfn.IFS(ISNUMBER(SEARCH("M",vallur1[[#This Row],[JANUARY]])),"M",ISNUMBER(SEARCH("A",vallur1[[#This Row],[JANUARY]])),"A",vallur1[[#This Row],[JANUARY]]="","",vallur1[[#This Row],[JANUARY]]&gt;=100,"P")</f>
        <v>P</v>
      </c>
      <c r="D72" t="s">
        <v>36</v>
      </c>
      <c r="E72" s="85" t="s">
        <v>238</v>
      </c>
      <c r="F72" s="85" t="s">
        <v>239</v>
      </c>
      <c r="G72" s="81"/>
      <c r="H72" s="83" t="s">
        <v>45</v>
      </c>
      <c r="I72" s="82"/>
      <c r="J72" s="83">
        <v>220</v>
      </c>
      <c r="S72" s="83"/>
      <c r="T72" s="83"/>
      <c r="U72" s="83"/>
      <c r="V72" s="84"/>
    </row>
    <row r="73" spans="1:22" ht="15.75" customHeight="1" x14ac:dyDescent="0.25">
      <c r="A73">
        <v>72</v>
      </c>
      <c r="B73" t="s">
        <v>240</v>
      </c>
      <c r="C73" t="str">
        <f t="array" ref="C73">_xlfn.IFS(ISNUMBER(SEARCH("M",vallur1[[#This Row],[JANUARY]])),"M",ISNUMBER(SEARCH("A",vallur1[[#This Row],[JANUARY]])),"A",vallur1[[#This Row],[JANUARY]]="","",vallur1[[#This Row],[JANUARY]]&gt;=100,"P")</f>
        <v>P</v>
      </c>
      <c r="D73" t="s">
        <v>30</v>
      </c>
      <c r="E73" s="85" t="s">
        <v>241</v>
      </c>
      <c r="F73" s="85" t="s">
        <v>242</v>
      </c>
      <c r="G73" s="43"/>
      <c r="H73" s="83">
        <v>250</v>
      </c>
      <c r="I73" s="84"/>
      <c r="J73" s="83">
        <v>200</v>
      </c>
      <c r="S73" s="83"/>
      <c r="T73" s="83"/>
      <c r="U73" s="83"/>
      <c r="V73" s="84"/>
    </row>
    <row r="74" spans="1:22" ht="15.75" customHeight="1" x14ac:dyDescent="0.25">
      <c r="A74">
        <v>73</v>
      </c>
      <c r="B74" t="s">
        <v>243</v>
      </c>
      <c r="C74" t="str">
        <f t="array" ref="C74">_xlfn.IFS(ISNUMBER(SEARCH("M",vallur1[[#This Row],[JANUARY]])),"M",ISNUMBER(SEARCH("A",vallur1[[#This Row],[JANUARY]])),"A",vallur1[[#This Row],[JANUARY]]="","",vallur1[[#This Row],[JANUARY]]&gt;=100,"P")</f>
        <v>M</v>
      </c>
      <c r="D74" t="s">
        <v>51</v>
      </c>
      <c r="E74" s="85" t="s">
        <v>244</v>
      </c>
      <c r="F74" s="85" t="s">
        <v>245</v>
      </c>
      <c r="G74" s="43"/>
      <c r="H74" s="83">
        <v>250</v>
      </c>
      <c r="I74" s="84"/>
      <c r="J74" s="83" t="s">
        <v>49</v>
      </c>
      <c r="S74" s="83"/>
      <c r="T74" s="83"/>
      <c r="U74" s="83"/>
      <c r="V74" s="84"/>
    </row>
    <row r="75" spans="1:22" ht="15.75" x14ac:dyDescent="0.25">
      <c r="A75" s="87">
        <v>74</v>
      </c>
      <c r="B75" s="87" t="s">
        <v>2563</v>
      </c>
      <c r="C75" s="93" t="str">
        <f t="array" ref="C75">_xlfn.IFS(ISNUMBER(SEARCH("M",vallur1[[#This Row],[JANUARY]])),"M",ISNUMBER(SEARCH("A",vallur1[[#This Row],[JANUARY]])),"A",vallur1[[#This Row],[JANUARY]]="","",vallur1[[#This Row],[JANUARY]]&gt;=100,"P")</f>
        <v>P</v>
      </c>
      <c r="D75" s="87" t="s">
        <v>2571</v>
      </c>
      <c r="E75" s="85" t="s">
        <v>2574</v>
      </c>
      <c r="F75" s="85" t="s">
        <v>2575</v>
      </c>
      <c r="G75" s="81"/>
      <c r="H75" s="83"/>
      <c r="I75" s="94"/>
      <c r="J75" s="83" t="s">
        <v>1753</v>
      </c>
      <c r="S75" s="83"/>
      <c r="T75" s="83"/>
      <c r="U75" s="83"/>
      <c r="V75" s="84"/>
    </row>
    <row r="76" spans="1:22" x14ac:dyDescent="0.25">
      <c r="A76" t="s">
        <v>246</v>
      </c>
      <c r="C76">
        <f>COUNTIF(vallur1[PAID], "&gt;=a")</f>
        <v>71</v>
      </c>
      <c r="D76" s="80">
        <f>SUBTOTAL(103,vallur1[Package])</f>
        <v>71</v>
      </c>
      <c r="E76">
        <f>SUBTOTAL(103,vallur1[Box No])</f>
        <v>72</v>
      </c>
      <c r="F76">
        <f>SUBTOTAL(103,vallur1[CAF_ID])</f>
        <v>72</v>
      </c>
      <c r="H76" s="84">
        <f>SUBTOTAL(109,vallur1[Dec-20])</f>
        <v>11070</v>
      </c>
      <c r="I76" s="84">
        <f>SUBTOTAL(109,vallur1[BALANCE])</f>
        <v>600</v>
      </c>
      <c r="J76" s="83">
        <f>SUBTOTAL(109,vallur1[JANUARY])</f>
        <v>12320</v>
      </c>
      <c r="K76" s="83">
        <f>SUBTOTAL(109,vallur1[FEBEUARY])</f>
        <v>0</v>
      </c>
      <c r="L76" s="83">
        <f>SUBTOTAL(109,vallur1[MARCH])</f>
        <v>0</v>
      </c>
      <c r="M76" s="83">
        <f>SUBTOTAL(109,vallur1[APRIL])</f>
        <v>0</v>
      </c>
      <c r="N76" s="83">
        <f>SUBTOTAL(109,vallur1[MAY])</f>
        <v>0</v>
      </c>
      <c r="O76" s="83">
        <f>SUBTOTAL(109,vallur1[JUNE])</f>
        <v>0</v>
      </c>
      <c r="P76" s="83">
        <f>SUBTOTAL(109,vallur1[JULY])</f>
        <v>0</v>
      </c>
      <c r="Q76" s="83">
        <f>SUBTOTAL(109,vallur1[AUGUST])</f>
        <v>0</v>
      </c>
      <c r="R76" s="83">
        <f>SUBTOTAL(109,vallur1[SEPTEMBER])</f>
        <v>0</v>
      </c>
      <c r="S76" s="83">
        <f>SUBTOTAL(109,vallur1[OCTOBER])</f>
        <v>0</v>
      </c>
      <c r="T76" s="83">
        <f>SUBTOTAL(109,vallur1[NOVEMBER])</f>
        <v>0</v>
      </c>
      <c r="U76" s="83">
        <f>SUBTOTAL(109,vallur1[DECEMBER])</f>
        <v>0</v>
      </c>
      <c r="V76" s="84"/>
    </row>
    <row r="77" spans="1:22" x14ac:dyDescent="0.25">
      <c r="E77" s="85"/>
      <c r="F77" s="85"/>
    </row>
    <row r="78" spans="1:22" x14ac:dyDescent="0.25">
      <c r="B78" s="9" t="s">
        <v>247</v>
      </c>
      <c r="C78" s="19">
        <f>COUNTIF(C2:C75,"P")</f>
        <v>64</v>
      </c>
    </row>
    <row r="79" spans="1:22" x14ac:dyDescent="0.25">
      <c r="B79" s="18" t="s">
        <v>248</v>
      </c>
      <c r="C79" s="23">
        <f>COUNTIF(C2:C75,"M")</f>
        <v>3</v>
      </c>
      <c r="E79" s="85"/>
    </row>
    <row r="80" spans="1:22" ht="15.75" customHeight="1" x14ac:dyDescent="0.25">
      <c r="B80" s="10" t="s">
        <v>249</v>
      </c>
      <c r="C80" s="21">
        <f>COUNTIF(C2:C75,"A")</f>
        <v>4</v>
      </c>
    </row>
    <row r="81" spans="2:9" ht="15.75" customHeight="1" thickBot="1" x14ac:dyDescent="0.3">
      <c r="B81" s="17" t="s">
        <v>250</v>
      </c>
      <c r="C81" s="17">
        <f>SUM(C78:C80)</f>
        <v>71</v>
      </c>
    </row>
    <row r="82" spans="2:9" ht="15.75" thickTop="1" x14ac:dyDescent="0.25"/>
    <row r="85" spans="2:9" x14ac:dyDescent="0.25">
      <c r="D85" s="46"/>
      <c r="E85" s="46"/>
      <c r="F85" s="46"/>
      <c r="G85" s="46"/>
      <c r="H85" s="46"/>
      <c r="I85" s="46"/>
    </row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</sheetData>
  <conditionalFormatting sqref="B78">
    <cfRule type="dataBar" priority="2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V55"/>
  <sheetViews>
    <sheetView zoomScale="115" zoomScaleNormal="115" workbookViewId="0">
      <selection activeCell="L6" sqref="L6"/>
    </sheetView>
  </sheetViews>
  <sheetFormatPr defaultRowHeight="15" x14ac:dyDescent="0.25"/>
  <cols>
    <col min="1" max="1" width="4.7109375" style="87" customWidth="1"/>
    <col min="2" max="2" width="21.85546875" style="87" customWidth="1"/>
    <col min="3" max="3" width="7.28515625" style="87" customWidth="1"/>
    <col min="4" max="4" width="30.140625" style="85" customWidth="1"/>
    <col min="5" max="5" width="18.85546875" style="87" bestFit="1" customWidth="1"/>
    <col min="6" max="8" width="11.140625" style="84" customWidth="1"/>
    <col min="9" max="16" width="11.42578125" style="83" customWidth="1"/>
    <col min="17" max="20" width="11.42578125" style="61" customWidth="1"/>
    <col min="22" max="22" width="35.85546875" style="87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s="85" t="s">
        <v>6</v>
      </c>
      <c r="H1" s="41" t="s">
        <v>8</v>
      </c>
      <c r="I1" s="84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85" t="s">
        <v>21</v>
      </c>
    </row>
    <row r="2" spans="1:22" x14ac:dyDescent="0.25">
      <c r="A2">
        <v>1</v>
      </c>
      <c r="B2" t="s">
        <v>251</v>
      </c>
      <c r="C2" t="str">
        <f t="array" ref="C2">_xlfn.IFS(ISNUMBER(SEARCH("M",vallur2[[#This Row],[JANUARY]])),"M",ISNUMBER(SEARCH("A",vallur2[[#This Row],[JANUARY]])),"A",vallur2[[#This Row],[JANUARY]]="","",vallur2[[#This Row],[JANUARY]]&gt;=100,"P")</f>
        <v>P</v>
      </c>
      <c r="D2" t="s">
        <v>23</v>
      </c>
      <c r="E2" s="85" t="s">
        <v>252</v>
      </c>
      <c r="F2" s="85" t="s">
        <v>253</v>
      </c>
      <c r="G2" s="92"/>
      <c r="H2" s="83">
        <v>200</v>
      </c>
      <c r="I2" s="82"/>
      <c r="J2" s="83">
        <v>200</v>
      </c>
      <c r="Q2" s="83"/>
      <c r="R2" s="83"/>
      <c r="S2" s="83"/>
      <c r="T2" s="83"/>
      <c r="U2" s="83"/>
      <c r="V2" s="84"/>
    </row>
    <row r="3" spans="1:22" x14ac:dyDescent="0.25">
      <c r="A3">
        <v>2</v>
      </c>
      <c r="B3" t="s">
        <v>254</v>
      </c>
      <c r="C3" t="str">
        <f t="array" ref="C3">_xlfn.IFS(ISNUMBER(SEARCH("M",vallur2[[#This Row],[JANUARY]])),"M",ISNUMBER(SEARCH("A",vallur2[[#This Row],[JANUARY]])),"A",vallur2[[#This Row],[JANUARY]]="","",vallur2[[#This Row],[JANUARY]]&gt;=100,"P")</f>
        <v>P</v>
      </c>
      <c r="D3" t="s">
        <v>51</v>
      </c>
      <c r="E3" s="85" t="s">
        <v>255</v>
      </c>
      <c r="F3" s="85" t="s">
        <v>256</v>
      </c>
      <c r="G3" s="92"/>
      <c r="H3" s="83">
        <v>200</v>
      </c>
      <c r="I3" s="82"/>
      <c r="J3" s="83">
        <v>200</v>
      </c>
      <c r="Q3" s="83"/>
      <c r="R3" s="83"/>
      <c r="S3" s="83"/>
      <c r="T3" s="83"/>
      <c r="U3" s="83"/>
      <c r="V3" s="84"/>
    </row>
    <row r="4" spans="1:22" x14ac:dyDescent="0.25">
      <c r="A4">
        <v>3</v>
      </c>
      <c r="B4" t="s">
        <v>257</v>
      </c>
      <c r="C4" t="str">
        <f t="array" ref="C4">_xlfn.IFS(ISNUMBER(SEARCH("M",vallur2[[#This Row],[JANUARY]])),"M",ISNUMBER(SEARCH("A",vallur2[[#This Row],[JANUARY]])),"A",vallur2[[#This Row],[JANUARY]]="","",vallur2[[#This Row],[JANUARY]]&gt;=100,"P")</f>
        <v>P</v>
      </c>
      <c r="D4" t="s">
        <v>23</v>
      </c>
      <c r="E4" s="85" t="s">
        <v>258</v>
      </c>
      <c r="F4" s="85" t="s">
        <v>259</v>
      </c>
      <c r="G4" s="92"/>
      <c r="H4" s="83">
        <v>200</v>
      </c>
      <c r="I4" s="24"/>
      <c r="J4" s="83">
        <v>200</v>
      </c>
      <c r="Q4" s="83"/>
      <c r="R4" s="83"/>
      <c r="S4" s="83"/>
      <c r="T4" s="83"/>
      <c r="U4" s="83"/>
      <c r="V4" s="84" t="s">
        <v>260</v>
      </c>
    </row>
    <row r="5" spans="1:22" x14ac:dyDescent="0.25">
      <c r="A5">
        <v>4</v>
      </c>
      <c r="B5" t="s">
        <v>261</v>
      </c>
      <c r="C5" t="str">
        <f t="array" ref="C5">_xlfn.IFS(ISNUMBER(SEARCH("M",vallur2[[#This Row],[JANUARY]])),"M",ISNUMBER(SEARCH("A",vallur2[[#This Row],[JANUARY]])),"A",vallur2[[#This Row],[JANUARY]]="","",vallur2[[#This Row],[JANUARY]]&gt;=100,"P")</f>
        <v>M</v>
      </c>
      <c r="D5" t="s">
        <v>36</v>
      </c>
      <c r="E5" s="85" t="s">
        <v>262</v>
      </c>
      <c r="F5" s="85" t="s">
        <v>263</v>
      </c>
      <c r="G5" s="92"/>
      <c r="H5" s="83">
        <v>300</v>
      </c>
      <c r="I5" s="24"/>
      <c r="J5" s="83" t="s">
        <v>49</v>
      </c>
      <c r="Q5" s="83"/>
      <c r="R5" s="83"/>
      <c r="S5" s="83"/>
      <c r="T5" s="83"/>
      <c r="U5" s="83"/>
      <c r="V5" s="84" t="s">
        <v>264</v>
      </c>
    </row>
    <row r="6" spans="1:22" x14ac:dyDescent="0.25">
      <c r="A6">
        <v>5</v>
      </c>
      <c r="B6" t="s">
        <v>265</v>
      </c>
      <c r="C6" t="str">
        <f t="array" ref="C6">_xlfn.IFS(ISNUMBER(SEARCH("M",vallur2[[#This Row],[JANUARY]])),"M",ISNUMBER(SEARCH("A",vallur2[[#This Row],[JANUARY]])),"A",vallur2[[#This Row],[JANUARY]]="","",vallur2[[#This Row],[JANUARY]]&gt;=100,"P")</f>
        <v>P</v>
      </c>
      <c r="D6" t="s">
        <v>131</v>
      </c>
      <c r="E6" s="85" t="s">
        <v>266</v>
      </c>
      <c r="F6" s="85" t="s">
        <v>267</v>
      </c>
      <c r="G6" s="92"/>
      <c r="H6" s="83">
        <v>200</v>
      </c>
      <c r="I6" s="82"/>
      <c r="J6" s="83">
        <v>200</v>
      </c>
      <c r="Q6" s="83"/>
      <c r="R6" s="83"/>
      <c r="S6" s="83"/>
      <c r="T6" s="83"/>
      <c r="U6" s="83"/>
      <c r="V6" s="84"/>
    </row>
    <row r="7" spans="1:22" x14ac:dyDescent="0.25">
      <c r="A7">
        <v>6</v>
      </c>
      <c r="B7" t="s">
        <v>268</v>
      </c>
      <c r="C7" t="str">
        <f t="array" ref="C7">_xlfn.IFS(ISNUMBER(SEARCH("M",vallur2[[#This Row],[JANUARY]])),"M",ISNUMBER(SEARCH("A",vallur2[[#This Row],[JANUARY]])),"A",vallur2[[#This Row],[JANUARY]]="","",vallur2[[#This Row],[JANUARY]]&gt;=100,"P")</f>
        <v>P</v>
      </c>
      <c r="D7" t="s">
        <v>30</v>
      </c>
      <c r="E7" s="85" t="s">
        <v>269</v>
      </c>
      <c r="F7" s="85" t="s">
        <v>270</v>
      </c>
      <c r="G7" s="92"/>
      <c r="H7" s="83">
        <v>220</v>
      </c>
      <c r="I7" s="25"/>
      <c r="J7" s="83">
        <v>230</v>
      </c>
      <c r="Q7" s="83"/>
      <c r="R7" s="83"/>
      <c r="S7" s="83"/>
      <c r="T7" s="83"/>
      <c r="U7" s="83"/>
      <c r="V7" s="84"/>
    </row>
    <row r="8" spans="1:22" x14ac:dyDescent="0.25">
      <c r="A8">
        <v>7</v>
      </c>
      <c r="B8" t="s">
        <v>271</v>
      </c>
      <c r="C8" t="str">
        <f t="array" ref="C8">_xlfn.IFS(ISNUMBER(SEARCH("M",vallur2[[#This Row],[JANUARY]])),"M",ISNUMBER(SEARCH("A",vallur2[[#This Row],[JANUARY]])),"A",vallur2[[#This Row],[JANUARY]]="","",vallur2[[#This Row],[JANUARY]]&gt;=100,"P")</f>
        <v>P</v>
      </c>
      <c r="D8" t="s">
        <v>30</v>
      </c>
      <c r="E8" s="85" t="s">
        <v>272</v>
      </c>
      <c r="F8" s="85" t="s">
        <v>273</v>
      </c>
      <c r="G8" s="92"/>
      <c r="H8" s="83">
        <v>220</v>
      </c>
      <c r="I8" s="82">
        <v>20</v>
      </c>
      <c r="J8" s="83">
        <v>210</v>
      </c>
      <c r="Q8" s="83"/>
      <c r="R8" s="83"/>
      <c r="S8" s="83"/>
      <c r="T8" s="83"/>
      <c r="U8" s="83"/>
      <c r="V8" s="84"/>
    </row>
    <row r="9" spans="1:22" x14ac:dyDescent="0.25">
      <c r="A9">
        <v>8</v>
      </c>
      <c r="B9" s="60" t="s">
        <v>274</v>
      </c>
      <c r="C9" t="str">
        <f t="array" ref="C9">_xlfn.IFS(ISNUMBER(SEARCH("M",vallur2[[#This Row],[JANUARY]])),"M",ISNUMBER(SEARCH("A",vallur2[[#This Row],[JANUARY]])),"A",vallur2[[#This Row],[JANUARY]]="","",vallur2[[#This Row],[JANUARY]]&gt;=100,"P")</f>
        <v>P</v>
      </c>
      <c r="D9" t="s">
        <v>51</v>
      </c>
      <c r="E9" s="85" t="s">
        <v>275</v>
      </c>
      <c r="F9" s="85" t="s">
        <v>276</v>
      </c>
      <c r="G9" s="92"/>
      <c r="H9" s="83"/>
      <c r="I9" s="82"/>
      <c r="J9" s="83">
        <v>200</v>
      </c>
      <c r="Q9" s="83"/>
      <c r="R9" s="83"/>
      <c r="S9" s="83"/>
      <c r="T9" s="83"/>
      <c r="U9" s="83"/>
      <c r="V9" s="84" t="s">
        <v>277</v>
      </c>
    </row>
    <row r="10" spans="1:22" x14ac:dyDescent="0.25">
      <c r="A10">
        <v>9</v>
      </c>
      <c r="B10" t="s">
        <v>278</v>
      </c>
      <c r="C10" t="str">
        <f t="array" ref="C10">_xlfn.IFS(ISNUMBER(SEARCH("M",vallur2[[#This Row],[JANUARY]])),"M",ISNUMBER(SEARCH("A",vallur2[[#This Row],[JANUARY]])),"A",vallur2[[#This Row],[JANUARY]]="","",vallur2[[#This Row],[JANUARY]]&gt;=100,"P")</f>
        <v>P</v>
      </c>
      <c r="D10" t="s">
        <v>23</v>
      </c>
      <c r="E10" s="85" t="s">
        <v>279</v>
      </c>
      <c r="F10" s="85" t="s">
        <v>280</v>
      </c>
      <c r="G10" s="92"/>
      <c r="H10" s="83">
        <v>200</v>
      </c>
      <c r="I10" s="82"/>
      <c r="J10" s="83">
        <v>200</v>
      </c>
      <c r="Q10" s="83"/>
      <c r="R10" s="83"/>
      <c r="S10" s="83"/>
      <c r="T10" s="83"/>
      <c r="U10" s="83"/>
      <c r="V10" s="84"/>
    </row>
    <row r="11" spans="1:22" x14ac:dyDescent="0.25">
      <c r="A11">
        <v>10</v>
      </c>
      <c r="B11" t="s">
        <v>73</v>
      </c>
      <c r="C11" t="str">
        <f t="array" ref="C11">_xlfn.IFS(ISNUMBER(SEARCH("M",vallur2[[#This Row],[JANUARY]])),"M",ISNUMBER(SEARCH("A",vallur2[[#This Row],[JANUARY]])),"A",vallur2[[#This Row],[JANUARY]]="","",vallur2[[#This Row],[JANUARY]]&gt;=100,"P")</f>
        <v>M</v>
      </c>
      <c r="D11" t="s">
        <v>23</v>
      </c>
      <c r="E11" s="85" t="s">
        <v>281</v>
      </c>
      <c r="F11" s="85" t="s">
        <v>282</v>
      </c>
      <c r="G11" s="92"/>
      <c r="H11" s="83">
        <v>200</v>
      </c>
      <c r="I11" s="82">
        <v>400</v>
      </c>
      <c r="J11" s="83" t="s">
        <v>49</v>
      </c>
      <c r="Q11" s="83"/>
      <c r="R11" s="83"/>
      <c r="S11" s="83"/>
      <c r="T11" s="83"/>
      <c r="U11" s="83"/>
      <c r="V11" s="84"/>
    </row>
    <row r="12" spans="1:22" x14ac:dyDescent="0.25">
      <c r="A12">
        <v>11</v>
      </c>
      <c r="B12" t="s">
        <v>283</v>
      </c>
      <c r="C12" t="str">
        <f t="array" ref="C12">_xlfn.IFS(ISNUMBER(SEARCH("M",vallur2[[#This Row],[JANUARY]])),"M",ISNUMBER(SEARCH("A",vallur2[[#This Row],[JANUARY]])),"A",vallur2[[#This Row],[JANUARY]]="","",vallur2[[#This Row],[JANUARY]]&gt;=100,"P")</f>
        <v>P</v>
      </c>
      <c r="D12" t="s">
        <v>30</v>
      </c>
      <c r="E12" s="85" t="s">
        <v>284</v>
      </c>
      <c r="F12" s="85" t="s">
        <v>285</v>
      </c>
      <c r="G12" s="92"/>
      <c r="H12" s="83">
        <v>220</v>
      </c>
      <c r="I12" s="82"/>
      <c r="J12" s="83">
        <v>200</v>
      </c>
      <c r="Q12" s="83"/>
      <c r="R12" s="83"/>
      <c r="S12" s="83"/>
      <c r="T12" s="83"/>
      <c r="U12" s="83"/>
      <c r="V12" s="84"/>
    </row>
    <row r="13" spans="1:22" x14ac:dyDescent="0.25">
      <c r="A13">
        <v>12</v>
      </c>
      <c r="B13" t="s">
        <v>286</v>
      </c>
      <c r="C13" t="str">
        <f t="array" ref="C13">_xlfn.IFS(ISNUMBER(SEARCH("M",vallur2[[#This Row],[JANUARY]])),"M",ISNUMBER(SEARCH("A",vallur2[[#This Row],[JANUARY]])),"A",vallur2[[#This Row],[JANUARY]]="","",vallur2[[#This Row],[JANUARY]]&gt;=100,"P")</f>
        <v>P</v>
      </c>
      <c r="D13" t="s">
        <v>30</v>
      </c>
      <c r="E13" s="85" t="s">
        <v>287</v>
      </c>
      <c r="F13" s="85" t="s">
        <v>288</v>
      </c>
      <c r="G13" s="92"/>
      <c r="H13" s="83" t="s">
        <v>45</v>
      </c>
      <c r="I13" s="82"/>
      <c r="J13" s="83">
        <v>200</v>
      </c>
      <c r="Q13" s="83"/>
      <c r="R13" s="83"/>
      <c r="S13" s="83"/>
      <c r="T13" s="83"/>
      <c r="U13" s="83"/>
      <c r="V13" s="84"/>
    </row>
    <row r="14" spans="1:22" x14ac:dyDescent="0.25">
      <c r="A14">
        <v>13</v>
      </c>
      <c r="B14" t="s">
        <v>289</v>
      </c>
      <c r="C14" t="str">
        <f t="array" ref="C14">_xlfn.IFS(ISNUMBER(SEARCH("M",vallur2[[#This Row],[JANUARY]])),"M",ISNUMBER(SEARCH("A",vallur2[[#This Row],[JANUARY]])),"A",vallur2[[#This Row],[JANUARY]]="","",vallur2[[#This Row],[JANUARY]]&gt;=100,"P")</f>
        <v>A</v>
      </c>
      <c r="D14" t="s">
        <v>30</v>
      </c>
      <c r="E14" s="85" t="s">
        <v>290</v>
      </c>
      <c r="F14" s="85" t="s">
        <v>291</v>
      </c>
      <c r="G14" s="92"/>
      <c r="H14" s="83" t="s">
        <v>292</v>
      </c>
      <c r="I14" s="84"/>
      <c r="J14" s="83" t="s">
        <v>293</v>
      </c>
      <c r="Q14" s="83"/>
      <c r="R14" s="83"/>
      <c r="S14" s="83"/>
      <c r="T14" s="83"/>
      <c r="U14" s="83"/>
      <c r="V14" s="85"/>
    </row>
    <row r="15" spans="1:22" x14ac:dyDescent="0.25">
      <c r="A15">
        <v>14</v>
      </c>
      <c r="B15" t="s">
        <v>294</v>
      </c>
      <c r="C15" t="str">
        <f t="array" ref="C15">_xlfn.IFS(ISNUMBER(SEARCH("M",vallur2[[#This Row],[JANUARY]])),"M",ISNUMBER(SEARCH("A",vallur2[[#This Row],[JANUARY]])),"A",vallur2[[#This Row],[JANUARY]]="","",vallur2[[#This Row],[JANUARY]]&gt;=100,"P")</f>
        <v>A</v>
      </c>
      <c r="D15" s="85" t="s">
        <v>88</v>
      </c>
      <c r="E15" s="85" t="s">
        <v>295</v>
      </c>
      <c r="F15" s="85" t="s">
        <v>296</v>
      </c>
      <c r="G15" s="92"/>
      <c r="H15" s="83">
        <v>400</v>
      </c>
      <c r="I15" s="84">
        <v>200</v>
      </c>
      <c r="J15" s="83" t="s">
        <v>45</v>
      </c>
      <c r="Q15" s="83"/>
      <c r="R15" s="83"/>
      <c r="S15" s="83"/>
      <c r="T15" s="83"/>
      <c r="U15" s="83"/>
      <c r="V15" s="85"/>
    </row>
    <row r="16" spans="1:22" x14ac:dyDescent="0.25">
      <c r="A16">
        <v>15</v>
      </c>
      <c r="B16" t="s">
        <v>297</v>
      </c>
      <c r="C16" t="str">
        <f t="array" ref="C16">_xlfn.IFS(ISNUMBER(SEARCH("M",vallur2[[#This Row],[JANUARY]])),"M",ISNUMBER(SEARCH("A",vallur2[[#This Row],[JANUARY]])),"A",vallur2[[#This Row],[JANUARY]]="","",vallur2[[#This Row],[JANUARY]]&gt;=100,"P")</f>
        <v>P</v>
      </c>
      <c r="D16" t="s">
        <v>36</v>
      </c>
      <c r="E16" s="85" t="s">
        <v>298</v>
      </c>
      <c r="F16" s="85" t="s">
        <v>299</v>
      </c>
      <c r="G16" s="92"/>
      <c r="H16" s="86" t="s">
        <v>300</v>
      </c>
      <c r="I16" s="84"/>
      <c r="J16" s="86">
        <v>220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5"/>
    </row>
    <row r="17" spans="1:22" x14ac:dyDescent="0.25">
      <c r="A17">
        <v>16</v>
      </c>
      <c r="B17" t="s">
        <v>301</v>
      </c>
      <c r="C17" t="str">
        <f t="array" ref="C17">_xlfn.IFS(ISNUMBER(SEARCH("M",vallur2[[#This Row],[JANUARY]])),"M",ISNUMBER(SEARCH("A",vallur2[[#This Row],[JANUARY]])),"A",vallur2[[#This Row],[JANUARY]]="","",vallur2[[#This Row],[JANUARY]]&gt;=100,"P")</f>
        <v>P</v>
      </c>
      <c r="D17" t="s">
        <v>51</v>
      </c>
      <c r="E17" s="85" t="s">
        <v>302</v>
      </c>
      <c r="F17" s="85" t="s">
        <v>303</v>
      </c>
      <c r="G17" s="92"/>
      <c r="H17" s="83">
        <v>200</v>
      </c>
      <c r="I17" s="84"/>
      <c r="J17" s="83">
        <v>200</v>
      </c>
      <c r="Q17" s="83"/>
      <c r="R17" s="83"/>
      <c r="S17" s="83"/>
      <c r="T17" s="83"/>
      <c r="U17" s="83"/>
      <c r="V17" s="85"/>
    </row>
    <row r="18" spans="1:22" x14ac:dyDescent="0.25">
      <c r="A18">
        <v>17</v>
      </c>
      <c r="B18" t="s">
        <v>304</v>
      </c>
      <c r="C18" t="str">
        <f t="array" ref="C18">_xlfn.IFS(ISNUMBER(SEARCH("M",vallur2[[#This Row],[JANUARY]])),"M",ISNUMBER(SEARCH("A",vallur2[[#This Row],[JANUARY]])),"A",vallur2[[#This Row],[JANUARY]]="","",vallur2[[#This Row],[JANUARY]]&gt;=100,"P")</f>
        <v>P</v>
      </c>
      <c r="D18" t="s">
        <v>30</v>
      </c>
      <c r="E18" s="85" t="s">
        <v>305</v>
      </c>
      <c r="F18" s="85" t="s">
        <v>306</v>
      </c>
      <c r="G18" s="92"/>
      <c r="H18" s="83">
        <v>150</v>
      </c>
      <c r="I18" s="84"/>
      <c r="J18" s="83">
        <v>150</v>
      </c>
      <c r="Q18" s="83"/>
      <c r="R18" s="83"/>
      <c r="S18" s="83"/>
      <c r="T18" s="83"/>
      <c r="U18" s="83"/>
      <c r="V18" s="85"/>
    </row>
    <row r="19" spans="1:22" x14ac:dyDescent="0.25">
      <c r="A19">
        <v>18</v>
      </c>
      <c r="B19" t="s">
        <v>307</v>
      </c>
      <c r="C19" t="str">
        <f t="array" ref="C19">_xlfn.IFS(ISNUMBER(SEARCH("M",vallur2[[#This Row],[JANUARY]])),"M",ISNUMBER(SEARCH("A",vallur2[[#This Row],[JANUARY]])),"A",vallur2[[#This Row],[JANUARY]]="","",vallur2[[#This Row],[JANUARY]]&gt;=100,"P")</f>
        <v>P</v>
      </c>
      <c r="D19" t="s">
        <v>51</v>
      </c>
      <c r="E19" s="85" t="s">
        <v>308</v>
      </c>
      <c r="F19" s="85" t="s">
        <v>309</v>
      </c>
      <c r="G19" s="92"/>
      <c r="H19" s="83">
        <v>200</v>
      </c>
      <c r="I19" s="84"/>
      <c r="J19" s="83">
        <v>200</v>
      </c>
      <c r="Q19" s="83"/>
      <c r="R19" s="83"/>
      <c r="S19" s="83"/>
      <c r="T19" s="83"/>
      <c r="U19" s="83"/>
      <c r="V19" s="85"/>
    </row>
    <row r="20" spans="1:22" x14ac:dyDescent="0.25">
      <c r="A20">
        <v>19</v>
      </c>
      <c r="B20" t="s">
        <v>310</v>
      </c>
      <c r="C20" t="str">
        <f t="array" ref="C20">_xlfn.IFS(ISNUMBER(SEARCH("M",vallur2[[#This Row],[JANUARY]])),"M",ISNUMBER(SEARCH("A",vallur2[[#This Row],[JANUARY]])),"A",vallur2[[#This Row],[JANUARY]]="","",vallur2[[#This Row],[JANUARY]]&gt;=100,"P")</f>
        <v>P</v>
      </c>
      <c r="D20" t="s">
        <v>30</v>
      </c>
      <c r="E20" s="85" t="s">
        <v>311</v>
      </c>
      <c r="F20" s="85" t="s">
        <v>312</v>
      </c>
      <c r="G20" s="92"/>
      <c r="H20" s="83">
        <v>200</v>
      </c>
      <c r="I20" s="84"/>
      <c r="J20" s="83">
        <v>200</v>
      </c>
      <c r="Q20" s="83"/>
      <c r="R20" s="83"/>
      <c r="S20" s="83"/>
      <c r="T20" s="83"/>
      <c r="U20" s="83"/>
      <c r="V20" s="85"/>
    </row>
    <row r="21" spans="1:22" x14ac:dyDescent="0.25">
      <c r="A21">
        <v>20</v>
      </c>
      <c r="B21" t="s">
        <v>91</v>
      </c>
      <c r="C21" t="str">
        <f t="array" ref="C21">_xlfn.IFS(ISNUMBER(SEARCH("M",vallur2[[#This Row],[JANUARY]])),"M",ISNUMBER(SEARCH("A",vallur2[[#This Row],[JANUARY]])),"A",vallur2[[#This Row],[JANUARY]]="","",vallur2[[#This Row],[JANUARY]]&gt;=100,"P")</f>
        <v>P</v>
      </c>
      <c r="D21" t="s">
        <v>51</v>
      </c>
      <c r="E21" s="85" t="s">
        <v>313</v>
      </c>
      <c r="F21" s="85" t="s">
        <v>314</v>
      </c>
      <c r="G21" s="92"/>
      <c r="H21" s="83">
        <v>200</v>
      </c>
      <c r="I21" s="84"/>
      <c r="J21" s="83">
        <v>200</v>
      </c>
      <c r="Q21" s="83"/>
      <c r="R21" s="83"/>
      <c r="S21" s="83"/>
      <c r="T21" s="83"/>
      <c r="U21" s="83"/>
      <c r="V21" s="85"/>
    </row>
    <row r="22" spans="1:22" x14ac:dyDescent="0.25">
      <c r="A22">
        <v>21</v>
      </c>
      <c r="B22" t="s">
        <v>315</v>
      </c>
      <c r="C22" t="str">
        <f t="array" ref="C22">_xlfn.IFS(ISNUMBER(SEARCH("M",vallur2[[#This Row],[JANUARY]])),"M",ISNUMBER(SEARCH("A",vallur2[[#This Row],[JANUARY]])),"A",vallur2[[#This Row],[JANUARY]]="","",vallur2[[#This Row],[JANUARY]]&gt;=100,"P")</f>
        <v>P</v>
      </c>
      <c r="D22" t="s">
        <v>23</v>
      </c>
      <c r="E22" s="85" t="s">
        <v>316</v>
      </c>
      <c r="F22" s="85" t="s">
        <v>317</v>
      </c>
      <c r="G22" s="92"/>
      <c r="H22" s="83">
        <v>200</v>
      </c>
      <c r="I22" s="84"/>
      <c r="J22" s="83">
        <v>200</v>
      </c>
      <c r="Q22" s="83"/>
      <c r="R22" s="83"/>
      <c r="S22" s="83"/>
      <c r="T22" s="83"/>
      <c r="U22" s="83"/>
      <c r="V22" s="85"/>
    </row>
    <row r="23" spans="1:22" x14ac:dyDescent="0.25">
      <c r="A23">
        <v>22</v>
      </c>
      <c r="B23" t="s">
        <v>318</v>
      </c>
      <c r="C23" t="str">
        <f t="array" ref="C23">_xlfn.IFS(ISNUMBER(SEARCH("M",vallur2[[#This Row],[JANUARY]])),"M",ISNUMBER(SEARCH("A",vallur2[[#This Row],[JANUARY]])),"A",vallur2[[#This Row],[JANUARY]]="","",vallur2[[#This Row],[JANUARY]]&gt;=100,"P")</f>
        <v>M</v>
      </c>
      <c r="D23" t="s">
        <v>30</v>
      </c>
      <c r="E23" s="85" t="s">
        <v>319</v>
      </c>
      <c r="F23" s="85" t="s">
        <v>320</v>
      </c>
      <c r="G23" s="92"/>
      <c r="H23" s="83">
        <v>200</v>
      </c>
      <c r="I23" s="84"/>
      <c r="J23" s="83" t="s">
        <v>49</v>
      </c>
      <c r="Q23" s="83"/>
      <c r="R23" s="83"/>
      <c r="S23" s="83"/>
      <c r="T23" s="83"/>
      <c r="U23" s="83"/>
      <c r="V23" s="85"/>
    </row>
    <row r="24" spans="1:22" x14ac:dyDescent="0.25">
      <c r="A24">
        <v>23</v>
      </c>
      <c r="B24" t="s">
        <v>321</v>
      </c>
      <c r="C24" t="str">
        <f t="array" ref="C24">_xlfn.IFS(ISNUMBER(SEARCH("M",vallur2[[#This Row],[JANUARY]])),"M",ISNUMBER(SEARCH("A",vallur2[[#This Row],[JANUARY]])),"A",vallur2[[#This Row],[JANUARY]]="","",vallur2[[#This Row],[JANUARY]]&gt;=100,"P")</f>
        <v>P</v>
      </c>
      <c r="D24" t="s">
        <v>23</v>
      </c>
      <c r="E24" s="85" t="s">
        <v>322</v>
      </c>
      <c r="F24" s="85" t="s">
        <v>323</v>
      </c>
      <c r="G24" s="92"/>
      <c r="H24" s="83">
        <v>200</v>
      </c>
      <c r="I24" s="84"/>
      <c r="J24" s="83">
        <v>200</v>
      </c>
      <c r="Q24" s="83"/>
      <c r="R24" s="83"/>
      <c r="S24" s="83"/>
      <c r="T24" s="83"/>
      <c r="U24" s="83"/>
      <c r="V24" s="85"/>
    </row>
    <row r="25" spans="1:22" x14ac:dyDescent="0.25">
      <c r="A25">
        <v>24</v>
      </c>
      <c r="B25" t="s">
        <v>324</v>
      </c>
      <c r="C25" t="str">
        <f t="array" ref="C25">_xlfn.IFS(ISNUMBER(SEARCH("M",vallur2[[#This Row],[JANUARY]])),"M",ISNUMBER(SEARCH("A",vallur2[[#This Row],[JANUARY]])),"A",vallur2[[#This Row],[JANUARY]]="","",vallur2[[#This Row],[JANUARY]]&gt;=100,"P")</f>
        <v>P</v>
      </c>
      <c r="D25" t="s">
        <v>30</v>
      </c>
      <c r="E25" s="85" t="s">
        <v>325</v>
      </c>
      <c r="F25" s="85" t="s">
        <v>326</v>
      </c>
      <c r="G25" s="92"/>
      <c r="H25" s="83">
        <v>200</v>
      </c>
      <c r="I25" s="84"/>
      <c r="J25" s="83">
        <v>200</v>
      </c>
      <c r="Q25" s="83"/>
      <c r="R25" s="83"/>
      <c r="S25" s="83"/>
      <c r="T25" s="83"/>
      <c r="U25" s="83"/>
      <c r="V25" s="85"/>
    </row>
    <row r="26" spans="1:22" x14ac:dyDescent="0.25">
      <c r="A26">
        <v>25</v>
      </c>
      <c r="B26" t="s">
        <v>327</v>
      </c>
      <c r="C26" t="str">
        <f t="array" ref="C26">_xlfn.IFS(ISNUMBER(SEARCH("M",vallur2[[#This Row],[JANUARY]])),"M",ISNUMBER(SEARCH("A",vallur2[[#This Row],[JANUARY]])),"A",vallur2[[#This Row],[JANUARY]]="","",vallur2[[#This Row],[JANUARY]]&gt;=100,"P")</f>
        <v>P</v>
      </c>
      <c r="D26" t="s">
        <v>23</v>
      </c>
      <c r="E26" s="85" t="s">
        <v>328</v>
      </c>
      <c r="F26" s="85" t="s">
        <v>329</v>
      </c>
      <c r="G26" s="92"/>
      <c r="H26" s="83">
        <v>200</v>
      </c>
      <c r="I26" s="84"/>
      <c r="J26" s="83">
        <v>200</v>
      </c>
      <c r="Q26" s="83"/>
      <c r="R26" s="83"/>
      <c r="S26" s="83"/>
      <c r="T26" s="83"/>
      <c r="U26" s="83"/>
      <c r="V26" s="85"/>
    </row>
    <row r="27" spans="1:22" x14ac:dyDescent="0.25">
      <c r="A27">
        <v>26</v>
      </c>
      <c r="B27" t="s">
        <v>330</v>
      </c>
      <c r="C27" t="str">
        <f t="array" ref="C27">_xlfn.IFS(ISNUMBER(SEARCH("M",vallur2[[#This Row],[JANUARY]])),"M",ISNUMBER(SEARCH("A",vallur2[[#This Row],[JANUARY]])),"A",vallur2[[#This Row],[JANUARY]]="","",vallur2[[#This Row],[JANUARY]]&gt;=100,"P")</f>
        <v>P</v>
      </c>
      <c r="D27" t="s">
        <v>23</v>
      </c>
      <c r="E27" s="85" t="s">
        <v>331</v>
      </c>
      <c r="F27" s="85" t="s">
        <v>332</v>
      </c>
      <c r="G27" s="92"/>
      <c r="H27" s="83">
        <v>200</v>
      </c>
      <c r="I27" s="84"/>
      <c r="J27" s="83">
        <v>200</v>
      </c>
      <c r="Q27" s="83"/>
      <c r="R27" s="83"/>
      <c r="S27" s="83"/>
      <c r="T27" s="83"/>
      <c r="U27" s="83"/>
      <c r="V27" s="85"/>
    </row>
    <row r="28" spans="1:22" x14ac:dyDescent="0.25">
      <c r="A28">
        <v>27</v>
      </c>
      <c r="B28" t="s">
        <v>333</v>
      </c>
      <c r="C28" t="str">
        <f t="array" ref="C28">_xlfn.IFS(ISNUMBER(SEARCH("M",vallur2[[#This Row],[JANUARY]])),"M",ISNUMBER(SEARCH("A",vallur2[[#This Row],[JANUARY]])),"A",vallur2[[#This Row],[JANUARY]]="","",vallur2[[#This Row],[JANUARY]]&gt;=100,"P")</f>
        <v>P</v>
      </c>
      <c r="D28" t="s">
        <v>30</v>
      </c>
      <c r="E28" s="85" t="s">
        <v>334</v>
      </c>
      <c r="F28" s="85" t="s">
        <v>335</v>
      </c>
      <c r="G28" s="92"/>
      <c r="H28" s="83">
        <v>150</v>
      </c>
      <c r="I28" s="84"/>
      <c r="J28" s="83">
        <v>150</v>
      </c>
      <c r="Q28" s="83"/>
      <c r="R28" s="83"/>
      <c r="S28" s="83"/>
      <c r="T28" s="83"/>
      <c r="U28" s="83"/>
      <c r="V28" s="85"/>
    </row>
    <row r="29" spans="1:22" x14ac:dyDescent="0.25">
      <c r="A29">
        <v>28</v>
      </c>
      <c r="B29" t="s">
        <v>336</v>
      </c>
      <c r="C29" t="str">
        <f t="array" ref="C29">_xlfn.IFS(ISNUMBER(SEARCH("M",vallur2[[#This Row],[JANUARY]])),"M",ISNUMBER(SEARCH("A",vallur2[[#This Row],[JANUARY]])),"A",vallur2[[#This Row],[JANUARY]]="","",vallur2[[#This Row],[JANUARY]]&gt;=100,"P")</f>
        <v>P</v>
      </c>
      <c r="D29" t="s">
        <v>36</v>
      </c>
      <c r="E29" s="85" t="s">
        <v>337</v>
      </c>
      <c r="F29" s="85"/>
      <c r="G29" s="92"/>
      <c r="H29" s="83">
        <v>230</v>
      </c>
      <c r="I29" s="84"/>
      <c r="J29" s="83">
        <v>200</v>
      </c>
      <c r="Q29" s="83"/>
      <c r="R29" s="83"/>
      <c r="S29" s="83"/>
      <c r="T29" s="83"/>
      <c r="U29" s="83"/>
      <c r="V29" s="85"/>
    </row>
    <row r="30" spans="1:22" x14ac:dyDescent="0.25">
      <c r="A30">
        <v>29</v>
      </c>
      <c r="B30" t="s">
        <v>338</v>
      </c>
      <c r="C30" t="str">
        <f t="array" ref="C30">_xlfn.IFS(ISNUMBER(SEARCH("M",vallur2[[#This Row],[JANUARY]])),"M",ISNUMBER(SEARCH("A",vallur2[[#This Row],[JANUARY]])),"A",vallur2[[#This Row],[JANUARY]]="","",vallur2[[#This Row],[JANUARY]]&gt;=100,"P")</f>
        <v>P</v>
      </c>
      <c r="D30" t="s">
        <v>23</v>
      </c>
      <c r="E30" s="85" t="s">
        <v>339</v>
      </c>
      <c r="F30" s="85" t="s">
        <v>340</v>
      </c>
      <c r="G30" s="92"/>
      <c r="H30" s="83">
        <v>200</v>
      </c>
      <c r="I30" s="84"/>
      <c r="J30" s="83">
        <v>200</v>
      </c>
      <c r="Q30" s="83"/>
      <c r="R30" s="83"/>
      <c r="S30" s="83"/>
      <c r="T30" s="83"/>
      <c r="U30" s="83"/>
      <c r="V30" s="85"/>
    </row>
    <row r="31" spans="1:22" x14ac:dyDescent="0.25">
      <c r="A31">
        <v>30</v>
      </c>
      <c r="B31" t="s">
        <v>341</v>
      </c>
      <c r="C31" t="str">
        <f t="array" ref="C31">_xlfn.IFS(ISNUMBER(SEARCH("M",vallur2[[#This Row],[JANUARY]])),"M",ISNUMBER(SEARCH("A",vallur2[[#This Row],[JANUARY]])),"A",vallur2[[#This Row],[JANUARY]]="","",vallur2[[#This Row],[JANUARY]]&gt;=100,"P")</f>
        <v>P</v>
      </c>
      <c r="D31" t="s">
        <v>36</v>
      </c>
      <c r="E31" s="85" t="s">
        <v>342</v>
      </c>
      <c r="F31" s="85" t="s">
        <v>343</v>
      </c>
      <c r="G31" s="92"/>
      <c r="H31" s="83">
        <v>150</v>
      </c>
      <c r="I31" s="84">
        <f>SUM(30+70)</f>
        <v>100</v>
      </c>
      <c r="J31" s="83">
        <v>200</v>
      </c>
      <c r="Q31" s="83"/>
      <c r="R31" s="83"/>
      <c r="S31" s="83"/>
      <c r="T31" s="83"/>
      <c r="U31" s="83"/>
      <c r="V31" s="85"/>
    </row>
    <row r="32" spans="1:22" x14ac:dyDescent="0.25">
      <c r="A32">
        <v>31</v>
      </c>
      <c r="B32" t="s">
        <v>344</v>
      </c>
      <c r="C32" t="str">
        <f t="array" ref="C32">_xlfn.IFS(ISNUMBER(SEARCH("M",vallur2[[#This Row],[JANUARY]])),"M",ISNUMBER(SEARCH("A",vallur2[[#This Row],[JANUARY]])),"A",vallur2[[#This Row],[JANUARY]]="","",vallur2[[#This Row],[JANUARY]]&gt;=100,"P")</f>
        <v>P</v>
      </c>
      <c r="D32" t="s">
        <v>23</v>
      </c>
      <c r="E32" s="85" t="s">
        <v>345</v>
      </c>
      <c r="F32" s="85" t="s">
        <v>346</v>
      </c>
      <c r="G32" s="92"/>
      <c r="H32" s="83" t="s">
        <v>347</v>
      </c>
      <c r="I32" s="84"/>
      <c r="J32" s="83">
        <v>200</v>
      </c>
      <c r="Q32" s="83"/>
      <c r="R32" s="83"/>
      <c r="S32" s="83"/>
      <c r="T32" s="83"/>
      <c r="U32" s="83"/>
      <c r="V32" s="85"/>
    </row>
    <row r="33" spans="1:22" x14ac:dyDescent="0.25">
      <c r="A33">
        <v>32</v>
      </c>
      <c r="B33" t="s">
        <v>110</v>
      </c>
      <c r="C33" t="str">
        <f t="array" ref="C33">_xlfn.IFS(ISNUMBER(SEARCH("M",vallur2[[#This Row],[JANUARY]])),"M",ISNUMBER(SEARCH("A",vallur2[[#This Row],[JANUARY]])),"A",vallur2[[#This Row],[JANUARY]]="","",vallur2[[#This Row],[JANUARY]]&gt;=100,"P")</f>
        <v>M</v>
      </c>
      <c r="D33" t="s">
        <v>30</v>
      </c>
      <c r="E33" s="85" t="s">
        <v>348</v>
      </c>
      <c r="F33" s="85" t="s">
        <v>349</v>
      </c>
      <c r="G33" s="92"/>
      <c r="H33" s="83">
        <v>100</v>
      </c>
      <c r="I33" s="84">
        <f>SUM(200+130)</f>
        <v>330</v>
      </c>
      <c r="J33" s="83" t="s">
        <v>49</v>
      </c>
      <c r="Q33" s="83"/>
      <c r="R33" s="83"/>
      <c r="S33" s="83"/>
      <c r="T33" s="83"/>
      <c r="U33" s="83"/>
      <c r="V33" s="85"/>
    </row>
    <row r="34" spans="1:22" x14ac:dyDescent="0.25">
      <c r="A34">
        <v>33</v>
      </c>
      <c r="B34" t="s">
        <v>254</v>
      </c>
      <c r="C34" t="str">
        <f t="array" ref="C34">_xlfn.IFS(ISNUMBER(SEARCH("M",vallur2[[#This Row],[JANUARY]])),"M",ISNUMBER(SEARCH("A",vallur2[[#This Row],[JANUARY]])),"A",vallur2[[#This Row],[JANUARY]]="","",vallur2[[#This Row],[JANUARY]]&gt;=100,"P")</f>
        <v>P</v>
      </c>
      <c r="D34" t="s">
        <v>23</v>
      </c>
      <c r="E34" s="85" t="s">
        <v>350</v>
      </c>
      <c r="F34" s="85" t="s">
        <v>351</v>
      </c>
      <c r="G34" s="92"/>
      <c r="H34" s="83">
        <v>200</v>
      </c>
      <c r="I34" s="84"/>
      <c r="J34" s="83">
        <v>200</v>
      </c>
      <c r="Q34" s="83"/>
      <c r="R34" s="83"/>
      <c r="S34" s="83"/>
      <c r="T34" s="83"/>
      <c r="U34" s="83"/>
      <c r="V34" s="85"/>
    </row>
    <row r="35" spans="1:22" x14ac:dyDescent="0.25">
      <c r="A35">
        <v>34</v>
      </c>
      <c r="B35" t="s">
        <v>352</v>
      </c>
      <c r="C35" t="str">
        <f t="array" ref="C35">_xlfn.IFS(ISNUMBER(SEARCH("M",vallur2[[#This Row],[JANUARY]])),"M",ISNUMBER(SEARCH("A",vallur2[[#This Row],[JANUARY]])),"A",vallur2[[#This Row],[JANUARY]]="","",vallur2[[#This Row],[JANUARY]]&gt;=100,"P")</f>
        <v>P</v>
      </c>
      <c r="D35" t="s">
        <v>51</v>
      </c>
      <c r="E35" s="85" t="s">
        <v>353</v>
      </c>
      <c r="F35" s="85" t="s">
        <v>354</v>
      </c>
      <c r="G35" s="92"/>
      <c r="H35" s="83">
        <v>200</v>
      </c>
      <c r="I35" s="84"/>
      <c r="J35" s="83">
        <v>200</v>
      </c>
      <c r="Q35" s="83"/>
      <c r="R35" s="83"/>
      <c r="S35" s="83"/>
      <c r="T35" s="83"/>
      <c r="U35" s="83"/>
      <c r="V35" s="85"/>
    </row>
    <row r="36" spans="1:22" x14ac:dyDescent="0.25">
      <c r="A36">
        <v>35</v>
      </c>
      <c r="B36" t="s">
        <v>355</v>
      </c>
      <c r="C36" t="str">
        <f t="array" ref="C36">_xlfn.IFS(ISNUMBER(SEARCH("M",vallur2[[#This Row],[JANUARY]])),"M",ISNUMBER(SEARCH("A",vallur2[[#This Row],[JANUARY]])),"A",vallur2[[#This Row],[JANUARY]]="","",vallur2[[#This Row],[JANUARY]]&gt;=100,"P")</f>
        <v>P</v>
      </c>
      <c r="D36" t="s">
        <v>23</v>
      </c>
      <c r="E36" s="85" t="s">
        <v>356</v>
      </c>
      <c r="F36" s="85" t="s">
        <v>357</v>
      </c>
      <c r="G36" s="92"/>
      <c r="H36" s="83">
        <v>230</v>
      </c>
      <c r="I36" s="84"/>
      <c r="J36" s="83">
        <v>200</v>
      </c>
      <c r="Q36" s="83"/>
      <c r="R36" s="83"/>
      <c r="S36" s="83"/>
      <c r="T36" s="83"/>
      <c r="U36" s="83"/>
      <c r="V36" s="85"/>
    </row>
    <row r="37" spans="1:22" x14ac:dyDescent="0.25">
      <c r="A37">
        <v>36</v>
      </c>
      <c r="B37" t="s">
        <v>307</v>
      </c>
      <c r="C37" t="str">
        <f t="array" ref="C37">_xlfn.IFS(ISNUMBER(SEARCH("M",vallur2[[#This Row],[JANUARY]])),"M",ISNUMBER(SEARCH("A",vallur2[[#This Row],[JANUARY]])),"A",vallur2[[#This Row],[JANUARY]]="","",vallur2[[#This Row],[JANUARY]]&gt;=100,"P")</f>
        <v>P</v>
      </c>
      <c r="D37" t="s">
        <v>51</v>
      </c>
      <c r="E37" s="85" t="s">
        <v>358</v>
      </c>
      <c r="F37" s="85" t="s">
        <v>359</v>
      </c>
      <c r="G37" s="92"/>
      <c r="H37" s="83">
        <v>200</v>
      </c>
      <c r="I37" s="84"/>
      <c r="J37" s="83">
        <v>200</v>
      </c>
      <c r="Q37" s="83"/>
      <c r="R37" s="83"/>
      <c r="S37" s="83"/>
      <c r="T37" s="83"/>
      <c r="U37" s="83"/>
      <c r="V37" s="85"/>
    </row>
    <row r="38" spans="1:22" x14ac:dyDescent="0.25">
      <c r="A38">
        <v>37</v>
      </c>
      <c r="B38" t="s">
        <v>360</v>
      </c>
      <c r="C38" t="str">
        <f t="array" ref="C38">_xlfn.IFS(ISNUMBER(SEARCH("M",vallur2[[#This Row],[JANUARY]])),"M",ISNUMBER(SEARCH("A",vallur2[[#This Row],[JANUARY]])),"A",vallur2[[#This Row],[JANUARY]]="","",vallur2[[#This Row],[JANUARY]]&gt;=100,"P")</f>
        <v>P</v>
      </c>
      <c r="D38" t="s">
        <v>36</v>
      </c>
      <c r="E38" s="85" t="s">
        <v>361</v>
      </c>
      <c r="F38" s="85" t="s">
        <v>362</v>
      </c>
      <c r="G38" s="92"/>
      <c r="H38" s="83">
        <v>200</v>
      </c>
      <c r="I38" s="84"/>
      <c r="J38" s="83">
        <v>200</v>
      </c>
      <c r="Q38" s="83"/>
      <c r="R38" s="83"/>
      <c r="S38" s="83"/>
      <c r="T38" s="83"/>
      <c r="U38" s="83"/>
      <c r="V38" s="85"/>
    </row>
    <row r="39" spans="1:22" x14ac:dyDescent="0.25">
      <c r="A39">
        <v>38</v>
      </c>
      <c r="B39" t="s">
        <v>363</v>
      </c>
      <c r="C39" t="str">
        <f t="array" ref="C39">_xlfn.IFS(ISNUMBER(SEARCH("M",vallur2[[#This Row],[JANUARY]])),"M",ISNUMBER(SEARCH("A",vallur2[[#This Row],[JANUARY]])),"A",vallur2[[#This Row],[JANUARY]]="","",vallur2[[#This Row],[JANUARY]]&gt;=100,"P")</f>
        <v>P</v>
      </c>
      <c r="D39" t="s">
        <v>23</v>
      </c>
      <c r="E39" s="85" t="s">
        <v>364</v>
      </c>
      <c r="F39" s="85" t="s">
        <v>365</v>
      </c>
      <c r="G39" s="92"/>
      <c r="H39" s="83">
        <v>220</v>
      </c>
      <c r="I39" s="84"/>
      <c r="J39" s="83">
        <v>220</v>
      </c>
      <c r="Q39" s="83"/>
      <c r="R39" s="83"/>
      <c r="S39" s="83"/>
      <c r="T39" s="83"/>
      <c r="U39" s="83"/>
      <c r="V39" s="85"/>
    </row>
    <row r="40" spans="1:22" x14ac:dyDescent="0.25">
      <c r="A40">
        <v>39</v>
      </c>
      <c r="B40" t="s">
        <v>366</v>
      </c>
      <c r="C40" t="str">
        <f t="array" ref="C40">_xlfn.IFS(ISNUMBER(SEARCH("M",vallur2[[#This Row],[JANUARY]])),"M",ISNUMBER(SEARCH("A",vallur2[[#This Row],[JANUARY]])),"A",vallur2[[#This Row],[JANUARY]]="","",vallur2[[#This Row],[JANUARY]]&gt;=100,"P")</f>
        <v>P</v>
      </c>
      <c r="D40" t="s">
        <v>23</v>
      </c>
      <c r="E40" s="85" t="s">
        <v>367</v>
      </c>
      <c r="F40" s="85" t="s">
        <v>368</v>
      </c>
      <c r="G40" s="92"/>
      <c r="H40" s="83">
        <v>200</v>
      </c>
      <c r="I40" s="84"/>
      <c r="J40" s="83">
        <v>200</v>
      </c>
      <c r="Q40" s="83"/>
      <c r="R40" s="83"/>
      <c r="S40" s="83"/>
      <c r="T40" s="83"/>
      <c r="U40" s="83"/>
      <c r="V40" s="85"/>
    </row>
    <row r="41" spans="1:22" ht="15.75" customHeight="1" x14ac:dyDescent="0.25">
      <c r="A41">
        <v>40</v>
      </c>
      <c r="B41" t="s">
        <v>369</v>
      </c>
      <c r="C41" t="str">
        <f t="array" ref="C41">_xlfn.IFS(ISNUMBER(SEARCH("M",vallur2[[#This Row],[JANUARY]])),"M",ISNUMBER(SEARCH("A",vallur2[[#This Row],[JANUARY]])),"A",vallur2[[#This Row],[JANUARY]]="","",vallur2[[#This Row],[JANUARY]]&gt;=100,"P")</f>
        <v>P</v>
      </c>
      <c r="D41" t="s">
        <v>23</v>
      </c>
      <c r="E41" s="85" t="s">
        <v>370</v>
      </c>
      <c r="F41" s="85" t="s">
        <v>371</v>
      </c>
      <c r="G41" s="92"/>
      <c r="H41" s="83" t="s">
        <v>49</v>
      </c>
      <c r="I41" s="84">
        <v>200</v>
      </c>
      <c r="J41" s="83">
        <v>200</v>
      </c>
      <c r="Q41" s="83"/>
      <c r="R41" s="83"/>
      <c r="S41" s="83"/>
      <c r="T41" s="83"/>
      <c r="U41" s="83"/>
      <c r="V41" s="85" t="s">
        <v>372</v>
      </c>
    </row>
    <row r="42" spans="1:22" ht="15.75" customHeight="1" x14ac:dyDescent="0.25">
      <c r="A42">
        <v>41</v>
      </c>
      <c r="B42" t="s">
        <v>373</v>
      </c>
      <c r="C42" t="str">
        <f t="array" ref="C42">_xlfn.IFS(ISNUMBER(SEARCH("M",vallur2[[#This Row],[JANUARY]])),"M",ISNUMBER(SEARCH("A",vallur2[[#This Row],[JANUARY]])),"A",vallur2[[#This Row],[JANUARY]]="","",vallur2[[#This Row],[JANUARY]]&gt;=100,"P")</f>
        <v>P</v>
      </c>
      <c r="D42" t="s">
        <v>23</v>
      </c>
      <c r="E42" s="85" t="s">
        <v>374</v>
      </c>
      <c r="F42" s="85" t="s">
        <v>375</v>
      </c>
      <c r="G42" s="92"/>
      <c r="H42" s="83">
        <v>200</v>
      </c>
      <c r="I42" s="84"/>
      <c r="J42" s="83">
        <v>200</v>
      </c>
      <c r="Q42" s="83"/>
      <c r="R42" s="83"/>
      <c r="S42" s="83"/>
      <c r="T42" s="83"/>
      <c r="U42" s="83"/>
      <c r="V42" s="85"/>
    </row>
    <row r="43" spans="1:22" ht="15.75" customHeight="1" x14ac:dyDescent="0.25">
      <c r="A43">
        <v>42</v>
      </c>
      <c r="B43" t="s">
        <v>376</v>
      </c>
      <c r="C43" t="str">
        <f t="array" ref="C43">_xlfn.IFS(ISNUMBER(SEARCH("M",vallur2[[#This Row],[JANUARY]])),"M",ISNUMBER(SEARCH("A",vallur2[[#This Row],[JANUARY]])),"A",vallur2[[#This Row],[JANUARY]]="","",vallur2[[#This Row],[JANUARY]]&gt;=100,"P")</f>
        <v>P</v>
      </c>
      <c r="D43" t="s">
        <v>30</v>
      </c>
      <c r="E43" s="85" t="s">
        <v>377</v>
      </c>
      <c r="F43" s="85" t="s">
        <v>378</v>
      </c>
      <c r="G43" s="92"/>
      <c r="H43" s="83">
        <v>200</v>
      </c>
      <c r="I43" s="84"/>
      <c r="J43" s="83">
        <v>200</v>
      </c>
      <c r="Q43" s="83"/>
      <c r="R43" s="83"/>
      <c r="S43" s="83"/>
      <c r="T43" s="83"/>
      <c r="U43" s="83"/>
      <c r="V43" s="85"/>
    </row>
    <row r="44" spans="1:22" ht="15.75" customHeight="1" x14ac:dyDescent="0.25">
      <c r="A44">
        <v>43</v>
      </c>
      <c r="B44" t="s">
        <v>379</v>
      </c>
      <c r="C44" t="str">
        <f t="array" ref="C44">_xlfn.IFS(ISNUMBER(SEARCH("M",vallur2[[#This Row],[JANUARY]])),"M",ISNUMBER(SEARCH("A",vallur2[[#This Row],[JANUARY]])),"A",vallur2[[#This Row],[JANUARY]]="","",vallur2[[#This Row],[JANUARY]]&gt;=100,"P")</f>
        <v>P</v>
      </c>
      <c r="D44" t="s">
        <v>51</v>
      </c>
      <c r="E44" s="85" t="s">
        <v>380</v>
      </c>
      <c r="F44" s="85" t="s">
        <v>381</v>
      </c>
      <c r="G44" s="92"/>
      <c r="H44" s="83">
        <v>200</v>
      </c>
      <c r="I44" s="84"/>
      <c r="J44" s="83">
        <v>200</v>
      </c>
      <c r="Q44" s="83"/>
      <c r="R44" s="83"/>
      <c r="S44" s="83"/>
      <c r="T44" s="83"/>
      <c r="U44" s="83"/>
      <c r="V44" s="85"/>
    </row>
    <row r="45" spans="1:22" ht="15.75" customHeight="1" x14ac:dyDescent="0.25">
      <c r="A45">
        <v>44</v>
      </c>
      <c r="B45" t="s">
        <v>318</v>
      </c>
      <c r="C45" t="str">
        <f t="array" ref="C45">_xlfn.IFS(ISNUMBER(SEARCH("M",vallur2[[#This Row],[JANUARY]])),"M",ISNUMBER(SEARCH("A",vallur2[[#This Row],[JANUARY]])),"A",vallur2[[#This Row],[JANUARY]]="","",vallur2[[#This Row],[JANUARY]]&gt;=100,"P")</f>
        <v>M</v>
      </c>
      <c r="D45" t="s">
        <v>131</v>
      </c>
      <c r="E45" s="85" t="s">
        <v>382</v>
      </c>
      <c r="F45" s="85" t="s">
        <v>383</v>
      </c>
      <c r="G45" s="92"/>
      <c r="H45" s="83" t="s">
        <v>384</v>
      </c>
      <c r="I45" s="82"/>
      <c r="J45" s="83" t="s">
        <v>49</v>
      </c>
      <c r="Q45" s="83"/>
      <c r="R45" s="83"/>
      <c r="S45" s="83"/>
      <c r="T45" s="83"/>
      <c r="U45" s="83"/>
      <c r="V45" s="84"/>
    </row>
    <row r="46" spans="1:22" s="91" customFormat="1" ht="15.75" customHeight="1" x14ac:dyDescent="0.25">
      <c r="A46" s="91">
        <v>45</v>
      </c>
      <c r="B46" s="91" t="s">
        <v>91</v>
      </c>
      <c r="C46" s="91" t="str">
        <f t="array" ref="C46">_xlfn.IFS(ISNUMBER(SEARCH("M",vallur2[[#This Row],[JANUARY]])),"M",ISNUMBER(SEARCH("A",vallur2[[#This Row],[JANUARY]])),"A",vallur2[[#This Row],[JANUARY]]="","",vallur2[[#This Row],[JANUARY]]&gt;=100,"P")</f>
        <v/>
      </c>
    </row>
    <row r="47" spans="1:22" x14ac:dyDescent="0.25">
      <c r="A47">
        <v>46</v>
      </c>
      <c r="B47" t="s">
        <v>386</v>
      </c>
      <c r="C47" t="str">
        <f t="array" ref="C47">_xlfn.IFS(ISNUMBER(SEARCH("M",vallur2[[#This Row],[JANUARY]])),"M",ISNUMBER(SEARCH("A",vallur2[[#This Row],[JANUARY]])),"A",vallur2[[#This Row],[JANUARY]]="","",vallur2[[#This Row],[JANUARY]]&gt;=100,"P")</f>
        <v>P</v>
      </c>
      <c r="D47" t="s">
        <v>30</v>
      </c>
      <c r="E47" s="85" t="s">
        <v>387</v>
      </c>
      <c r="F47" s="85" t="s">
        <v>388</v>
      </c>
      <c r="G47" s="92"/>
      <c r="H47" s="83">
        <v>220</v>
      </c>
      <c r="I47" s="84"/>
      <c r="J47" s="83">
        <v>200</v>
      </c>
      <c r="Q47" s="83"/>
      <c r="R47" s="83"/>
      <c r="S47" s="83"/>
      <c r="T47" s="83"/>
      <c r="U47" s="83"/>
      <c r="V47" s="85"/>
    </row>
    <row r="48" spans="1:22" x14ac:dyDescent="0.25">
      <c r="A48">
        <v>47</v>
      </c>
      <c r="B48" t="s">
        <v>389</v>
      </c>
      <c r="C48" t="str">
        <f t="array" ref="C48">_xlfn.IFS(ISNUMBER(SEARCH("M",vallur2[[#This Row],[JANUARY]])),"M",ISNUMBER(SEARCH("A",vallur2[[#This Row],[JANUARY]])),"A",vallur2[[#This Row],[JANUARY]]="","",vallur2[[#This Row],[JANUARY]]&gt;=100,"P")</f>
        <v>P</v>
      </c>
      <c r="D48" s="93" t="s">
        <v>23</v>
      </c>
      <c r="E48" s="85" t="s">
        <v>390</v>
      </c>
      <c r="F48" s="85" t="s">
        <v>391</v>
      </c>
      <c r="G48" s="92"/>
      <c r="H48" s="83" t="s">
        <v>392</v>
      </c>
      <c r="I48" s="82"/>
      <c r="J48" s="83" t="s">
        <v>2565</v>
      </c>
      <c r="K48" s="83" t="s">
        <v>2564</v>
      </c>
      <c r="Q48" s="83"/>
      <c r="R48" s="83"/>
      <c r="S48" s="83"/>
      <c r="T48" s="83"/>
      <c r="U48" s="83"/>
      <c r="V48" s="84"/>
    </row>
    <row r="49" spans="1:22" x14ac:dyDescent="0.25">
      <c r="A49" t="s">
        <v>246</v>
      </c>
      <c r="C49">
        <f>COUNTIF(C2:C48, "&gt;=a")</f>
        <v>46</v>
      </c>
      <c r="D49">
        <f>SUBTOTAL(103,vallur2[Package])</f>
        <v>46</v>
      </c>
      <c r="E49">
        <f>SUBTOTAL(103,vallur2[Box No])</f>
        <v>46</v>
      </c>
      <c r="F49">
        <f>SUBTOTAL(103,vallur2[CAF_ID])</f>
        <v>45</v>
      </c>
      <c r="H49" s="84">
        <f>SUBTOTAL(109,vallur2[Dec-20])</f>
        <v>7810</v>
      </c>
      <c r="I49" s="84">
        <f>SUBTOTAL(109,vallur2[BALANCE])</f>
        <v>1250</v>
      </c>
      <c r="J49" s="83">
        <f>SUBTOTAL(109,vallur2[JANUARY])</f>
        <v>7580</v>
      </c>
      <c r="K49" s="83">
        <f>SUBTOTAL(109,vallur2[FEBEUARY])</f>
        <v>0</v>
      </c>
      <c r="L49" s="83">
        <f>SUBTOTAL(109,vallur2[MARCH])</f>
        <v>0</v>
      </c>
      <c r="M49" s="83">
        <f>SUBTOTAL(109,vallur2[APRIL])</f>
        <v>0</v>
      </c>
      <c r="N49" s="83">
        <f>SUBTOTAL(109,vallur2[MAY])</f>
        <v>0</v>
      </c>
      <c r="O49" s="83">
        <f>SUBTOTAL(109,vallur2[JUNE])</f>
        <v>0</v>
      </c>
      <c r="P49" s="83">
        <f>SUBTOTAL(109,vallur2[JULY])</f>
        <v>0</v>
      </c>
      <c r="Q49" s="83">
        <f>SUBTOTAL(109,vallur2[AUGUST])</f>
        <v>0</v>
      </c>
      <c r="R49" s="83">
        <f>SUBTOTAL(109,vallur2[SEPTEMBER])</f>
        <v>0</v>
      </c>
      <c r="S49" s="83">
        <f>SUBTOTAL(109,vallur2[OCTOBER])</f>
        <v>0</v>
      </c>
      <c r="T49" s="83">
        <f>SUBTOTAL(109,vallur2[NOVEMBER])</f>
        <v>0</v>
      </c>
      <c r="U49" s="83"/>
      <c r="V49" s="84"/>
    </row>
    <row r="51" spans="1:22" x14ac:dyDescent="0.25">
      <c r="B51" s="9" t="s">
        <v>247</v>
      </c>
      <c r="C51" s="19">
        <f>COUNTIF(C2:C48,"P")</f>
        <v>39</v>
      </c>
    </row>
    <row r="52" spans="1:22" x14ac:dyDescent="0.25">
      <c r="B52" s="18" t="s">
        <v>248</v>
      </c>
      <c r="C52" s="23">
        <f>COUNTIF(C2:C48,"M")</f>
        <v>5</v>
      </c>
    </row>
    <row r="53" spans="1:22" x14ac:dyDescent="0.25">
      <c r="B53" s="10" t="s">
        <v>249</v>
      </c>
      <c r="C53" s="21">
        <f>COUNTIF(C2:C48,"A")</f>
        <v>2</v>
      </c>
    </row>
    <row r="54" spans="1:22" ht="15.75" customHeight="1" thickBot="1" x14ac:dyDescent="0.3">
      <c r="B54" s="17" t="s">
        <v>250</v>
      </c>
      <c r="C54" s="17">
        <f>SUM(C51:C53)</f>
        <v>46</v>
      </c>
    </row>
    <row r="55" spans="1:22" ht="15.75" customHeight="1" thickTop="1" x14ac:dyDescent="0.25"/>
  </sheetData>
  <conditionalFormatting sqref="B5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portrait" horizontalDpi="300" verticalDpi="300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92D050"/>
  </sheetPr>
  <dimension ref="A1:V76"/>
  <sheetViews>
    <sheetView zoomScale="115" zoomScaleNormal="115" workbookViewId="0">
      <selection activeCell="V7" sqref="V7"/>
    </sheetView>
  </sheetViews>
  <sheetFormatPr defaultRowHeight="15" x14ac:dyDescent="0.25"/>
  <cols>
    <col min="1" max="1" width="5.85546875" style="8" customWidth="1"/>
    <col min="2" max="2" width="21.28515625" style="87" customWidth="1"/>
    <col min="3" max="3" width="6.7109375" style="87" customWidth="1"/>
    <col min="4" max="4" width="29.7109375" style="87" customWidth="1"/>
    <col min="5" max="5" width="23.140625" style="87" customWidth="1"/>
    <col min="7" max="8" width="12.42578125" style="26" customWidth="1"/>
    <col min="9" max="17" width="12.140625" style="26" customWidth="1"/>
    <col min="18" max="20" width="12.140625" style="87" customWidth="1"/>
    <col min="21" max="21" width="11.5703125" style="87" customWidth="1"/>
    <col min="22" max="22" width="38.42578125" style="87" customWidth="1"/>
  </cols>
  <sheetData>
    <row r="1" spans="1:22" x14ac:dyDescent="0.25">
      <c r="A1" s="8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1" t="s">
        <v>8</v>
      </c>
      <c r="I1" s="26" t="s">
        <v>7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  <c r="T1" s="26" t="s">
        <v>19</v>
      </c>
      <c r="U1" s="26" t="s">
        <v>20</v>
      </c>
      <c r="V1" s="85" t="s">
        <v>21</v>
      </c>
    </row>
    <row r="2" spans="1:22" x14ac:dyDescent="0.25">
      <c r="A2" s="8">
        <v>1</v>
      </c>
      <c r="B2" t="s">
        <v>393</v>
      </c>
      <c r="C2" t="str">
        <f t="array" ref="C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" t="s">
        <v>23</v>
      </c>
      <c r="E2" s="85" t="s">
        <v>394</v>
      </c>
      <c r="F2" s="85" t="s">
        <v>395</v>
      </c>
      <c r="G2" s="85"/>
      <c r="H2" s="83">
        <v>200</v>
      </c>
      <c r="I2" s="86"/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5"/>
    </row>
    <row r="3" spans="1:22" x14ac:dyDescent="0.25">
      <c r="A3" s="8">
        <v>2</v>
      </c>
      <c r="B3" t="s">
        <v>396</v>
      </c>
      <c r="C3" t="str">
        <f t="array" ref="C3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3" t="s">
        <v>30</v>
      </c>
      <c r="E3" s="85" t="s">
        <v>397</v>
      </c>
      <c r="F3" s="85" t="s">
        <v>398</v>
      </c>
      <c r="G3" s="85"/>
      <c r="H3" s="83" t="s">
        <v>49</v>
      </c>
      <c r="I3" s="86" t="s">
        <v>2587</v>
      </c>
      <c r="J3" s="86" t="s">
        <v>49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5"/>
    </row>
    <row r="4" spans="1:22" x14ac:dyDescent="0.25">
      <c r="A4" s="8">
        <v>3</v>
      </c>
      <c r="B4" t="s">
        <v>399</v>
      </c>
      <c r="C4" t="str">
        <f t="array" ref="C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" t="s">
        <v>30</v>
      </c>
      <c r="E4" s="85" t="s">
        <v>400</v>
      </c>
      <c r="F4" s="85" t="s">
        <v>401</v>
      </c>
      <c r="G4" s="85"/>
      <c r="H4" s="83">
        <v>200</v>
      </c>
      <c r="I4" s="86"/>
      <c r="J4" s="86">
        <v>200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85"/>
    </row>
    <row r="5" spans="1:22" x14ac:dyDescent="0.25">
      <c r="A5" s="8">
        <v>4</v>
      </c>
      <c r="B5" t="s">
        <v>402</v>
      </c>
      <c r="C5" t="str">
        <f t="array" ref="C5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5" s="85" t="s">
        <v>403</v>
      </c>
      <c r="F5" s="85" t="s">
        <v>404</v>
      </c>
      <c r="G5" s="85"/>
      <c r="H5" s="83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5"/>
    </row>
    <row r="6" spans="1:22" x14ac:dyDescent="0.25">
      <c r="A6" s="8">
        <v>5</v>
      </c>
      <c r="B6" t="s">
        <v>405</v>
      </c>
      <c r="C6" t="str">
        <f t="array" ref="C6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6" t="s">
        <v>51</v>
      </c>
      <c r="E6" s="85" t="s">
        <v>406</v>
      </c>
      <c r="F6" s="85" t="s">
        <v>407</v>
      </c>
      <c r="G6" s="85"/>
      <c r="H6" s="83">
        <v>300</v>
      </c>
      <c r="I6" s="86">
        <v>150</v>
      </c>
      <c r="J6" s="86" t="s">
        <v>49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5"/>
    </row>
    <row r="7" spans="1:22" x14ac:dyDescent="0.25">
      <c r="A7" s="8">
        <v>6</v>
      </c>
      <c r="B7" t="s">
        <v>408</v>
      </c>
      <c r="C7" t="str">
        <f t="array" ref="C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7" t="s">
        <v>409</v>
      </c>
      <c r="E7" s="85" t="s">
        <v>410</v>
      </c>
      <c r="F7" s="85" t="s">
        <v>411</v>
      </c>
      <c r="G7" s="85"/>
      <c r="H7" s="83">
        <v>240</v>
      </c>
      <c r="I7" s="86"/>
      <c r="J7" s="86">
        <v>220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5"/>
    </row>
    <row r="8" spans="1:22" x14ac:dyDescent="0.25">
      <c r="A8" s="8">
        <v>7</v>
      </c>
      <c r="B8" t="s">
        <v>412</v>
      </c>
      <c r="C8" t="str">
        <f t="array" ref="C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8" t="s">
        <v>30</v>
      </c>
      <c r="E8" s="85" t="s">
        <v>413</v>
      </c>
      <c r="F8" s="85" t="s">
        <v>414</v>
      </c>
      <c r="G8" s="85"/>
      <c r="H8" s="83">
        <v>230</v>
      </c>
      <c r="I8" s="86"/>
      <c r="J8" s="86">
        <v>230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26"/>
    </row>
    <row r="9" spans="1:22" x14ac:dyDescent="0.25">
      <c r="A9" s="8">
        <v>8</v>
      </c>
      <c r="B9" t="s">
        <v>415</v>
      </c>
      <c r="C9" t="str">
        <f t="array" ref="C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9" t="s">
        <v>30</v>
      </c>
      <c r="E9" s="85" t="s">
        <v>416</v>
      </c>
      <c r="F9" s="85" t="s">
        <v>417</v>
      </c>
      <c r="G9" s="85"/>
      <c r="H9" s="83">
        <v>200</v>
      </c>
      <c r="I9" s="86"/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26"/>
    </row>
    <row r="10" spans="1:22" x14ac:dyDescent="0.25">
      <c r="A10" s="8">
        <v>9</v>
      </c>
      <c r="B10" t="s">
        <v>418</v>
      </c>
      <c r="C10" t="str">
        <f t="array" ref="C1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0" t="s">
        <v>23</v>
      </c>
      <c r="E10" s="85" t="s">
        <v>419</v>
      </c>
      <c r="F10" s="85" t="s">
        <v>420</v>
      </c>
      <c r="G10" s="85"/>
      <c r="H10" s="83">
        <v>200</v>
      </c>
      <c r="I10" s="86"/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5"/>
    </row>
    <row r="11" spans="1:22" x14ac:dyDescent="0.25">
      <c r="A11" s="8">
        <v>10</v>
      </c>
      <c r="B11" t="s">
        <v>421</v>
      </c>
      <c r="C11" t="str">
        <f t="array" ref="C1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1" t="s">
        <v>51</v>
      </c>
      <c r="E11" s="85" t="s">
        <v>422</v>
      </c>
      <c r="F11" s="85" t="s">
        <v>423</v>
      </c>
      <c r="G11" s="85"/>
      <c r="H11" s="83">
        <v>200</v>
      </c>
      <c r="I11" s="86"/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26"/>
    </row>
    <row r="12" spans="1:22" x14ac:dyDescent="0.25">
      <c r="A12" s="8">
        <v>11</v>
      </c>
      <c r="B12" t="s">
        <v>424</v>
      </c>
      <c r="C12" t="str">
        <f t="array" ref="C1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2" t="s">
        <v>23</v>
      </c>
      <c r="E12" s="85" t="s">
        <v>425</v>
      </c>
      <c r="F12" s="85" t="s">
        <v>426</v>
      </c>
      <c r="G12" s="85"/>
      <c r="H12" s="83">
        <v>200</v>
      </c>
      <c r="I12" s="86"/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26"/>
    </row>
    <row r="13" spans="1:22" x14ac:dyDescent="0.25">
      <c r="A13" s="8">
        <v>12</v>
      </c>
      <c r="B13" t="s">
        <v>427</v>
      </c>
      <c r="C13" t="str">
        <f t="array" ref="C1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3" t="s">
        <v>30</v>
      </c>
      <c r="E13" s="85" t="s">
        <v>428</v>
      </c>
      <c r="F13" s="85" t="s">
        <v>429</v>
      </c>
      <c r="G13" s="85"/>
      <c r="H13" s="83">
        <v>220</v>
      </c>
      <c r="I13" s="86"/>
      <c r="J13" s="86">
        <v>200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26"/>
    </row>
    <row r="14" spans="1:22" x14ac:dyDescent="0.25">
      <c r="A14" s="8">
        <v>13</v>
      </c>
      <c r="B14" t="s">
        <v>430</v>
      </c>
      <c r="C14" t="str">
        <f t="array" ref="C14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14" t="s">
        <v>51</v>
      </c>
      <c r="E14" s="85" t="s">
        <v>431</v>
      </c>
      <c r="F14" s="85" t="s">
        <v>432</v>
      </c>
      <c r="G14" s="85"/>
      <c r="H14" s="83">
        <v>260</v>
      </c>
      <c r="I14" s="86">
        <v>230</v>
      </c>
      <c r="J14" s="86" t="s">
        <v>49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26"/>
    </row>
    <row r="15" spans="1:22" x14ac:dyDescent="0.25">
      <c r="A15" s="8">
        <v>14</v>
      </c>
      <c r="B15" t="s">
        <v>421</v>
      </c>
      <c r="C15" t="str">
        <f t="array" ref="C1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5" t="s">
        <v>30</v>
      </c>
      <c r="E15" s="85" t="s">
        <v>433</v>
      </c>
      <c r="F15" s="85" t="s">
        <v>434</v>
      </c>
      <c r="G15" s="85"/>
      <c r="H15" s="83">
        <v>230</v>
      </c>
      <c r="I15" s="86"/>
      <c r="J15" s="86">
        <v>230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26"/>
    </row>
    <row r="16" spans="1:22" x14ac:dyDescent="0.25">
      <c r="A16" s="8">
        <v>15</v>
      </c>
      <c r="B16" t="s">
        <v>435</v>
      </c>
      <c r="C16" t="str">
        <f t="array" ref="C1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6" t="s">
        <v>51</v>
      </c>
      <c r="E16" s="85" t="s">
        <v>436</v>
      </c>
      <c r="F16" s="85" t="s">
        <v>437</v>
      </c>
      <c r="G16" s="85"/>
      <c r="H16" s="83">
        <v>200</v>
      </c>
      <c r="I16" s="86"/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26"/>
    </row>
    <row r="17" spans="1:22" x14ac:dyDescent="0.25">
      <c r="A17" s="8">
        <v>16</v>
      </c>
      <c r="B17" t="s">
        <v>438</v>
      </c>
      <c r="C17" t="str">
        <f t="array" ref="C1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7" t="s">
        <v>36</v>
      </c>
      <c r="E17" s="85" t="s">
        <v>439</v>
      </c>
      <c r="F17" s="85" t="s">
        <v>440</v>
      </c>
      <c r="G17" s="85"/>
      <c r="H17" s="83">
        <v>220</v>
      </c>
      <c r="I17" s="86"/>
      <c r="J17" s="86">
        <v>200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26"/>
    </row>
    <row r="18" spans="1:22" s="91" customFormat="1" x14ac:dyDescent="0.25">
      <c r="A18" s="98">
        <v>17</v>
      </c>
      <c r="B18" s="98" t="s">
        <v>441</v>
      </c>
      <c r="C18" s="98" t="str">
        <f t="array" ref="C1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8" t="s">
        <v>30</v>
      </c>
      <c r="E18" s="98" t="s">
        <v>442</v>
      </c>
      <c r="F18" s="98" t="s">
        <v>443</v>
      </c>
      <c r="G18" s="98"/>
      <c r="H18" s="98" t="s">
        <v>54</v>
      </c>
      <c r="I18" s="98"/>
      <c r="J18" s="105" t="s">
        <v>2561</v>
      </c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</row>
    <row r="19" spans="1:22" x14ac:dyDescent="0.25">
      <c r="A19" s="8">
        <v>18</v>
      </c>
      <c r="B19" t="s">
        <v>444</v>
      </c>
      <c r="C19" t="str">
        <f t="array" ref="C1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19" t="s">
        <v>30</v>
      </c>
      <c r="E19" s="85" t="s">
        <v>445</v>
      </c>
      <c r="F19" s="85" t="s">
        <v>446</v>
      </c>
      <c r="G19" s="85"/>
      <c r="H19" s="83">
        <v>200</v>
      </c>
      <c r="I19" s="86"/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26"/>
    </row>
    <row r="20" spans="1:22" x14ac:dyDescent="0.25">
      <c r="A20" s="8">
        <v>19</v>
      </c>
      <c r="B20" t="s">
        <v>447</v>
      </c>
      <c r="C20" t="str">
        <f t="array" ref="C2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0" t="s">
        <v>30</v>
      </c>
      <c r="E20" s="85" t="s">
        <v>448</v>
      </c>
      <c r="F20" s="85" t="s">
        <v>449</v>
      </c>
      <c r="G20" s="85"/>
      <c r="H20" s="83">
        <v>230</v>
      </c>
      <c r="I20" s="86"/>
      <c r="J20" s="86">
        <v>230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26"/>
    </row>
    <row r="21" spans="1:22" x14ac:dyDescent="0.25">
      <c r="A21" s="8">
        <v>20</v>
      </c>
      <c r="B21" t="s">
        <v>450</v>
      </c>
      <c r="C21" t="str">
        <f t="array" ref="C2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1" t="s">
        <v>51</v>
      </c>
      <c r="E21" s="85" t="s">
        <v>451</v>
      </c>
      <c r="F21" s="85" t="s">
        <v>452</v>
      </c>
      <c r="G21" s="85"/>
      <c r="H21" s="83">
        <v>200</v>
      </c>
      <c r="I21" s="86"/>
      <c r="J21" s="86">
        <v>200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26"/>
    </row>
    <row r="22" spans="1:22" x14ac:dyDescent="0.25">
      <c r="A22" s="8">
        <v>21</v>
      </c>
      <c r="B22" t="s">
        <v>453</v>
      </c>
      <c r="C22" t="str">
        <f t="array" ref="C22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2" t="s">
        <v>23</v>
      </c>
      <c r="E22" s="85" t="s">
        <v>454</v>
      </c>
      <c r="F22" s="85" t="s">
        <v>455</v>
      </c>
      <c r="G22" s="85"/>
      <c r="H22" s="83" t="s">
        <v>231</v>
      </c>
      <c r="I22" s="86"/>
      <c r="J22" s="86" t="s">
        <v>231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26"/>
    </row>
    <row r="23" spans="1:22" x14ac:dyDescent="0.25">
      <c r="A23" s="8">
        <v>22</v>
      </c>
      <c r="B23" t="s">
        <v>456</v>
      </c>
      <c r="C23" t="str">
        <f t="array" ref="C2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23" t="s">
        <v>23</v>
      </c>
      <c r="E23" s="85" t="s">
        <v>457</v>
      </c>
      <c r="F23" s="85" t="s">
        <v>458</v>
      </c>
      <c r="G23" s="85"/>
      <c r="H23" s="83" t="s">
        <v>231</v>
      </c>
      <c r="I23" s="86"/>
      <c r="J23" s="86" t="s">
        <v>459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26"/>
    </row>
    <row r="24" spans="1:22" x14ac:dyDescent="0.25">
      <c r="A24" s="8">
        <v>23</v>
      </c>
      <c r="B24" t="s">
        <v>460</v>
      </c>
      <c r="C24" t="str">
        <f t="array" ref="C2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4" t="s">
        <v>36</v>
      </c>
      <c r="E24" s="85" t="s">
        <v>461</v>
      </c>
      <c r="F24" s="85" t="s">
        <v>462</v>
      </c>
      <c r="G24" s="85"/>
      <c r="H24" s="83">
        <v>230</v>
      </c>
      <c r="I24" s="86"/>
      <c r="J24" s="86">
        <v>230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5"/>
    </row>
    <row r="25" spans="1:22" x14ac:dyDescent="0.25">
      <c r="A25" s="8">
        <v>24</v>
      </c>
      <c r="B25" t="s">
        <v>463</v>
      </c>
      <c r="C25" t="str">
        <f t="array" ref="C2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5" t="s">
        <v>23</v>
      </c>
      <c r="E25" s="85" t="s">
        <v>464</v>
      </c>
      <c r="F25" s="85" t="s">
        <v>465</v>
      </c>
      <c r="G25" s="85"/>
      <c r="H25" s="83">
        <v>200</v>
      </c>
      <c r="I25" s="86"/>
      <c r="J25" s="86">
        <v>200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26"/>
    </row>
    <row r="26" spans="1:22" x14ac:dyDescent="0.25">
      <c r="A26" s="8">
        <v>25</v>
      </c>
      <c r="B26" t="s">
        <v>466</v>
      </c>
      <c r="C26" t="str">
        <f t="array" ref="C2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6" t="s">
        <v>30</v>
      </c>
      <c r="E26" s="85" t="s">
        <v>467</v>
      </c>
      <c r="F26" s="85" t="s">
        <v>468</v>
      </c>
      <c r="G26" s="85"/>
      <c r="H26" s="83">
        <v>200</v>
      </c>
      <c r="I26" s="86"/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26"/>
    </row>
    <row r="27" spans="1:22" x14ac:dyDescent="0.25">
      <c r="A27" s="8">
        <v>26</v>
      </c>
      <c r="B27" t="s">
        <v>469</v>
      </c>
      <c r="C27" t="str">
        <f t="array" ref="C2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7" t="s">
        <v>51</v>
      </c>
      <c r="E27" s="85" t="s">
        <v>470</v>
      </c>
      <c r="F27" s="85" t="s">
        <v>471</v>
      </c>
      <c r="G27" s="85"/>
      <c r="H27" s="83">
        <v>200</v>
      </c>
      <c r="I27" s="86"/>
      <c r="J27" s="86">
        <v>200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26"/>
    </row>
    <row r="28" spans="1:22" x14ac:dyDescent="0.25">
      <c r="A28" s="8">
        <v>27</v>
      </c>
      <c r="B28" t="s">
        <v>472</v>
      </c>
      <c r="C28" t="str">
        <f t="array" ref="C2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8" t="s">
        <v>30</v>
      </c>
      <c r="E28" s="85" t="s">
        <v>473</v>
      </c>
      <c r="F28" s="85" t="s">
        <v>474</v>
      </c>
      <c r="G28" s="85"/>
      <c r="H28" s="83">
        <v>200</v>
      </c>
      <c r="I28" s="86"/>
      <c r="J28" s="86">
        <v>200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26"/>
    </row>
    <row r="29" spans="1:22" x14ac:dyDescent="0.25">
      <c r="A29" s="8">
        <v>28</v>
      </c>
      <c r="B29" t="s">
        <v>475</v>
      </c>
      <c r="C29" t="str">
        <f t="array" ref="C2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29" t="s">
        <v>36</v>
      </c>
      <c r="E29" s="85" t="s">
        <v>476</v>
      </c>
      <c r="F29" s="85" t="s">
        <v>477</v>
      </c>
      <c r="G29" s="85"/>
      <c r="H29" s="83">
        <v>200</v>
      </c>
      <c r="I29" s="86"/>
      <c r="J29" s="86">
        <v>200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26"/>
    </row>
    <row r="30" spans="1:22" x14ac:dyDescent="0.25">
      <c r="A30" s="8">
        <v>29</v>
      </c>
      <c r="B30" t="s">
        <v>478</v>
      </c>
      <c r="C30" t="str">
        <f t="array" ref="C30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30" s="85" t="s">
        <v>479</v>
      </c>
      <c r="F30" s="85" t="s">
        <v>480</v>
      </c>
      <c r="G30" s="85"/>
      <c r="H30" s="83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26"/>
    </row>
    <row r="31" spans="1:22" x14ac:dyDescent="0.25">
      <c r="A31" s="8">
        <v>30</v>
      </c>
      <c r="B31" t="s">
        <v>307</v>
      </c>
      <c r="C31" t="str">
        <f t="array" ref="C3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1" t="s">
        <v>36</v>
      </c>
      <c r="E31" s="85" t="s">
        <v>481</v>
      </c>
      <c r="F31" s="85" t="s">
        <v>482</v>
      </c>
      <c r="G31" s="85"/>
      <c r="H31" s="83">
        <v>230</v>
      </c>
      <c r="I31" s="86"/>
      <c r="J31" s="86">
        <v>230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26"/>
    </row>
    <row r="32" spans="1:22" x14ac:dyDescent="0.25">
      <c r="A32" s="8">
        <v>31</v>
      </c>
      <c r="B32" t="s">
        <v>483</v>
      </c>
      <c r="C32" t="str">
        <f t="array" ref="C3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2" t="s">
        <v>36</v>
      </c>
      <c r="E32" s="85" t="s">
        <v>484</v>
      </c>
      <c r="F32" s="85" t="s">
        <v>485</v>
      </c>
      <c r="G32" s="85"/>
      <c r="H32" s="83">
        <v>230</v>
      </c>
      <c r="I32" s="86"/>
      <c r="J32" s="86">
        <v>230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26"/>
    </row>
    <row r="33" spans="1:22" x14ac:dyDescent="0.25">
      <c r="A33" s="8">
        <v>32</v>
      </c>
      <c r="B33" t="s">
        <v>486</v>
      </c>
      <c r="C33" t="str">
        <f t="array" ref="C3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3" t="s">
        <v>23</v>
      </c>
      <c r="E33" s="85" t="s">
        <v>487</v>
      </c>
      <c r="F33" s="85" t="s">
        <v>488</v>
      </c>
      <c r="G33" s="85"/>
      <c r="H33" s="83">
        <v>200</v>
      </c>
      <c r="I33" s="86"/>
      <c r="J33" s="86">
        <v>200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26"/>
    </row>
    <row r="34" spans="1:22" x14ac:dyDescent="0.25">
      <c r="A34" s="8">
        <v>33</v>
      </c>
      <c r="B34" t="s">
        <v>489</v>
      </c>
      <c r="C34" t="str">
        <f t="array" ref="C3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4" t="s">
        <v>51</v>
      </c>
      <c r="E34" s="85" t="s">
        <v>490</v>
      </c>
      <c r="F34" s="85" t="s">
        <v>491</v>
      </c>
      <c r="G34" s="85"/>
      <c r="H34" s="83">
        <v>200</v>
      </c>
      <c r="I34" s="86"/>
      <c r="J34" s="86">
        <v>200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26"/>
    </row>
    <row r="35" spans="1:22" x14ac:dyDescent="0.25">
      <c r="A35" s="8">
        <v>34</v>
      </c>
      <c r="B35" t="s">
        <v>492</v>
      </c>
      <c r="C35" t="str">
        <f t="array" ref="C3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5" t="s">
        <v>493</v>
      </c>
      <c r="E35" s="85" t="s">
        <v>494</v>
      </c>
      <c r="F35" s="85" t="s">
        <v>495</v>
      </c>
      <c r="G35" s="85"/>
      <c r="H35" s="83">
        <v>240</v>
      </c>
      <c r="I35" s="86"/>
      <c r="J35" s="86">
        <v>240</v>
      </c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26"/>
    </row>
    <row r="36" spans="1:22" x14ac:dyDescent="0.25">
      <c r="A36" s="8">
        <v>35</v>
      </c>
      <c r="B36" t="s">
        <v>496</v>
      </c>
      <c r="C36" t="str">
        <f t="array" ref="C3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6" t="s">
        <v>36</v>
      </c>
      <c r="E36" s="85" t="s">
        <v>497</v>
      </c>
      <c r="F36" s="85" t="s">
        <v>498</v>
      </c>
      <c r="G36" s="85"/>
      <c r="H36" s="83">
        <v>220</v>
      </c>
      <c r="I36" s="86"/>
      <c r="J36" s="86">
        <v>230</v>
      </c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85"/>
    </row>
    <row r="37" spans="1:22" x14ac:dyDescent="0.25">
      <c r="A37" s="8">
        <v>36</v>
      </c>
      <c r="B37" t="s">
        <v>499</v>
      </c>
      <c r="C37" t="str">
        <f t="array" ref="C37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7" t="s">
        <v>23</v>
      </c>
      <c r="E37" s="85" t="s">
        <v>500</v>
      </c>
      <c r="F37" s="85" t="s">
        <v>501</v>
      </c>
      <c r="G37" s="85"/>
      <c r="H37" s="83" t="s">
        <v>231</v>
      </c>
      <c r="I37" s="86"/>
      <c r="J37" s="86" t="s">
        <v>231</v>
      </c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26"/>
    </row>
    <row r="38" spans="1:22" x14ac:dyDescent="0.25">
      <c r="A38" s="8">
        <v>37</v>
      </c>
      <c r="B38" t="s">
        <v>502</v>
      </c>
      <c r="C38" t="str">
        <f t="array" ref="C38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38" t="s">
        <v>51</v>
      </c>
      <c r="E38" s="85" t="s">
        <v>503</v>
      </c>
      <c r="F38" s="85" t="s">
        <v>504</v>
      </c>
      <c r="G38" s="85"/>
      <c r="H38" s="83" t="s">
        <v>231</v>
      </c>
      <c r="I38" s="86"/>
      <c r="J38" s="86" t="s">
        <v>231</v>
      </c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26"/>
    </row>
    <row r="39" spans="1:22" x14ac:dyDescent="0.25">
      <c r="A39" s="8">
        <v>38</v>
      </c>
      <c r="B39" t="s">
        <v>124</v>
      </c>
      <c r="C39" t="str">
        <f t="array" ref="C3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39" t="s">
        <v>51</v>
      </c>
      <c r="E39" s="85" t="s">
        <v>505</v>
      </c>
      <c r="F39" s="85" t="s">
        <v>506</v>
      </c>
      <c r="G39" s="85"/>
      <c r="H39" s="83">
        <v>200</v>
      </c>
      <c r="I39" s="86"/>
      <c r="J39" s="86">
        <v>200</v>
      </c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26"/>
    </row>
    <row r="40" spans="1:22" x14ac:dyDescent="0.25">
      <c r="A40" s="8">
        <v>39</v>
      </c>
      <c r="B40" t="s">
        <v>507</v>
      </c>
      <c r="C40" t="str">
        <f t="array" ref="C4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0" t="s">
        <v>30</v>
      </c>
      <c r="E40" s="85" t="s">
        <v>508</v>
      </c>
      <c r="F40" s="85" t="s">
        <v>509</v>
      </c>
      <c r="G40" s="85"/>
      <c r="H40" s="83">
        <v>250</v>
      </c>
      <c r="I40" s="86"/>
      <c r="J40" s="86">
        <v>200</v>
      </c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26"/>
    </row>
    <row r="41" spans="1:22" x14ac:dyDescent="0.25">
      <c r="A41" s="8">
        <v>40</v>
      </c>
      <c r="B41" t="s">
        <v>130</v>
      </c>
      <c r="C41" t="str">
        <f t="array" ref="C4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1" t="s">
        <v>30</v>
      </c>
      <c r="E41" s="85" t="s">
        <v>510</v>
      </c>
      <c r="F41" s="85" t="s">
        <v>511</v>
      </c>
      <c r="G41" s="85"/>
      <c r="H41" s="83">
        <v>200</v>
      </c>
      <c r="I41" s="86"/>
      <c r="J41" s="86">
        <v>200</v>
      </c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26"/>
    </row>
    <row r="42" spans="1:22" x14ac:dyDescent="0.25">
      <c r="A42" s="8">
        <v>41</v>
      </c>
      <c r="B42" t="s">
        <v>512</v>
      </c>
      <c r="C42" t="str">
        <f t="array" ref="C42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2" t="s">
        <v>23</v>
      </c>
      <c r="E42" s="85" t="s">
        <v>513</v>
      </c>
      <c r="F42" s="85" t="s">
        <v>514</v>
      </c>
      <c r="G42" s="85"/>
      <c r="H42" s="83">
        <v>200</v>
      </c>
      <c r="I42" s="86"/>
      <c r="J42" s="86">
        <v>200</v>
      </c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26"/>
    </row>
    <row r="43" spans="1:22" x14ac:dyDescent="0.25">
      <c r="A43" s="8">
        <v>42</v>
      </c>
      <c r="B43" t="s">
        <v>515</v>
      </c>
      <c r="C43" t="str">
        <f t="array" ref="C4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3" t="s">
        <v>23</v>
      </c>
      <c r="E43" s="85" t="s">
        <v>516</v>
      </c>
      <c r="F43" s="85" t="s">
        <v>517</v>
      </c>
      <c r="G43" s="85"/>
      <c r="H43" s="83">
        <v>200</v>
      </c>
      <c r="I43" s="86"/>
      <c r="J43" s="86">
        <v>200</v>
      </c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26"/>
    </row>
    <row r="44" spans="1:22" x14ac:dyDescent="0.25">
      <c r="A44" s="8">
        <v>43</v>
      </c>
      <c r="B44" s="93" t="s">
        <v>518</v>
      </c>
      <c r="C44" s="93" t="str">
        <f t="array" ref="C44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4" s="93" t="s">
        <v>36</v>
      </c>
      <c r="E44" s="85" t="s">
        <v>519</v>
      </c>
      <c r="F44" s="85" t="s">
        <v>520</v>
      </c>
      <c r="G44" s="85"/>
      <c r="H44" s="83" t="s">
        <v>231</v>
      </c>
      <c r="I44" s="86"/>
      <c r="J44" s="86" t="s">
        <v>231</v>
      </c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26"/>
    </row>
    <row r="45" spans="1:22" x14ac:dyDescent="0.25">
      <c r="A45" s="103">
        <v>44</v>
      </c>
      <c r="B45" s="97" t="s">
        <v>521</v>
      </c>
      <c r="C45" s="97" t="str">
        <f t="array" ref="C45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45" t="s">
        <v>51</v>
      </c>
      <c r="E45" s="100" t="s">
        <v>522</v>
      </c>
      <c r="F45" s="100" t="s">
        <v>523</v>
      </c>
      <c r="G45" s="100"/>
      <c r="H45" s="104" t="s">
        <v>231</v>
      </c>
      <c r="I45" s="101"/>
      <c r="J45" s="101" t="s">
        <v>231</v>
      </c>
      <c r="K45" s="101"/>
      <c r="L45" s="101"/>
      <c r="M45" s="101"/>
      <c r="N45" s="101"/>
      <c r="O45" s="101"/>
      <c r="P45" s="101"/>
      <c r="Q45" s="101"/>
      <c r="R45" s="101"/>
      <c r="S45" s="101"/>
      <c r="T45" s="101"/>
      <c r="U45" s="101"/>
      <c r="V45" s="102"/>
    </row>
    <row r="46" spans="1:22" x14ac:dyDescent="0.25">
      <c r="A46" s="8">
        <v>45</v>
      </c>
      <c r="B46" t="s">
        <v>524</v>
      </c>
      <c r="C46" t="str">
        <f t="array" ref="C4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6" t="s">
        <v>51</v>
      </c>
      <c r="E46" s="85" t="s">
        <v>525</v>
      </c>
      <c r="F46" s="85" t="s">
        <v>526</v>
      </c>
      <c r="G46" s="85"/>
      <c r="H46" s="83">
        <v>200</v>
      </c>
      <c r="I46" s="86"/>
      <c r="J46" s="86">
        <v>200</v>
      </c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26"/>
    </row>
    <row r="47" spans="1:22" x14ac:dyDescent="0.25">
      <c r="A47" s="8">
        <v>46</v>
      </c>
      <c r="B47" t="s">
        <v>527</v>
      </c>
      <c r="C47" t="str">
        <f t="array" ref="C4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7" t="s">
        <v>36</v>
      </c>
      <c r="E47" s="85" t="s">
        <v>528</v>
      </c>
      <c r="F47" s="85" t="s">
        <v>529</v>
      </c>
      <c r="G47" s="85"/>
      <c r="H47" s="83">
        <v>230</v>
      </c>
      <c r="I47" s="86"/>
      <c r="J47" s="86">
        <v>230</v>
      </c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26"/>
    </row>
    <row r="48" spans="1:22" x14ac:dyDescent="0.25">
      <c r="A48" s="8">
        <v>47</v>
      </c>
      <c r="B48" t="s">
        <v>530</v>
      </c>
      <c r="C48" t="str">
        <f t="array" ref="C4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8" t="s">
        <v>30</v>
      </c>
      <c r="E48" s="85" t="s">
        <v>531</v>
      </c>
      <c r="F48" s="85" t="s">
        <v>532</v>
      </c>
      <c r="G48" s="85"/>
      <c r="H48" s="83">
        <v>230</v>
      </c>
      <c r="I48" s="86"/>
      <c r="J48" s="86">
        <v>230</v>
      </c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26"/>
    </row>
    <row r="49" spans="1:22" x14ac:dyDescent="0.25">
      <c r="A49" s="8">
        <v>48</v>
      </c>
      <c r="B49" s="93" t="s">
        <v>533</v>
      </c>
      <c r="C49" s="93" t="str">
        <f t="array" ref="C49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49" t="s">
        <v>51</v>
      </c>
      <c r="E49" s="85" t="s">
        <v>534</v>
      </c>
      <c r="F49" s="85" t="s">
        <v>535</v>
      </c>
      <c r="G49" s="85"/>
      <c r="H49" s="83">
        <v>200</v>
      </c>
      <c r="I49" s="86"/>
      <c r="J49" s="86">
        <v>200</v>
      </c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26"/>
    </row>
    <row r="50" spans="1:22" x14ac:dyDescent="0.25">
      <c r="A50" s="8">
        <v>49</v>
      </c>
      <c r="B50" t="s">
        <v>518</v>
      </c>
      <c r="C50" t="str">
        <f t="array" ref="C5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0" t="s">
        <v>23</v>
      </c>
      <c r="E50" s="85" t="s">
        <v>536</v>
      </c>
      <c r="F50" s="85" t="s">
        <v>537</v>
      </c>
      <c r="G50" s="85"/>
      <c r="H50" s="83">
        <v>200</v>
      </c>
      <c r="I50" s="86"/>
      <c r="J50" s="86">
        <v>200</v>
      </c>
      <c r="K50" s="86"/>
      <c r="L50" s="86"/>
      <c r="M50" s="86"/>
      <c r="N50" s="86"/>
      <c r="O50" s="86"/>
      <c r="P50" s="86"/>
      <c r="Q50" s="86"/>
      <c r="R50" s="86"/>
      <c r="S50" s="86"/>
      <c r="T50" s="86"/>
      <c r="U50" s="86"/>
      <c r="V50" s="26"/>
    </row>
    <row r="51" spans="1:22" x14ac:dyDescent="0.25">
      <c r="A51" s="8">
        <v>50</v>
      </c>
      <c r="B51" t="s">
        <v>538</v>
      </c>
      <c r="C51" t="str">
        <f t="array" ref="C5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1" t="s">
        <v>88</v>
      </c>
      <c r="E51" s="85" t="s">
        <v>539</v>
      </c>
      <c r="F51" s="85" t="s">
        <v>540</v>
      </c>
      <c r="G51" s="85"/>
      <c r="H51" s="83">
        <v>400</v>
      </c>
      <c r="I51" s="86">
        <v>200</v>
      </c>
      <c r="J51" s="86">
        <v>200</v>
      </c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26"/>
    </row>
    <row r="52" spans="1:22" x14ac:dyDescent="0.25">
      <c r="A52" s="8">
        <v>51</v>
      </c>
      <c r="B52" t="s">
        <v>541</v>
      </c>
      <c r="C52" t="str">
        <f t="array" ref="C52">_xlfn.IFS(ISNUMBER(SEARCH("M",subramaniyasiva[[#This Row],[JANUARY]])),"M",ISNUMBER(SEARCH("A",subramaniyasiva[[#This Row],[JANUARY]])),"A",subramaniyasiva[[#This Row],[JANUARY]]="","",subramaniyasiva[[#This Row],[JANUARY]]&gt;=100,"P")</f>
        <v>M</v>
      </c>
      <c r="D52" s="93" t="s">
        <v>30</v>
      </c>
      <c r="E52" s="85" t="s">
        <v>542</v>
      </c>
      <c r="F52" s="85" t="s">
        <v>543</v>
      </c>
      <c r="G52" s="85"/>
      <c r="H52" s="83" t="s">
        <v>544</v>
      </c>
      <c r="I52" s="86"/>
      <c r="J52" s="86" t="s">
        <v>49</v>
      </c>
      <c r="K52" s="86" t="s">
        <v>2566</v>
      </c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5"/>
    </row>
    <row r="53" spans="1:22" x14ac:dyDescent="0.25">
      <c r="A53" s="8">
        <v>52</v>
      </c>
      <c r="B53" t="s">
        <v>201</v>
      </c>
      <c r="C53" t="str">
        <f t="array" ref="C53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3" t="s">
        <v>23</v>
      </c>
      <c r="E53" s="85" t="s">
        <v>545</v>
      </c>
      <c r="F53" s="85" t="s">
        <v>546</v>
      </c>
      <c r="G53" s="85"/>
      <c r="H53" s="83">
        <v>200</v>
      </c>
      <c r="I53" s="86"/>
      <c r="J53" s="86">
        <v>200</v>
      </c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26"/>
    </row>
    <row r="54" spans="1:22" x14ac:dyDescent="0.25">
      <c r="A54" s="8">
        <v>53</v>
      </c>
      <c r="B54" t="s">
        <v>547</v>
      </c>
      <c r="C54" t="str">
        <f t="array" ref="C5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4" t="s">
        <v>36</v>
      </c>
      <c r="E54" s="85" t="s">
        <v>548</v>
      </c>
      <c r="F54" s="85" t="s">
        <v>549</v>
      </c>
      <c r="G54" s="85"/>
      <c r="H54" s="83">
        <v>230</v>
      </c>
      <c r="I54" s="86"/>
      <c r="J54" s="86">
        <v>200</v>
      </c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26"/>
    </row>
    <row r="55" spans="1:22" x14ac:dyDescent="0.25">
      <c r="A55" s="8">
        <v>54</v>
      </c>
      <c r="B55" t="s">
        <v>550</v>
      </c>
      <c r="C55" t="str">
        <f t="array" ref="C5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5" t="s">
        <v>36</v>
      </c>
      <c r="E55" s="85" t="s">
        <v>551</v>
      </c>
      <c r="F55" s="85" t="s">
        <v>552</v>
      </c>
      <c r="G55" s="85"/>
      <c r="H55" s="83">
        <v>230</v>
      </c>
      <c r="I55" s="86"/>
      <c r="J55" s="86">
        <v>200</v>
      </c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26"/>
    </row>
    <row r="56" spans="1:22" x14ac:dyDescent="0.25">
      <c r="A56" s="8">
        <v>55</v>
      </c>
      <c r="B56" t="s">
        <v>553</v>
      </c>
      <c r="C56" t="str">
        <f t="array" ref="C56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6" t="s">
        <v>51</v>
      </c>
      <c r="E56" s="85" t="s">
        <v>554</v>
      </c>
      <c r="F56" s="85" t="s">
        <v>555</v>
      </c>
      <c r="G56" s="85"/>
      <c r="H56" s="83" t="s">
        <v>231</v>
      </c>
      <c r="I56" s="86"/>
      <c r="J56" s="86" t="s">
        <v>45</v>
      </c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26"/>
    </row>
    <row r="57" spans="1:22" x14ac:dyDescent="0.25">
      <c r="A57" s="8">
        <v>56</v>
      </c>
      <c r="B57" t="s">
        <v>556</v>
      </c>
      <c r="C57" t="str">
        <f t="array" ref="C57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7" t="s">
        <v>51</v>
      </c>
      <c r="E57" s="85" t="s">
        <v>557</v>
      </c>
      <c r="F57" s="85" t="s">
        <v>558</v>
      </c>
      <c r="G57" s="85"/>
      <c r="H57" s="83">
        <v>200</v>
      </c>
      <c r="I57" s="86"/>
      <c r="J57" s="86">
        <v>200</v>
      </c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26"/>
    </row>
    <row r="58" spans="1:22" x14ac:dyDescent="0.25">
      <c r="A58" s="8">
        <v>57</v>
      </c>
      <c r="B58" t="s">
        <v>559</v>
      </c>
      <c r="C58" t="str">
        <f t="array" ref="C5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58" t="s">
        <v>30</v>
      </c>
      <c r="E58" s="85" t="s">
        <v>560</v>
      </c>
      <c r="F58" s="85" t="s">
        <v>561</v>
      </c>
      <c r="G58" s="85"/>
      <c r="H58" s="83">
        <v>200</v>
      </c>
      <c r="I58" s="86"/>
      <c r="J58" s="86">
        <v>200</v>
      </c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26"/>
    </row>
    <row r="59" spans="1:22" x14ac:dyDescent="0.25">
      <c r="A59" s="8">
        <v>58</v>
      </c>
      <c r="B59" t="s">
        <v>562</v>
      </c>
      <c r="C59" t="str">
        <f t="array" ref="C59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59" t="s">
        <v>36</v>
      </c>
      <c r="E59" s="85" t="s">
        <v>563</v>
      </c>
      <c r="F59" s="85" t="s">
        <v>564</v>
      </c>
      <c r="G59" s="85"/>
      <c r="H59" s="83" t="s">
        <v>565</v>
      </c>
      <c r="I59" s="86"/>
      <c r="J59" s="86" t="s">
        <v>45</v>
      </c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26"/>
    </row>
    <row r="60" spans="1:22" x14ac:dyDescent="0.25">
      <c r="A60" s="8">
        <v>59</v>
      </c>
      <c r="B60" t="s">
        <v>566</v>
      </c>
      <c r="C60" t="str">
        <f t="array" ref="C60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0" t="s">
        <v>36</v>
      </c>
      <c r="E60" s="85" t="s">
        <v>567</v>
      </c>
      <c r="F60" s="85" t="s">
        <v>568</v>
      </c>
      <c r="G60" s="85"/>
      <c r="H60" s="83">
        <v>230</v>
      </c>
      <c r="I60" s="86"/>
      <c r="J60" s="86">
        <v>230</v>
      </c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26"/>
    </row>
    <row r="61" spans="1:22" x14ac:dyDescent="0.25">
      <c r="A61" s="8">
        <v>60</v>
      </c>
      <c r="B61" t="s">
        <v>569</v>
      </c>
      <c r="C61" t="str">
        <f t="array" ref="C61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1" t="s">
        <v>36</v>
      </c>
      <c r="E61" s="85" t="s">
        <v>570</v>
      </c>
      <c r="F61" s="85" t="s">
        <v>571</v>
      </c>
      <c r="G61" s="85"/>
      <c r="H61" s="83">
        <v>200</v>
      </c>
      <c r="I61" s="86"/>
      <c r="J61" s="86">
        <v>220</v>
      </c>
      <c r="K61" s="86"/>
      <c r="L61" s="86"/>
      <c r="M61" s="86"/>
      <c r="N61" s="86"/>
      <c r="O61" s="86"/>
      <c r="P61" s="86"/>
      <c r="Q61" s="86"/>
      <c r="R61" s="86"/>
      <c r="S61" s="86"/>
      <c r="T61" s="86"/>
      <c r="U61" s="86"/>
      <c r="V61" s="85"/>
    </row>
    <row r="62" spans="1:22" s="22" customFormat="1" x14ac:dyDescent="0.25">
      <c r="A62" s="22">
        <v>61</v>
      </c>
      <c r="B62" s="22" t="s">
        <v>572</v>
      </c>
      <c r="C62" s="22" t="str">
        <f t="array" ref="C62">_xlfn.IFS(ISNUMBER(SEARCH("M",subramaniyasiva[[#This Row],[JANUARY]])),"M",ISNUMBER(SEARCH("A",subramaniyasiva[[#This Row],[JANUARY]])),"A",subramaniyasiva[[#This Row],[JANUARY]]="","",subramaniyasiva[[#This Row],[JANUARY]]&gt;=100,"P")</f>
        <v/>
      </c>
      <c r="E62" s="22" t="s">
        <v>573</v>
      </c>
      <c r="F62" s="22" t="s">
        <v>574</v>
      </c>
      <c r="H62" s="22">
        <v>200</v>
      </c>
    </row>
    <row r="63" spans="1:22" x14ac:dyDescent="0.25">
      <c r="A63" s="8">
        <v>62</v>
      </c>
      <c r="B63" t="s">
        <v>575</v>
      </c>
      <c r="C63" t="str">
        <f t="array" ref="C63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63" t="s">
        <v>576</v>
      </c>
      <c r="E63" s="85" t="s">
        <v>577</v>
      </c>
      <c r="F63" s="85" t="s">
        <v>578</v>
      </c>
      <c r="G63" s="85"/>
      <c r="H63" s="83" t="s">
        <v>231</v>
      </c>
      <c r="I63" s="86"/>
      <c r="J63" s="86" t="s">
        <v>231</v>
      </c>
      <c r="K63" s="86"/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26"/>
    </row>
    <row r="64" spans="1:22" x14ac:dyDescent="0.25">
      <c r="A64" s="8">
        <v>63</v>
      </c>
      <c r="B64" t="s">
        <v>579</v>
      </c>
      <c r="C64" t="str">
        <f t="array" ref="C64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4" t="s">
        <v>51</v>
      </c>
      <c r="E64" s="85" t="s">
        <v>580</v>
      </c>
      <c r="F64" s="85" t="s">
        <v>581</v>
      </c>
      <c r="G64" s="85"/>
      <c r="H64" s="83" t="s">
        <v>582</v>
      </c>
      <c r="I64" s="86"/>
      <c r="J64" s="86">
        <v>200</v>
      </c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85"/>
    </row>
    <row r="65" spans="1:22" x14ac:dyDescent="0.25">
      <c r="A65" s="8">
        <v>64</v>
      </c>
      <c r="B65" t="s">
        <v>583</v>
      </c>
      <c r="C65" t="str">
        <f t="array" ref="C65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5" t="s">
        <v>51</v>
      </c>
      <c r="E65" s="85" t="s">
        <v>584</v>
      </c>
      <c r="F65" s="85" t="s">
        <v>585</v>
      </c>
      <c r="G65" s="85"/>
      <c r="H65" s="83" t="s">
        <v>582</v>
      </c>
      <c r="I65" s="86"/>
      <c r="J65" s="86">
        <v>150</v>
      </c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5"/>
    </row>
    <row r="66" spans="1:22" x14ac:dyDescent="0.25">
      <c r="A66" s="8">
        <v>65</v>
      </c>
      <c r="B66" t="s">
        <v>586</v>
      </c>
      <c r="C66" t="str">
        <f t="array" ref="C66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6" t="s">
        <v>51</v>
      </c>
      <c r="E66" s="85" t="s">
        <v>587</v>
      </c>
      <c r="F66" s="85" t="s">
        <v>588</v>
      </c>
      <c r="G66" s="85"/>
      <c r="H66" s="83" t="s">
        <v>589</v>
      </c>
      <c r="I66" s="86"/>
      <c r="J66" s="86">
        <v>200</v>
      </c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26"/>
    </row>
    <row r="67" spans="1:22" x14ac:dyDescent="0.25">
      <c r="A67" s="8">
        <v>66</v>
      </c>
      <c r="B67" t="s">
        <v>590</v>
      </c>
      <c r="C67" t="str">
        <f t="array" ref="C67">_xlfn.IFS(ISNUMBER(SEARCH("M",subramaniyasiva[[#This Row],[JANUARY]])),"M",ISNUMBER(SEARCH("A",subramaniyasiva[[#This Row],[JANUARY]])),"A",subramaniyasiva[[#This Row],[JANUARY]]="","",subramaniyasiva[[#This Row],[JANUARY]]&gt;=100,"P")</f>
        <v>A</v>
      </c>
      <c r="D67" t="s">
        <v>88</v>
      </c>
      <c r="E67" s="85" t="s">
        <v>591</v>
      </c>
      <c r="F67" s="85" t="s">
        <v>592</v>
      </c>
      <c r="G67" s="85"/>
      <c r="H67" s="83"/>
      <c r="I67" s="86"/>
      <c r="J67" s="86" t="s">
        <v>593</v>
      </c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5"/>
    </row>
    <row r="68" spans="1:22" x14ac:dyDescent="0.25">
      <c r="A68" s="8">
        <v>67</v>
      </c>
      <c r="B68" s="87" t="s">
        <v>2557</v>
      </c>
      <c r="C68" s="87" t="str" cm="1">
        <f t="array" ref="C68">_xlfn.IFS(ISNUMBER(SEARCH("M",subramaniyasiva[[#This Row],[JANUARY]])),"M",ISNUMBER(SEARCH("A",subramaniyasiva[[#This Row],[JANUARY]])),"A",subramaniyasiva[[#This Row],[JANUARY]]="","",subramaniyasiva[[#This Row],[JANUARY]]&gt;=100,"P")</f>
        <v>P</v>
      </c>
      <c r="D68" s="87" t="s">
        <v>88</v>
      </c>
      <c r="E68" s="85" t="s">
        <v>2558</v>
      </c>
      <c r="F68" s="85" t="s">
        <v>2559</v>
      </c>
      <c r="G68" s="85"/>
      <c r="H68" s="83"/>
      <c r="I68" s="86"/>
      <c r="J68" s="86" t="s">
        <v>2560</v>
      </c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85"/>
    </row>
    <row r="69" spans="1:22" x14ac:dyDescent="0.25">
      <c r="A69" s="8" t="s">
        <v>246</v>
      </c>
      <c r="C69">
        <f>COUNTIF(C2:C68, "&gt;=a")</f>
        <v>64</v>
      </c>
      <c r="D69">
        <f>SUBTOTAL(103,subramaniyasiva[Package])</f>
        <v>64</v>
      </c>
      <c r="E69">
        <f>SUBTOTAL(103,subramaniyasiva[Box No])</f>
        <v>67</v>
      </c>
      <c r="F69">
        <f>SUBTOTAL(103,subramaniyasiva[CAF_ID])</f>
        <v>67</v>
      </c>
      <c r="H69" s="26">
        <f>SUBTOTAL(109,subramaniyasiva[Dec-20])</f>
        <v>10480</v>
      </c>
      <c r="I69" s="26">
        <f>SUBTOTAL(109,subramaniyasiva[BALANCE])</f>
        <v>580</v>
      </c>
      <c r="J69" s="26">
        <f>SUBTOTAL(109,subramaniyasiva[JANUARY])</f>
        <v>9930</v>
      </c>
      <c r="K69" s="26">
        <f>SUBTOTAL(109,subramaniyasiva[FEBEUARY])</f>
        <v>0</v>
      </c>
      <c r="L69" s="26">
        <f>SUBTOTAL(109,subramaniyasiva[MARCH])</f>
        <v>0</v>
      </c>
      <c r="M69" s="26">
        <f>SUBTOTAL(109,subramaniyasiva[APRIL])</f>
        <v>0</v>
      </c>
      <c r="N69" s="26">
        <f>SUBTOTAL(109,subramaniyasiva[MAY])</f>
        <v>0</v>
      </c>
      <c r="O69" s="26">
        <f>SUBTOTAL(109,subramaniyasiva[JUNE])</f>
        <v>0</v>
      </c>
      <c r="P69" s="26">
        <f>SUBTOTAL(109,subramaniyasiva[JULY])</f>
        <v>0</v>
      </c>
      <c r="Q69" s="26">
        <f>SUBTOTAL(109,subramaniyasiva[AUGUST])</f>
        <v>0</v>
      </c>
      <c r="R69" s="26">
        <f>SUBTOTAL(109,subramaniyasiva[SEPTEMBER])</f>
        <v>0</v>
      </c>
      <c r="S69" s="26">
        <f>SUBTOTAL(109,subramaniyasiva[OCTOBER])</f>
        <v>0</v>
      </c>
      <c r="T69" s="26">
        <f>SUBTOTAL(109,subramaniyasiva[NOVEMBER])</f>
        <v>0</v>
      </c>
      <c r="U69" s="26"/>
      <c r="V69" s="26"/>
    </row>
    <row r="71" spans="1:22" x14ac:dyDescent="0.25">
      <c r="B71" s="9" t="s">
        <v>247</v>
      </c>
      <c r="C71" s="19">
        <f>COUNTIF(C2:C68,"P")</f>
        <v>50</v>
      </c>
    </row>
    <row r="72" spans="1:22" ht="15.75" customHeight="1" x14ac:dyDescent="0.25">
      <c r="B72" s="18" t="s">
        <v>248</v>
      </c>
      <c r="C72" s="23">
        <f>COUNTIF(C2:C68,"M")</f>
        <v>4</v>
      </c>
    </row>
    <row r="73" spans="1:22" ht="15.75" customHeight="1" x14ac:dyDescent="0.25">
      <c r="B73" s="10" t="s">
        <v>249</v>
      </c>
      <c r="C73" s="21">
        <f>COUNTIF(C2:C68,"A")</f>
        <v>10</v>
      </c>
    </row>
    <row r="74" spans="1:22" ht="15.75" customHeight="1" thickBot="1" x14ac:dyDescent="0.3">
      <c r="B74" s="17" t="s">
        <v>250</v>
      </c>
      <c r="C74" s="17">
        <f>SUM(C71:C73)</f>
        <v>64</v>
      </c>
    </row>
    <row r="75" spans="1:22" ht="15.75" customHeight="1" thickTop="1" x14ac:dyDescent="0.25"/>
    <row r="76" spans="1:22" ht="15.75" customHeight="1" x14ac:dyDescent="0.25"/>
  </sheetData>
  <phoneticPr fontId="35" type="noConversion"/>
  <conditionalFormatting sqref="B7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92D050"/>
  </sheetPr>
  <dimension ref="A1:V82"/>
  <sheetViews>
    <sheetView zoomScale="115" zoomScaleNormal="115" workbookViewId="0">
      <selection activeCell="E11" sqref="E11"/>
    </sheetView>
  </sheetViews>
  <sheetFormatPr defaultRowHeight="15" x14ac:dyDescent="0.25"/>
  <cols>
    <col min="1" max="1" width="5.7109375" style="87" customWidth="1"/>
    <col min="2" max="2" width="21.85546875" style="87" customWidth="1"/>
    <col min="3" max="3" width="6.5703125" style="61" customWidth="1"/>
    <col min="4" max="4" width="31.28515625" style="87" customWidth="1"/>
    <col min="5" max="5" width="23" style="87" customWidth="1"/>
    <col min="7" max="7" width="11.5703125" style="26" customWidth="1"/>
    <col min="8" max="18" width="12.5703125" style="26" customWidth="1"/>
    <col min="19" max="19" width="12.5703125" style="87" customWidth="1"/>
    <col min="20" max="21" width="12.85546875" style="87" customWidth="1"/>
    <col min="22" max="22" width="32.140625" customWidth="1"/>
  </cols>
  <sheetData>
    <row r="1" spans="1:22" s="61" customFormat="1" x14ac:dyDescent="0.25">
      <c r="A1" s="61" t="s">
        <v>0</v>
      </c>
      <c r="B1" s="61" t="s">
        <v>1</v>
      </c>
      <c r="C1" s="61" t="s">
        <v>2</v>
      </c>
      <c r="D1" s="46" t="s">
        <v>3</v>
      </c>
      <c r="E1" s="13" t="s">
        <v>4</v>
      </c>
      <c r="F1" s="13" t="s">
        <v>5</v>
      </c>
      <c r="G1" s="13" t="s">
        <v>6</v>
      </c>
      <c r="H1" s="45" t="s">
        <v>8</v>
      </c>
      <c r="I1" s="86" t="s">
        <v>7</v>
      </c>
      <c r="J1" s="86" t="s">
        <v>9</v>
      </c>
      <c r="K1" s="86" t="s">
        <v>10</v>
      </c>
      <c r="L1" s="86" t="s">
        <v>11</v>
      </c>
      <c r="M1" s="86" t="s">
        <v>12</v>
      </c>
      <c r="N1" s="86" t="s">
        <v>13</v>
      </c>
      <c r="O1" s="86" t="s">
        <v>14</v>
      </c>
      <c r="P1" s="86" t="s">
        <v>15</v>
      </c>
      <c r="Q1" s="86" t="s">
        <v>16</v>
      </c>
      <c r="R1" s="86" t="s">
        <v>17</v>
      </c>
      <c r="S1" s="86" t="s">
        <v>18</v>
      </c>
      <c r="T1" s="86" t="s">
        <v>19</v>
      </c>
      <c r="U1" s="86" t="s">
        <v>20</v>
      </c>
      <c r="V1" s="13" t="s">
        <v>21</v>
      </c>
    </row>
    <row r="2" spans="1:22" x14ac:dyDescent="0.25">
      <c r="A2">
        <v>1</v>
      </c>
      <c r="B2" t="s">
        <v>76</v>
      </c>
      <c r="C2" s="61" t="str">
        <f t="array" ref="C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" t="s">
        <v>30</v>
      </c>
      <c r="E2" s="85" t="s">
        <v>594</v>
      </c>
      <c r="F2" s="85" t="s">
        <v>595</v>
      </c>
      <c r="G2" s="85"/>
      <c r="H2" s="86" t="s">
        <v>2588</v>
      </c>
      <c r="J2" s="86">
        <v>460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26"/>
    </row>
    <row r="3" spans="1:22" x14ac:dyDescent="0.25">
      <c r="A3">
        <v>2</v>
      </c>
      <c r="B3" t="s">
        <v>596</v>
      </c>
      <c r="C3" s="61" t="str">
        <f t="array" ref="C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" t="s">
        <v>36</v>
      </c>
      <c r="E3" s="85" t="s">
        <v>597</v>
      </c>
      <c r="F3" s="85" t="s">
        <v>598</v>
      </c>
      <c r="G3" s="85"/>
      <c r="H3" s="86">
        <v>200</v>
      </c>
      <c r="J3" s="86">
        <v>200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26"/>
    </row>
    <row r="4" spans="1:22" x14ac:dyDescent="0.25">
      <c r="A4">
        <v>3</v>
      </c>
      <c r="B4" t="s">
        <v>164</v>
      </c>
      <c r="C4" s="61" t="str">
        <f t="array" ref="C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" t="s">
        <v>51</v>
      </c>
      <c r="E4" s="85" t="s">
        <v>599</v>
      </c>
      <c r="F4" s="85" t="s">
        <v>600</v>
      </c>
      <c r="G4" s="85"/>
      <c r="H4" s="86">
        <v>200</v>
      </c>
      <c r="J4" s="86">
        <v>200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26"/>
    </row>
    <row r="5" spans="1:22" x14ac:dyDescent="0.25">
      <c r="A5">
        <v>4</v>
      </c>
      <c r="B5" t="s">
        <v>590</v>
      </c>
      <c r="C5" s="61" t="str">
        <f t="array" ref="C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" t="s">
        <v>51</v>
      </c>
      <c r="E5" s="85" t="s">
        <v>601</v>
      </c>
      <c r="F5" s="85" t="s">
        <v>602</v>
      </c>
      <c r="G5" s="85"/>
      <c r="H5" s="86">
        <v>200</v>
      </c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26"/>
    </row>
    <row r="6" spans="1:22" x14ac:dyDescent="0.25">
      <c r="A6">
        <v>5</v>
      </c>
      <c r="B6" t="s">
        <v>603</v>
      </c>
      <c r="C6" s="61" t="str">
        <f t="array" ref="C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" t="s">
        <v>30</v>
      </c>
      <c r="E6" s="85" t="s">
        <v>604</v>
      </c>
      <c r="F6" s="85" t="s">
        <v>605</v>
      </c>
      <c r="G6" s="85"/>
      <c r="H6" s="86">
        <v>200</v>
      </c>
      <c r="J6" s="86">
        <v>200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26"/>
    </row>
    <row r="7" spans="1:22" x14ac:dyDescent="0.25">
      <c r="A7">
        <v>6</v>
      </c>
      <c r="B7" t="s">
        <v>210</v>
      </c>
      <c r="C7" s="61" t="str">
        <f t="array" ref="C7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7" t="s">
        <v>576</v>
      </c>
      <c r="E7" s="85" t="s">
        <v>606</v>
      </c>
      <c r="F7" s="85" t="s">
        <v>607</v>
      </c>
      <c r="G7" s="85"/>
      <c r="H7" s="86" t="s">
        <v>459</v>
      </c>
      <c r="J7" s="86" t="s">
        <v>231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26"/>
    </row>
    <row r="8" spans="1:22" x14ac:dyDescent="0.25">
      <c r="A8">
        <v>7</v>
      </c>
      <c r="B8" t="s">
        <v>608</v>
      </c>
      <c r="C8" s="61" t="str">
        <f t="array" ref="C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8" t="s">
        <v>30</v>
      </c>
      <c r="E8" s="85" t="s">
        <v>609</v>
      </c>
      <c r="F8" s="85" t="s">
        <v>610</v>
      </c>
      <c r="G8" s="85"/>
      <c r="H8" s="86">
        <v>200</v>
      </c>
      <c r="J8" s="86">
        <v>200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26"/>
    </row>
    <row r="9" spans="1:22" x14ac:dyDescent="0.25">
      <c r="A9">
        <v>8</v>
      </c>
      <c r="B9" t="s">
        <v>611</v>
      </c>
      <c r="C9" s="61" t="str">
        <f t="array" ref="C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9" t="s">
        <v>36</v>
      </c>
      <c r="E9" s="85" t="s">
        <v>612</v>
      </c>
      <c r="F9" s="85" t="s">
        <v>613</v>
      </c>
      <c r="G9" s="85"/>
      <c r="H9" s="86">
        <v>200</v>
      </c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26"/>
    </row>
    <row r="10" spans="1:22" x14ac:dyDescent="0.25">
      <c r="A10">
        <v>9</v>
      </c>
      <c r="B10" t="s">
        <v>614</v>
      </c>
      <c r="C10" s="61" t="str">
        <f t="array" ref="C1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0" t="s">
        <v>30</v>
      </c>
      <c r="E10" s="85" t="s">
        <v>615</v>
      </c>
      <c r="F10" s="85" t="s">
        <v>616</v>
      </c>
      <c r="G10" s="85"/>
      <c r="H10" s="86">
        <v>200</v>
      </c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26"/>
    </row>
    <row r="11" spans="1:22" x14ac:dyDescent="0.25">
      <c r="A11">
        <v>10</v>
      </c>
      <c r="B11" t="s">
        <v>617</v>
      </c>
      <c r="C11" s="61" t="str">
        <f t="array" ref="C1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11" t="s">
        <v>30</v>
      </c>
      <c r="E11" s="85" t="s">
        <v>618</v>
      </c>
      <c r="F11" s="85" t="s">
        <v>619</v>
      </c>
      <c r="G11" s="85"/>
      <c r="H11" s="86" t="s">
        <v>459</v>
      </c>
      <c r="J11" s="86" t="s">
        <v>459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26"/>
    </row>
    <row r="12" spans="1:22" x14ac:dyDescent="0.25">
      <c r="A12">
        <v>11</v>
      </c>
      <c r="B12" t="s">
        <v>307</v>
      </c>
      <c r="C12" s="61" t="str">
        <f t="array" ref="C1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2" t="s">
        <v>23</v>
      </c>
      <c r="E12" s="85" t="s">
        <v>620</v>
      </c>
      <c r="F12" s="85" t="s">
        <v>621</v>
      </c>
      <c r="G12" s="85"/>
      <c r="H12" s="86">
        <v>200</v>
      </c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26"/>
    </row>
    <row r="13" spans="1:22" x14ac:dyDescent="0.25">
      <c r="A13">
        <v>12</v>
      </c>
      <c r="B13" t="s">
        <v>622</v>
      </c>
      <c r="C13" s="61" t="str">
        <f t="array" ref="C1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3" t="s">
        <v>30</v>
      </c>
      <c r="E13" s="85" t="s">
        <v>623</v>
      </c>
      <c r="F13" s="85" t="s">
        <v>624</v>
      </c>
      <c r="G13" s="85"/>
      <c r="H13" s="86">
        <v>220</v>
      </c>
      <c r="J13" s="86">
        <v>250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26"/>
    </row>
    <row r="14" spans="1:22" x14ac:dyDescent="0.25">
      <c r="A14">
        <v>13</v>
      </c>
      <c r="B14" t="s">
        <v>625</v>
      </c>
      <c r="C14" s="61" t="str">
        <f t="array" ref="C1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4" t="s">
        <v>30</v>
      </c>
      <c r="E14" s="85" t="s">
        <v>626</v>
      </c>
      <c r="F14" s="85" t="s">
        <v>627</v>
      </c>
      <c r="G14" s="85"/>
      <c r="H14" s="86"/>
      <c r="I14" s="26">
        <v>230</v>
      </c>
      <c r="J14" s="86">
        <v>200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26"/>
    </row>
    <row r="15" spans="1:22" s="91" customFormat="1" x14ac:dyDescent="0.25">
      <c r="A15" s="98">
        <v>14</v>
      </c>
      <c r="B15" s="98" t="s">
        <v>628</v>
      </c>
      <c r="C15" s="98" t="str">
        <f t="array" ref="C15">_xlfn.IFS(ISNUMBER(SEARCH("M",bharadhidhasan[[#This Row],[JANUARY]])),"M",ISNUMBER(SEARCH("A",bharadhidhasan[[#This Row],[JANUARY]])),"A",bharadhidhasan[[#This Row],[JANUARY]]="","",bharadhidhasan[[#This Row],[JANUARY]]&gt;=100,"P")</f>
        <v/>
      </c>
      <c r="D15" s="98"/>
      <c r="E15" s="98"/>
      <c r="F15" s="98"/>
      <c r="G15" s="98"/>
      <c r="H15" s="98">
        <v>200</v>
      </c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</row>
    <row r="16" spans="1:22" x14ac:dyDescent="0.25">
      <c r="A16">
        <v>15</v>
      </c>
      <c r="B16" t="s">
        <v>629</v>
      </c>
      <c r="C16" s="61" t="str">
        <f t="array" ref="C1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6" t="s">
        <v>51</v>
      </c>
      <c r="E16" s="85" t="s">
        <v>630</v>
      </c>
      <c r="F16" s="85" t="s">
        <v>631</v>
      </c>
      <c r="G16" s="85"/>
      <c r="H16" s="86">
        <v>200</v>
      </c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26"/>
    </row>
    <row r="17" spans="1:22" x14ac:dyDescent="0.25">
      <c r="A17">
        <v>16</v>
      </c>
      <c r="B17" t="s">
        <v>632</v>
      </c>
      <c r="C17" s="61" t="str">
        <f t="array" ref="C1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7" t="s">
        <v>36</v>
      </c>
      <c r="E17" s="85" t="s">
        <v>633</v>
      </c>
      <c r="F17" s="85" t="s">
        <v>634</v>
      </c>
      <c r="G17" s="85"/>
      <c r="H17" s="86">
        <v>230</v>
      </c>
      <c r="J17" s="86">
        <v>240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26"/>
    </row>
    <row r="18" spans="1:22" x14ac:dyDescent="0.25">
      <c r="A18">
        <v>17</v>
      </c>
      <c r="B18" t="s">
        <v>307</v>
      </c>
      <c r="C18" s="61" t="str">
        <f t="array" ref="C1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8" t="s">
        <v>51</v>
      </c>
      <c r="E18" s="85" t="s">
        <v>635</v>
      </c>
      <c r="F18" s="85" t="s">
        <v>636</v>
      </c>
      <c r="G18" s="85"/>
      <c r="H18" s="86">
        <v>200</v>
      </c>
      <c r="J18" s="86">
        <v>200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26"/>
    </row>
    <row r="19" spans="1:22" x14ac:dyDescent="0.25">
      <c r="A19">
        <v>18</v>
      </c>
      <c r="B19" t="s">
        <v>637</v>
      </c>
      <c r="C19" s="61" t="str">
        <f t="array" ref="C1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19" t="s">
        <v>36</v>
      </c>
      <c r="E19" s="85" t="s">
        <v>638</v>
      </c>
      <c r="F19" s="85" t="s">
        <v>639</v>
      </c>
      <c r="G19" s="85"/>
      <c r="H19" s="86">
        <v>200</v>
      </c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26"/>
    </row>
    <row r="20" spans="1:22" x14ac:dyDescent="0.25">
      <c r="A20">
        <v>19</v>
      </c>
      <c r="B20" t="s">
        <v>608</v>
      </c>
      <c r="C20" s="61" t="str">
        <f t="array" ref="C2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0" t="s">
        <v>30</v>
      </c>
      <c r="E20" s="85" t="s">
        <v>640</v>
      </c>
      <c r="F20" s="85" t="s">
        <v>641</v>
      </c>
      <c r="G20" s="85"/>
      <c r="H20" s="86">
        <v>200</v>
      </c>
      <c r="J20" s="86">
        <v>200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26"/>
    </row>
    <row r="21" spans="1:22" x14ac:dyDescent="0.25">
      <c r="A21">
        <v>20</v>
      </c>
      <c r="B21" t="s">
        <v>642</v>
      </c>
      <c r="C21" s="61" t="str">
        <f t="array" ref="C2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1" t="s">
        <v>36</v>
      </c>
      <c r="E21" s="85" t="s">
        <v>643</v>
      </c>
      <c r="F21" s="85" t="s">
        <v>644</v>
      </c>
      <c r="G21" s="85"/>
      <c r="H21" s="86">
        <v>210</v>
      </c>
      <c r="J21" s="86">
        <v>230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26"/>
    </row>
    <row r="22" spans="1:22" x14ac:dyDescent="0.25">
      <c r="A22">
        <v>21</v>
      </c>
      <c r="B22" t="s">
        <v>645</v>
      </c>
      <c r="C22" s="61" t="str">
        <f t="array" ref="C2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2" t="s">
        <v>51</v>
      </c>
      <c r="E22" s="85" t="s">
        <v>646</v>
      </c>
      <c r="F22" s="85" t="s">
        <v>647</v>
      </c>
      <c r="G22" s="85"/>
      <c r="H22" s="86">
        <v>200</v>
      </c>
      <c r="J22" s="86">
        <v>200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26"/>
    </row>
    <row r="23" spans="1:22" x14ac:dyDescent="0.25">
      <c r="A23">
        <v>22</v>
      </c>
      <c r="B23" t="s">
        <v>648</v>
      </c>
      <c r="C23" s="61" t="str">
        <f t="array" ref="C2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3" t="s">
        <v>23</v>
      </c>
      <c r="E23" s="85" t="s">
        <v>649</v>
      </c>
      <c r="F23" s="85" t="s">
        <v>650</v>
      </c>
      <c r="G23" s="85"/>
      <c r="H23" s="86">
        <v>200</v>
      </c>
      <c r="J23" s="86">
        <v>200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26"/>
    </row>
    <row r="24" spans="1:22" x14ac:dyDescent="0.25">
      <c r="A24">
        <v>23</v>
      </c>
      <c r="B24" t="s">
        <v>566</v>
      </c>
      <c r="C24" s="61" t="str">
        <f t="array" ref="C2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4" t="s">
        <v>23</v>
      </c>
      <c r="E24" s="85" t="s">
        <v>651</v>
      </c>
      <c r="F24" s="85" t="s">
        <v>652</v>
      </c>
      <c r="G24" s="85"/>
      <c r="H24" s="86" t="s">
        <v>2588</v>
      </c>
      <c r="J24" s="86">
        <v>300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26"/>
    </row>
    <row r="25" spans="1:22" x14ac:dyDescent="0.25">
      <c r="A25">
        <v>24</v>
      </c>
      <c r="B25" s="22" t="s">
        <v>653</v>
      </c>
      <c r="C25" s="22" t="str">
        <f t="array" ref="C25">_xlfn.IFS(ISNUMBER(SEARCH("M",bharadhidhasan[[#This Row],[JANUARY]])),"M",ISNUMBER(SEARCH("A",bharadhidhasan[[#This Row],[JANUARY]])),"A",bharadhidhasan[[#This Row],[JANUARY]]="","",bharadhidhasan[[#This Row],[JANUARY]]&gt;=100,"P")</f>
        <v/>
      </c>
      <c r="D25" s="22"/>
      <c r="E25" s="22" t="s">
        <v>654</v>
      </c>
      <c r="F25" s="22"/>
      <c r="G25" s="22"/>
      <c r="H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6" t="s">
        <v>655</v>
      </c>
    </row>
    <row r="26" spans="1:22" x14ac:dyDescent="0.25">
      <c r="A26">
        <v>25</v>
      </c>
      <c r="B26" t="s">
        <v>656</v>
      </c>
      <c r="C26" s="61" t="str">
        <f t="array" ref="C2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6" t="s">
        <v>131</v>
      </c>
      <c r="E26" s="85" t="s">
        <v>657</v>
      </c>
      <c r="F26" s="85" t="s">
        <v>658</v>
      </c>
      <c r="G26" s="85"/>
      <c r="H26" s="86">
        <v>200</v>
      </c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26"/>
    </row>
    <row r="27" spans="1:22" x14ac:dyDescent="0.25">
      <c r="A27" s="93">
        <v>26</v>
      </c>
      <c r="B27" s="93" t="s">
        <v>659</v>
      </c>
      <c r="C27" s="61" t="str">
        <f t="array" ref="C2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7" s="93" t="s">
        <v>23</v>
      </c>
      <c r="E27" s="85" t="s">
        <v>660</v>
      </c>
      <c r="F27" s="85" t="s">
        <v>661</v>
      </c>
      <c r="G27" s="85"/>
      <c r="H27" s="86">
        <v>230</v>
      </c>
      <c r="J27" s="86">
        <v>230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26"/>
    </row>
    <row r="28" spans="1:22" x14ac:dyDescent="0.25">
      <c r="A28">
        <v>27</v>
      </c>
      <c r="B28" t="s">
        <v>662</v>
      </c>
      <c r="C28" s="61" t="str">
        <f t="array" ref="C28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28" t="s">
        <v>51</v>
      </c>
      <c r="E28" s="85" t="s">
        <v>663</v>
      </c>
      <c r="F28" s="85" t="s">
        <v>664</v>
      </c>
      <c r="G28" s="85"/>
      <c r="H28" s="86" t="s">
        <v>45</v>
      </c>
      <c r="J28" s="86" t="s">
        <v>45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26"/>
    </row>
    <row r="29" spans="1:22" x14ac:dyDescent="0.25">
      <c r="A29">
        <v>28</v>
      </c>
      <c r="B29" t="s">
        <v>665</v>
      </c>
      <c r="C29" s="61" t="str">
        <f t="array" ref="C2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29" t="s">
        <v>30</v>
      </c>
      <c r="E29" s="85" t="s">
        <v>666</v>
      </c>
      <c r="F29" s="85" t="s">
        <v>667</v>
      </c>
      <c r="G29" s="85"/>
      <c r="H29" s="86">
        <v>200</v>
      </c>
      <c r="J29" s="86">
        <v>200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26"/>
    </row>
    <row r="30" spans="1:22" x14ac:dyDescent="0.25">
      <c r="A30">
        <v>29</v>
      </c>
      <c r="B30" t="s">
        <v>668</v>
      </c>
      <c r="C30" s="61" t="str">
        <f t="array" ref="C3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0" t="s">
        <v>51</v>
      </c>
      <c r="E30" s="85" t="s">
        <v>669</v>
      </c>
      <c r="F30" s="85" t="s">
        <v>670</v>
      </c>
      <c r="G30" s="85"/>
      <c r="H30" s="86">
        <v>200</v>
      </c>
      <c r="J30" s="86">
        <v>200</v>
      </c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26"/>
    </row>
    <row r="31" spans="1:22" x14ac:dyDescent="0.25">
      <c r="A31">
        <v>30</v>
      </c>
      <c r="B31" t="s">
        <v>73</v>
      </c>
      <c r="C31" s="61" t="str">
        <f t="array" ref="C3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1" t="s">
        <v>30</v>
      </c>
      <c r="E31" s="85" t="s">
        <v>671</v>
      </c>
      <c r="F31" s="85" t="s">
        <v>672</v>
      </c>
      <c r="G31" s="85"/>
      <c r="H31" s="86">
        <v>200</v>
      </c>
      <c r="J31" s="86">
        <v>260</v>
      </c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26"/>
    </row>
    <row r="32" spans="1:22" x14ac:dyDescent="0.25">
      <c r="A32">
        <v>31</v>
      </c>
      <c r="B32" s="93" t="s">
        <v>673</v>
      </c>
      <c r="C32" s="61" t="str">
        <f t="array" ref="C3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2" s="93" t="s">
        <v>23</v>
      </c>
      <c r="E32" s="85" t="s">
        <v>674</v>
      </c>
      <c r="F32" s="85" t="s">
        <v>675</v>
      </c>
      <c r="G32" s="85"/>
      <c r="H32" s="86" t="s">
        <v>2588</v>
      </c>
      <c r="J32" s="86">
        <v>400</v>
      </c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26"/>
    </row>
    <row r="33" spans="1:22" x14ac:dyDescent="0.25">
      <c r="A33">
        <v>32</v>
      </c>
      <c r="B33" t="s">
        <v>676</v>
      </c>
      <c r="C33" s="61" t="str">
        <f t="array" ref="C3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3" t="s">
        <v>36</v>
      </c>
      <c r="E33" s="85" t="s">
        <v>677</v>
      </c>
      <c r="F33" s="85" t="s">
        <v>678</v>
      </c>
      <c r="G33" s="85"/>
      <c r="H33" s="86">
        <v>230</v>
      </c>
      <c r="J33" s="86">
        <v>230</v>
      </c>
      <c r="K33" s="86"/>
      <c r="L33" s="86"/>
      <c r="M33" s="86"/>
      <c r="N33" s="86"/>
      <c r="O33" s="86"/>
      <c r="P33" s="86"/>
      <c r="Q33" s="86"/>
      <c r="R33" s="86"/>
      <c r="S33" s="86"/>
      <c r="T33" s="86"/>
      <c r="U33" s="86"/>
      <c r="V33" s="26"/>
    </row>
    <row r="34" spans="1:22" x14ac:dyDescent="0.25">
      <c r="A34">
        <v>33</v>
      </c>
      <c r="B34" t="s">
        <v>679</v>
      </c>
      <c r="C34" s="61" t="str">
        <f t="array" ref="C3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4" t="s">
        <v>36</v>
      </c>
      <c r="E34" s="85" t="s">
        <v>680</v>
      </c>
      <c r="F34" s="85" t="s">
        <v>681</v>
      </c>
      <c r="G34" s="85"/>
      <c r="H34" s="86">
        <v>230</v>
      </c>
      <c r="J34" s="86">
        <v>230</v>
      </c>
      <c r="K34" s="86"/>
      <c r="L34" s="86"/>
      <c r="M34" s="86"/>
      <c r="N34" s="86"/>
      <c r="O34" s="86"/>
      <c r="P34" s="86"/>
      <c r="Q34" s="86"/>
      <c r="R34" s="86"/>
      <c r="S34" s="86"/>
      <c r="T34" s="86"/>
      <c r="U34" s="86"/>
      <c r="V34" s="26"/>
    </row>
    <row r="35" spans="1:22" x14ac:dyDescent="0.25">
      <c r="A35">
        <v>34</v>
      </c>
      <c r="B35" t="s">
        <v>682</v>
      </c>
      <c r="C35" s="61" t="str">
        <f t="array" ref="C35">_xlfn.IFS(ISNUMBER(SEARCH("M",bharadhidhasan[[#This Row],[JANUARY]])),"M",ISNUMBER(SEARCH("A",bharadhidhasan[[#This Row],[JANUARY]])),"A",bharadhidhasan[[#This Row],[JANUARY]]="","",bharadhidhasan[[#This Row],[JANUARY]]&gt;=100,"P")</f>
        <v/>
      </c>
      <c r="E35" s="85" t="s">
        <v>683</v>
      </c>
      <c r="F35" s="85" t="s">
        <v>684</v>
      </c>
      <c r="G35" s="85"/>
      <c r="H35" s="44"/>
      <c r="J35" s="86"/>
      <c r="K35" s="86"/>
      <c r="L35" s="86"/>
      <c r="M35" s="86"/>
      <c r="N35" s="86"/>
      <c r="O35" s="86"/>
      <c r="P35" s="86"/>
      <c r="Q35" s="86"/>
      <c r="R35" s="86"/>
      <c r="S35" s="86"/>
      <c r="T35" s="86"/>
      <c r="U35" s="86"/>
      <c r="V35" s="26"/>
    </row>
    <row r="36" spans="1:22" x14ac:dyDescent="0.25">
      <c r="A36">
        <v>35</v>
      </c>
      <c r="B36" t="s">
        <v>685</v>
      </c>
      <c r="C36" s="61" t="str">
        <f t="array" ref="C36">_xlfn.IFS(ISNUMBER(SEARCH("M",bharadhidhasan[[#This Row],[JANUARY]])),"M",ISNUMBER(SEARCH("A",bharadhidhasan[[#This Row],[JANUARY]])),"A",bharadhidhasan[[#This Row],[JANUARY]]="","",bharadhidhasan[[#This Row],[JANUARY]]&gt;=100,"P")</f>
        <v>M</v>
      </c>
      <c r="D36" t="s">
        <v>51</v>
      </c>
      <c r="E36" s="85" t="s">
        <v>686</v>
      </c>
      <c r="F36" s="85" t="s">
        <v>687</v>
      </c>
      <c r="G36" s="85"/>
      <c r="H36" s="86">
        <v>400</v>
      </c>
      <c r="J36" s="86" t="s">
        <v>49</v>
      </c>
      <c r="K36" s="86"/>
      <c r="L36" s="86"/>
      <c r="M36" s="86"/>
      <c r="N36" s="86"/>
      <c r="O36" s="86"/>
      <c r="P36" s="86"/>
      <c r="Q36" s="86"/>
      <c r="R36" s="86"/>
      <c r="S36" s="86"/>
      <c r="T36" s="86"/>
      <c r="U36" s="86"/>
      <c r="V36" s="26"/>
    </row>
    <row r="37" spans="1:22" x14ac:dyDescent="0.25">
      <c r="A37">
        <v>36</v>
      </c>
      <c r="B37" t="s">
        <v>688</v>
      </c>
      <c r="C37" s="61" t="str">
        <f t="array" ref="C3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7" t="s">
        <v>30</v>
      </c>
      <c r="E37" s="85" t="s">
        <v>689</v>
      </c>
      <c r="F37" s="85" t="s">
        <v>690</v>
      </c>
      <c r="G37" s="85"/>
      <c r="H37" s="86">
        <v>200</v>
      </c>
      <c r="J37" s="86">
        <v>200</v>
      </c>
      <c r="K37" s="86"/>
      <c r="L37" s="86"/>
      <c r="M37" s="86"/>
      <c r="N37" s="86"/>
      <c r="O37" s="86"/>
      <c r="P37" s="86"/>
      <c r="Q37" s="86"/>
      <c r="R37" s="86"/>
      <c r="S37" s="86"/>
      <c r="T37" s="86"/>
      <c r="U37" s="86"/>
      <c r="V37" s="26"/>
    </row>
    <row r="38" spans="1:22" x14ac:dyDescent="0.25">
      <c r="A38">
        <v>37</v>
      </c>
      <c r="B38" t="s">
        <v>366</v>
      </c>
      <c r="C38" s="61" t="str">
        <f t="array" ref="C3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8" t="s">
        <v>30</v>
      </c>
      <c r="E38" s="85" t="s">
        <v>691</v>
      </c>
      <c r="F38" s="85" t="s">
        <v>692</v>
      </c>
      <c r="G38" s="85"/>
      <c r="H38" s="86">
        <v>200</v>
      </c>
      <c r="J38" s="86">
        <v>200</v>
      </c>
      <c r="K38" s="86"/>
      <c r="L38" s="86"/>
      <c r="M38" s="86"/>
      <c r="N38" s="86"/>
      <c r="O38" s="86"/>
      <c r="P38" s="86"/>
      <c r="Q38" s="86"/>
      <c r="R38" s="86"/>
      <c r="S38" s="86"/>
      <c r="T38" s="86"/>
      <c r="U38" s="86"/>
      <c r="V38" s="26"/>
    </row>
    <row r="39" spans="1:22" x14ac:dyDescent="0.25">
      <c r="A39">
        <v>38</v>
      </c>
      <c r="B39" t="s">
        <v>278</v>
      </c>
      <c r="C39" s="61" t="str">
        <f t="array" ref="C3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39" t="s">
        <v>23</v>
      </c>
      <c r="E39" s="85" t="s">
        <v>693</v>
      </c>
      <c r="F39" s="85" t="s">
        <v>694</v>
      </c>
      <c r="G39" s="85"/>
      <c r="H39" s="86">
        <v>200</v>
      </c>
      <c r="J39" s="86">
        <v>200</v>
      </c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26"/>
    </row>
    <row r="40" spans="1:22" x14ac:dyDescent="0.25">
      <c r="A40">
        <v>39</v>
      </c>
      <c r="B40" t="s">
        <v>695</v>
      </c>
      <c r="C40" s="61" t="str">
        <f t="array" ref="C40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0" t="s">
        <v>23</v>
      </c>
      <c r="E40" s="85" t="s">
        <v>696</v>
      </c>
      <c r="F40" s="85" t="s">
        <v>697</v>
      </c>
      <c r="G40" s="85"/>
      <c r="H40" s="86" t="s">
        <v>292</v>
      </c>
      <c r="J40" s="86" t="s">
        <v>45</v>
      </c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26"/>
    </row>
    <row r="41" spans="1:22" x14ac:dyDescent="0.25">
      <c r="A41">
        <v>40</v>
      </c>
      <c r="B41" t="s">
        <v>698</v>
      </c>
      <c r="C41" s="61" t="str">
        <f t="array" ref="C41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41" t="s">
        <v>576</v>
      </c>
      <c r="E41" s="85" t="s">
        <v>699</v>
      </c>
      <c r="F41" s="85" t="s">
        <v>700</v>
      </c>
      <c r="G41" s="85"/>
      <c r="H41" s="86" t="s">
        <v>701</v>
      </c>
      <c r="J41" s="86" t="s">
        <v>45</v>
      </c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26" t="s">
        <v>702</v>
      </c>
    </row>
    <row r="42" spans="1:22" ht="15.75" customHeight="1" x14ac:dyDescent="0.25">
      <c r="A42">
        <v>41</v>
      </c>
      <c r="B42" t="s">
        <v>703</v>
      </c>
      <c r="C42" s="61" t="str">
        <f t="array" ref="C4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2" t="s">
        <v>51</v>
      </c>
      <c r="E42" s="85" t="s">
        <v>704</v>
      </c>
      <c r="F42" s="85" t="s">
        <v>705</v>
      </c>
      <c r="G42" s="85"/>
      <c r="H42" s="86">
        <v>200</v>
      </c>
      <c r="J42" s="86">
        <v>200</v>
      </c>
      <c r="K42" s="86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26"/>
    </row>
    <row r="43" spans="1:22" ht="18" customHeight="1" x14ac:dyDescent="0.25">
      <c r="A43">
        <v>42</v>
      </c>
      <c r="B43" t="s">
        <v>706</v>
      </c>
      <c r="C43" s="61" t="str">
        <f t="array" ref="C43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3" t="s">
        <v>707</v>
      </c>
      <c r="E43" s="85" t="s">
        <v>708</v>
      </c>
      <c r="F43" s="85" t="s">
        <v>709</v>
      </c>
      <c r="G43" s="85"/>
      <c r="H43" s="86" t="s">
        <v>2588</v>
      </c>
      <c r="J43" s="86">
        <v>600</v>
      </c>
      <c r="K43" s="86"/>
      <c r="L43" s="86"/>
      <c r="M43" s="86"/>
      <c r="N43" s="86"/>
      <c r="O43" s="86"/>
      <c r="P43" s="86"/>
      <c r="Q43" s="86"/>
      <c r="R43" s="86"/>
      <c r="S43" s="86"/>
      <c r="T43" s="86"/>
      <c r="U43" s="86"/>
      <c r="V43" s="26"/>
    </row>
    <row r="44" spans="1:22" x14ac:dyDescent="0.25">
      <c r="A44">
        <v>43</v>
      </c>
      <c r="B44" t="s">
        <v>710</v>
      </c>
      <c r="C44" s="61" t="str">
        <f t="array" ref="C4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4" t="s">
        <v>30</v>
      </c>
      <c r="E44" s="85" t="s">
        <v>711</v>
      </c>
      <c r="F44" s="85" t="s">
        <v>712</v>
      </c>
      <c r="G44" s="85"/>
      <c r="H44" s="86">
        <v>200</v>
      </c>
      <c r="J44" s="86">
        <v>200</v>
      </c>
      <c r="K44" s="86"/>
      <c r="L44" s="86"/>
      <c r="M44" s="86"/>
      <c r="N44" s="86"/>
      <c r="O44" s="86"/>
      <c r="P44" s="86"/>
      <c r="Q44" s="86"/>
      <c r="R44" s="86"/>
      <c r="S44" s="86"/>
      <c r="T44" s="86"/>
      <c r="U44" s="86"/>
      <c r="V44" s="26"/>
    </row>
    <row r="45" spans="1:22" x14ac:dyDescent="0.25">
      <c r="A45">
        <v>44</v>
      </c>
      <c r="B45" t="s">
        <v>713</v>
      </c>
      <c r="C45" s="61" t="str">
        <f t="array" ref="C4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5" t="s">
        <v>23</v>
      </c>
      <c r="E45" s="85" t="s">
        <v>714</v>
      </c>
      <c r="F45" s="85" t="s">
        <v>715</v>
      </c>
      <c r="G45" s="85"/>
      <c r="H45" s="86">
        <v>200</v>
      </c>
      <c r="J45" s="86">
        <v>200</v>
      </c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86"/>
      <c r="V45" s="26"/>
    </row>
    <row r="46" spans="1:22" x14ac:dyDescent="0.25">
      <c r="A46">
        <v>45</v>
      </c>
      <c r="B46" t="s">
        <v>533</v>
      </c>
      <c r="C46" s="61" t="str">
        <f t="array" ref="C4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6" t="s">
        <v>23</v>
      </c>
      <c r="E46" s="85" t="s">
        <v>716</v>
      </c>
      <c r="F46" s="85" t="s">
        <v>717</v>
      </c>
      <c r="G46" s="85"/>
      <c r="H46" s="86" t="s">
        <v>49</v>
      </c>
      <c r="I46" s="26">
        <v>200</v>
      </c>
      <c r="J46" s="86">
        <v>200</v>
      </c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26"/>
    </row>
    <row r="47" spans="1:22" x14ac:dyDescent="0.25">
      <c r="A47">
        <v>46</v>
      </c>
      <c r="B47" t="s">
        <v>718</v>
      </c>
      <c r="C47" s="61" t="str">
        <f t="array" ref="C4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7" t="s">
        <v>30</v>
      </c>
      <c r="E47" s="85" t="s">
        <v>719</v>
      </c>
      <c r="F47" s="85" t="s">
        <v>720</v>
      </c>
      <c r="G47" s="85"/>
      <c r="H47" s="86">
        <v>200</v>
      </c>
      <c r="J47" s="86">
        <v>200</v>
      </c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26"/>
    </row>
    <row r="48" spans="1:22" x14ac:dyDescent="0.25">
      <c r="A48">
        <v>47</v>
      </c>
      <c r="B48" t="s">
        <v>721</v>
      </c>
      <c r="C48" s="61" t="str">
        <f t="array" ref="C4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8" t="s">
        <v>23</v>
      </c>
      <c r="E48" s="85" t="s">
        <v>722</v>
      </c>
      <c r="F48" s="85" t="s">
        <v>723</v>
      </c>
      <c r="G48" s="85"/>
      <c r="H48" s="86" t="s">
        <v>2588</v>
      </c>
      <c r="J48" s="86">
        <v>600</v>
      </c>
      <c r="K48" s="86"/>
      <c r="L48" s="86"/>
      <c r="M48" s="86"/>
      <c r="N48" s="86"/>
      <c r="O48" s="86"/>
      <c r="P48" s="86"/>
      <c r="Q48" s="86"/>
      <c r="R48" s="86"/>
      <c r="S48" s="86"/>
      <c r="T48" s="86"/>
      <c r="U48" s="86"/>
      <c r="V48" s="26"/>
    </row>
    <row r="49" spans="1:22" x14ac:dyDescent="0.25">
      <c r="A49">
        <v>48</v>
      </c>
      <c r="B49" t="s">
        <v>724</v>
      </c>
      <c r="C49" s="61" t="str">
        <f t="array" ref="C4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49" t="s">
        <v>51</v>
      </c>
      <c r="E49" s="85" t="s">
        <v>725</v>
      </c>
      <c r="F49" s="85" t="s">
        <v>726</v>
      </c>
      <c r="G49" s="85"/>
      <c r="H49" s="86">
        <v>200</v>
      </c>
      <c r="J49" s="86">
        <v>200</v>
      </c>
      <c r="K49" s="86"/>
      <c r="L49" s="86"/>
      <c r="M49" s="86"/>
      <c r="N49" s="86"/>
      <c r="O49" s="86"/>
      <c r="P49" s="86"/>
      <c r="Q49" s="86"/>
      <c r="R49" s="86"/>
      <c r="S49" s="86"/>
      <c r="T49" s="86"/>
      <c r="U49" s="86"/>
      <c r="V49" s="26"/>
    </row>
    <row r="50" spans="1:22" x14ac:dyDescent="0.25">
      <c r="A50" s="97">
        <v>49</v>
      </c>
      <c r="B50" s="97" t="s">
        <v>727</v>
      </c>
      <c r="C50" s="99" t="str">
        <f t="array" ref="C5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0" s="97" t="s">
        <v>51</v>
      </c>
      <c r="E50" s="100" t="s">
        <v>728</v>
      </c>
      <c r="F50" s="100" t="s">
        <v>729</v>
      </c>
      <c r="G50" s="100"/>
      <c r="H50" s="101">
        <v>200</v>
      </c>
      <c r="I50" s="102"/>
      <c r="J50" s="101">
        <v>200</v>
      </c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2"/>
    </row>
    <row r="51" spans="1:22" x14ac:dyDescent="0.25">
      <c r="A51">
        <v>50</v>
      </c>
      <c r="B51" t="s">
        <v>730</v>
      </c>
      <c r="C51" s="61" t="str">
        <f t="array" ref="C5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1" t="s">
        <v>51</v>
      </c>
      <c r="E51" s="85" t="s">
        <v>731</v>
      </c>
      <c r="F51" s="85" t="s">
        <v>732</v>
      </c>
      <c r="G51" s="85"/>
      <c r="H51" s="86">
        <v>200</v>
      </c>
      <c r="J51" s="86">
        <v>200</v>
      </c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26"/>
    </row>
    <row r="52" spans="1:22" x14ac:dyDescent="0.25">
      <c r="A52">
        <v>51</v>
      </c>
      <c r="B52" t="s">
        <v>733</v>
      </c>
      <c r="C52" s="61" t="str">
        <f t="array" ref="C52">_xlfn.IFS(ISNUMBER(SEARCH("M",bharadhidhasan[[#This Row],[JANUARY]])),"M",ISNUMBER(SEARCH("A",bharadhidhasan[[#This Row],[JANUARY]])),"A",bharadhidhasan[[#This Row],[JANUARY]]="","",bharadhidhasan[[#This Row],[JANUARY]]&gt;=100,"P")</f>
        <v/>
      </c>
      <c r="E52" s="85" t="s">
        <v>734</v>
      </c>
      <c r="F52" s="85" t="s">
        <v>735</v>
      </c>
      <c r="G52" s="85"/>
      <c r="H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26"/>
    </row>
    <row r="53" spans="1:22" x14ac:dyDescent="0.25">
      <c r="A53">
        <v>52</v>
      </c>
      <c r="B53" t="s">
        <v>736</v>
      </c>
      <c r="C53" s="61" t="str">
        <f t="array" ref="C53">_xlfn.IFS(ISNUMBER(SEARCH("M",bharadhidhasan[[#This Row],[JANUARY]])),"M",ISNUMBER(SEARCH("A",bharadhidhasan[[#This Row],[JANUARY]])),"A",bharadhidhasan[[#This Row],[JANUARY]]="","",bharadhidhasan[[#This Row],[JANUARY]]&gt;=100,"P")</f>
        <v/>
      </c>
      <c r="E53" s="85" t="s">
        <v>737</v>
      </c>
      <c r="F53" s="85" t="s">
        <v>738</v>
      </c>
      <c r="G53" s="85"/>
      <c r="H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26"/>
    </row>
    <row r="54" spans="1:22" x14ac:dyDescent="0.25">
      <c r="A54">
        <v>53</v>
      </c>
      <c r="B54" t="s">
        <v>739</v>
      </c>
      <c r="C54" s="61" t="str">
        <f t="array" ref="C5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4" t="s">
        <v>36</v>
      </c>
      <c r="E54" s="85" t="s">
        <v>740</v>
      </c>
      <c r="F54" s="85" t="s">
        <v>741</v>
      </c>
      <c r="G54" s="85"/>
      <c r="H54" s="86">
        <v>230</v>
      </c>
      <c r="J54" s="86">
        <v>230</v>
      </c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26"/>
    </row>
    <row r="55" spans="1:22" x14ac:dyDescent="0.25">
      <c r="A55">
        <v>54</v>
      </c>
      <c r="B55" t="s">
        <v>742</v>
      </c>
      <c r="C55" s="61" t="str">
        <f t="array" ref="C5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5" t="s">
        <v>30</v>
      </c>
      <c r="E55" s="85" t="s">
        <v>743</v>
      </c>
      <c r="F55" s="85" t="s">
        <v>744</v>
      </c>
      <c r="G55" s="85"/>
      <c r="H55" s="83">
        <v>200</v>
      </c>
      <c r="J55" s="86">
        <v>200</v>
      </c>
      <c r="K55" s="86"/>
      <c r="L55" s="86"/>
      <c r="M55" s="86"/>
      <c r="N55" s="86"/>
      <c r="O55" s="86"/>
      <c r="P55" s="86"/>
      <c r="Q55" s="86"/>
      <c r="R55" s="86"/>
      <c r="S55" s="86"/>
      <c r="T55" s="86"/>
      <c r="U55" s="86"/>
      <c r="V55" s="26"/>
    </row>
    <row r="56" spans="1:22" x14ac:dyDescent="0.25">
      <c r="A56">
        <v>55</v>
      </c>
      <c r="B56" t="s">
        <v>745</v>
      </c>
      <c r="C56" s="61" t="str">
        <f t="array" ref="C5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6" t="s">
        <v>30</v>
      </c>
      <c r="E56" s="85" t="s">
        <v>746</v>
      </c>
      <c r="F56" s="85" t="s">
        <v>747</v>
      </c>
      <c r="G56" s="85"/>
      <c r="H56" s="86">
        <v>250</v>
      </c>
      <c r="J56" s="86">
        <v>200</v>
      </c>
      <c r="K56" s="86"/>
      <c r="L56" s="86"/>
      <c r="M56" s="86"/>
      <c r="N56" s="86"/>
      <c r="O56" s="86"/>
      <c r="P56" s="86"/>
      <c r="Q56" s="86"/>
      <c r="R56" s="86"/>
      <c r="S56" s="86"/>
      <c r="T56" s="86"/>
      <c r="U56" s="86"/>
      <c r="V56" s="26"/>
    </row>
    <row r="57" spans="1:22" x14ac:dyDescent="0.25">
      <c r="A57">
        <v>56</v>
      </c>
      <c r="B57" t="s">
        <v>748</v>
      </c>
      <c r="C57" s="61" t="str">
        <f t="array" ref="C5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7" t="s">
        <v>30</v>
      </c>
      <c r="E57" s="85" t="s">
        <v>749</v>
      </c>
      <c r="F57" s="85" t="s">
        <v>750</v>
      </c>
      <c r="G57" s="85"/>
      <c r="H57" s="86">
        <v>200</v>
      </c>
      <c r="J57" s="86">
        <v>200</v>
      </c>
      <c r="K57" s="86"/>
      <c r="L57" s="86"/>
      <c r="M57" s="86"/>
      <c r="N57" s="86"/>
      <c r="O57" s="86"/>
      <c r="P57" s="86"/>
      <c r="Q57" s="86"/>
      <c r="R57" s="86"/>
      <c r="S57" s="86"/>
      <c r="T57" s="86"/>
      <c r="U57" s="86"/>
      <c r="V57" s="26"/>
    </row>
    <row r="58" spans="1:22" x14ac:dyDescent="0.25">
      <c r="A58">
        <v>57</v>
      </c>
      <c r="B58" t="s">
        <v>751</v>
      </c>
      <c r="C58" s="61" t="str">
        <f t="array" ref="C5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58" t="s">
        <v>30</v>
      </c>
      <c r="E58" s="85" t="s">
        <v>752</v>
      </c>
      <c r="F58" s="85" t="s">
        <v>753</v>
      </c>
      <c r="G58" s="85"/>
      <c r="H58" s="86">
        <v>200</v>
      </c>
      <c r="J58" s="86">
        <v>200</v>
      </c>
      <c r="K58" s="86"/>
      <c r="L58" s="86"/>
      <c r="M58" s="86"/>
      <c r="N58" s="86"/>
      <c r="O58" s="86"/>
      <c r="P58" s="86"/>
      <c r="Q58" s="86"/>
      <c r="R58" s="86"/>
      <c r="S58" s="86"/>
      <c r="T58" s="86"/>
      <c r="U58" s="86"/>
      <c r="V58" s="26"/>
    </row>
    <row r="59" spans="1:22" x14ac:dyDescent="0.25">
      <c r="A59">
        <v>58</v>
      </c>
      <c r="B59" t="s">
        <v>754</v>
      </c>
      <c r="C59" s="61" t="str" cm="1">
        <f t="array" ref="C59">_xlfn.IFS(ISNUMBER(SEARCH("A",bharadhidhasan[[#This Row],[JANUARY]])),"A",bharadhidhasan[[#This Row],[JANUARY]]="","",bharadhidhasan[[#This Row],[JANUARY]]&gt;=100,"P")</f>
        <v>P</v>
      </c>
      <c r="D59" t="s">
        <v>30</v>
      </c>
      <c r="E59" s="85" t="s">
        <v>755</v>
      </c>
      <c r="F59" s="85" t="s">
        <v>756</v>
      </c>
      <c r="G59" s="85"/>
      <c r="H59" s="86" t="s">
        <v>757</v>
      </c>
      <c r="J59" s="86" t="s">
        <v>757</v>
      </c>
      <c r="K59" s="86"/>
      <c r="L59" s="86"/>
      <c r="M59" s="86"/>
      <c r="N59" s="86"/>
      <c r="O59" s="86"/>
      <c r="P59" s="86"/>
      <c r="Q59" s="86"/>
      <c r="R59" s="86"/>
      <c r="S59" s="86"/>
      <c r="T59" s="86"/>
      <c r="U59" s="86"/>
      <c r="V59" s="26"/>
    </row>
    <row r="60" spans="1:22" x14ac:dyDescent="0.25">
      <c r="A60">
        <v>59</v>
      </c>
      <c r="B60" t="s">
        <v>758</v>
      </c>
      <c r="C60" s="61" t="str">
        <f t="array" ref="C6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0" t="s">
        <v>51</v>
      </c>
      <c r="E60" s="85" t="s">
        <v>759</v>
      </c>
      <c r="F60" s="85" t="s">
        <v>760</v>
      </c>
      <c r="G60" s="85"/>
      <c r="H60" s="86">
        <v>200</v>
      </c>
      <c r="I60" s="26">
        <v>200</v>
      </c>
      <c r="J60" s="86">
        <v>200</v>
      </c>
      <c r="K60" s="86"/>
      <c r="L60" s="86"/>
      <c r="M60" s="86"/>
      <c r="N60" s="86"/>
      <c r="O60" s="86"/>
      <c r="P60" s="86"/>
      <c r="Q60" s="86"/>
      <c r="R60" s="86"/>
      <c r="S60" s="86"/>
      <c r="T60" s="86"/>
      <c r="U60" s="86"/>
      <c r="V60" s="26"/>
    </row>
    <row r="61" spans="1:22" x14ac:dyDescent="0.25">
      <c r="A61">
        <v>60</v>
      </c>
      <c r="B61" t="s">
        <v>761</v>
      </c>
      <c r="C61" s="61" t="s">
        <v>1868</v>
      </c>
      <c r="D61" t="s">
        <v>30</v>
      </c>
      <c r="E61" s="85" t="s">
        <v>762</v>
      </c>
      <c r="F61" s="85" t="s">
        <v>763</v>
      </c>
      <c r="G61" s="85"/>
      <c r="H61" s="86" t="s">
        <v>764</v>
      </c>
      <c r="J61" s="86" t="s">
        <v>761</v>
      </c>
      <c r="K61" s="86" t="s">
        <v>761</v>
      </c>
      <c r="L61" s="86" t="s">
        <v>761</v>
      </c>
      <c r="M61" s="86" t="s">
        <v>761</v>
      </c>
      <c r="N61" s="86" t="s">
        <v>761</v>
      </c>
      <c r="O61" s="86" t="s">
        <v>761</v>
      </c>
      <c r="P61" s="86" t="s">
        <v>761</v>
      </c>
      <c r="Q61" s="86" t="s">
        <v>761</v>
      </c>
      <c r="R61" s="86" t="s">
        <v>761</v>
      </c>
      <c r="S61" s="86" t="s">
        <v>761</v>
      </c>
      <c r="T61" s="86" t="s">
        <v>761</v>
      </c>
      <c r="U61" s="86" t="s">
        <v>761</v>
      </c>
      <c r="V61" s="26"/>
    </row>
    <row r="62" spans="1:22" x14ac:dyDescent="0.25">
      <c r="A62">
        <v>61</v>
      </c>
      <c r="B62" t="s">
        <v>765</v>
      </c>
      <c r="C62" s="61" t="s">
        <v>1868</v>
      </c>
      <c r="D62" t="s">
        <v>30</v>
      </c>
      <c r="E62" s="85" t="s">
        <v>766</v>
      </c>
      <c r="F62" s="85" t="s">
        <v>756</v>
      </c>
      <c r="G62" s="85"/>
      <c r="H62" s="86" t="s">
        <v>765</v>
      </c>
      <c r="J62" s="86" t="s">
        <v>765</v>
      </c>
      <c r="K62" s="86"/>
      <c r="L62" s="86"/>
      <c r="M62" s="86"/>
      <c r="N62" s="86"/>
      <c r="O62" s="86"/>
      <c r="P62" s="86"/>
      <c r="Q62" s="86"/>
      <c r="R62" s="86"/>
      <c r="S62" s="86"/>
      <c r="T62" s="86"/>
      <c r="U62" s="86"/>
      <c r="V62" s="26"/>
    </row>
    <row r="63" spans="1:22" x14ac:dyDescent="0.25">
      <c r="A63">
        <v>62</v>
      </c>
      <c r="B63" t="s">
        <v>767</v>
      </c>
      <c r="C63" s="61" t="str">
        <f t="array" ref="C63">_xlfn.IFS(ISNUMBER(SEARCH("M",bharadhidhasan[[#This Row],[JANUARY]])),"M",ISNUMBER(SEARCH("A",bharadhidhasan[[#This Row],[JANUARY]])),"A",bharadhidhasan[[#This Row],[JANUARY]]="","",bharadhidhasan[[#This Row],[JANUARY]]&gt;=100,"P")</f>
        <v>A</v>
      </c>
      <c r="D63" s="93" t="s">
        <v>36</v>
      </c>
      <c r="E63" s="85" t="s">
        <v>768</v>
      </c>
      <c r="F63" s="85" t="s">
        <v>769</v>
      </c>
      <c r="G63" s="85"/>
      <c r="H63" s="86" t="s">
        <v>2577</v>
      </c>
      <c r="J63" s="86" t="s">
        <v>2577</v>
      </c>
      <c r="K63" s="86" t="s">
        <v>2576</v>
      </c>
      <c r="L63" s="86"/>
      <c r="M63" s="86"/>
      <c r="N63" s="86"/>
      <c r="O63" s="86"/>
      <c r="P63" s="86"/>
      <c r="Q63" s="86"/>
      <c r="R63" s="86"/>
      <c r="S63" s="86"/>
      <c r="T63" s="86"/>
      <c r="U63" s="86"/>
      <c r="V63" s="26"/>
    </row>
    <row r="64" spans="1:22" x14ac:dyDescent="0.25">
      <c r="A64">
        <v>63</v>
      </c>
      <c r="B64" t="s">
        <v>770</v>
      </c>
      <c r="C64" s="61" t="str">
        <f t="array" ref="C64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4" t="s">
        <v>36</v>
      </c>
      <c r="E64" s="85" t="s">
        <v>771</v>
      </c>
      <c r="F64" s="85" t="s">
        <v>772</v>
      </c>
      <c r="G64" s="85"/>
      <c r="H64" s="86">
        <v>230</v>
      </c>
      <c r="J64" s="86">
        <v>230</v>
      </c>
      <c r="K64" s="86"/>
      <c r="L64" s="86"/>
      <c r="M64" s="86"/>
      <c r="N64" s="86"/>
      <c r="O64" s="86"/>
      <c r="P64" s="86"/>
      <c r="Q64" s="86"/>
      <c r="R64" s="86"/>
      <c r="S64" s="86"/>
      <c r="T64" s="86"/>
      <c r="U64" s="86"/>
      <c r="V64" s="26"/>
    </row>
    <row r="65" spans="1:22" x14ac:dyDescent="0.25">
      <c r="A65">
        <v>64</v>
      </c>
      <c r="B65" t="s">
        <v>773</v>
      </c>
      <c r="C65" s="61" t="str">
        <f t="array" ref="C65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5" t="s">
        <v>23</v>
      </c>
      <c r="E65" s="85" t="s">
        <v>774</v>
      </c>
      <c r="F65" s="85" t="s">
        <v>775</v>
      </c>
      <c r="G65" s="85"/>
      <c r="H65" s="86">
        <v>200</v>
      </c>
      <c r="J65" s="86">
        <v>200</v>
      </c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26" t="s">
        <v>776</v>
      </c>
    </row>
    <row r="66" spans="1:22" x14ac:dyDescent="0.25">
      <c r="A66">
        <v>65</v>
      </c>
      <c r="B66" t="s">
        <v>777</v>
      </c>
      <c r="C66" s="61" t="str">
        <f t="array" ref="C66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6" t="s">
        <v>36</v>
      </c>
      <c r="E66" s="85" t="s">
        <v>778</v>
      </c>
      <c r="F66" s="85" t="s">
        <v>779</v>
      </c>
      <c r="G66" s="85"/>
      <c r="H66" s="86">
        <v>200</v>
      </c>
      <c r="J66" s="86">
        <v>200</v>
      </c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26"/>
    </row>
    <row r="67" spans="1:22" x14ac:dyDescent="0.25">
      <c r="A67">
        <v>66</v>
      </c>
      <c r="B67" t="s">
        <v>780</v>
      </c>
      <c r="C67" s="61" t="str">
        <f t="array" ref="C67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7" s="87" t="s">
        <v>2582</v>
      </c>
      <c r="E67" s="85" t="s">
        <v>781</v>
      </c>
      <c r="F67" s="85" t="s">
        <v>782</v>
      </c>
      <c r="G67" s="85"/>
      <c r="H67" s="86" t="s">
        <v>701</v>
      </c>
      <c r="J67" s="86" t="s">
        <v>806</v>
      </c>
      <c r="K67" s="86" t="s">
        <v>2581</v>
      </c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26"/>
    </row>
    <row r="68" spans="1:22" x14ac:dyDescent="0.25">
      <c r="A68">
        <v>67</v>
      </c>
      <c r="B68" t="s">
        <v>64</v>
      </c>
      <c r="C68" s="61" t="str">
        <f t="array" ref="C68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8" t="s">
        <v>36</v>
      </c>
      <c r="E68" s="85" t="s">
        <v>783</v>
      </c>
      <c r="F68" s="85" t="s">
        <v>784</v>
      </c>
      <c r="G68" s="85"/>
      <c r="H68" s="86" t="s">
        <v>785</v>
      </c>
      <c r="J68" s="86">
        <v>230</v>
      </c>
      <c r="K68" s="86"/>
      <c r="L68" s="86"/>
      <c r="M68" s="86"/>
      <c r="N68" s="86"/>
      <c r="O68" s="86"/>
      <c r="P68" s="86"/>
      <c r="Q68" s="86"/>
      <c r="R68" s="86"/>
      <c r="S68" s="86"/>
      <c r="T68" s="86"/>
      <c r="U68" s="86"/>
      <c r="V68" s="26"/>
    </row>
    <row r="69" spans="1:22" x14ac:dyDescent="0.25">
      <c r="A69">
        <v>68</v>
      </c>
      <c r="B69" t="s">
        <v>786</v>
      </c>
      <c r="C69" s="61" t="str">
        <f t="array" ref="C69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69" t="s">
        <v>23</v>
      </c>
      <c r="E69" s="85" t="s">
        <v>787</v>
      </c>
      <c r="F69" s="85" t="s">
        <v>788</v>
      </c>
      <c r="G69" s="85"/>
      <c r="H69" s="86">
        <v>200</v>
      </c>
      <c r="J69" s="86">
        <v>200</v>
      </c>
      <c r="K69" s="86"/>
      <c r="L69" s="86"/>
      <c r="M69" s="86"/>
      <c r="N69" s="86"/>
      <c r="O69" s="86"/>
      <c r="P69" s="86"/>
      <c r="Q69" s="86"/>
      <c r="R69" s="86"/>
      <c r="S69" s="86"/>
      <c r="T69" s="86"/>
      <c r="U69" s="86"/>
      <c r="V69" s="26"/>
    </row>
    <row r="70" spans="1:22" x14ac:dyDescent="0.25">
      <c r="A70">
        <v>69</v>
      </c>
      <c r="B70" t="s">
        <v>789</v>
      </c>
      <c r="C70" s="61" t="str">
        <f t="array" ref="C70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0" t="s">
        <v>36</v>
      </c>
      <c r="E70" s="85" t="s">
        <v>790</v>
      </c>
      <c r="F70" s="85" t="s">
        <v>791</v>
      </c>
      <c r="G70" s="85"/>
      <c r="H70" s="86" t="s">
        <v>792</v>
      </c>
      <c r="J70" s="86">
        <v>150</v>
      </c>
      <c r="K70" s="86"/>
      <c r="L70" s="86"/>
      <c r="M70" s="86"/>
      <c r="N70" s="86"/>
      <c r="O70" s="86"/>
      <c r="P70" s="86"/>
      <c r="Q70" s="86"/>
      <c r="R70" s="86"/>
      <c r="S70" s="86"/>
      <c r="T70" s="86"/>
      <c r="U70" s="86"/>
      <c r="V70" s="26"/>
    </row>
    <row r="71" spans="1:22" x14ac:dyDescent="0.25">
      <c r="A71">
        <v>70</v>
      </c>
      <c r="B71" t="s">
        <v>793</v>
      </c>
      <c r="C71" s="61" t="str">
        <f t="array" ref="C71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1" t="s">
        <v>36</v>
      </c>
      <c r="E71" s="85" t="s">
        <v>794</v>
      </c>
      <c r="F71" s="85" t="s">
        <v>795</v>
      </c>
      <c r="G71" s="85"/>
      <c r="H71" s="86" t="s">
        <v>792</v>
      </c>
      <c r="J71" s="86">
        <v>150</v>
      </c>
      <c r="K71" s="86"/>
      <c r="L71" s="86"/>
      <c r="M71" s="86"/>
      <c r="N71" s="86"/>
      <c r="O71" s="86"/>
      <c r="P71" s="86"/>
      <c r="Q71" s="86"/>
      <c r="R71" s="86"/>
      <c r="S71" s="86"/>
      <c r="T71" s="86"/>
      <c r="U71" s="86"/>
      <c r="V71" s="26"/>
    </row>
    <row r="72" spans="1:22" ht="15.75" customHeight="1" x14ac:dyDescent="0.25">
      <c r="A72">
        <v>71</v>
      </c>
      <c r="B72" t="s">
        <v>796</v>
      </c>
      <c r="C72" s="61" t="str">
        <f t="array" ref="C72">_xlfn.IFS(ISNUMBER(SEARCH("M",bharadhidhasan[[#This Row],[JANUARY]])),"M",ISNUMBER(SEARCH("A",bharadhidhasan[[#This Row],[JANUARY]])),"A",bharadhidhasan[[#This Row],[JANUARY]]="","",bharadhidhasan[[#This Row],[JANUARY]]&gt;=100,"P")</f>
        <v>P</v>
      </c>
      <c r="D72" t="s">
        <v>23</v>
      </c>
      <c r="E72" s="85" t="s">
        <v>797</v>
      </c>
      <c r="F72" s="85"/>
      <c r="G72" s="85"/>
      <c r="H72" s="86" t="s">
        <v>798</v>
      </c>
      <c r="J72" s="86">
        <v>200</v>
      </c>
      <c r="K72" s="86"/>
      <c r="L72" s="86"/>
      <c r="M72" s="86"/>
      <c r="N72" s="86"/>
      <c r="O72" s="86"/>
      <c r="P72" s="86"/>
      <c r="Q72" s="86"/>
      <c r="R72" s="86"/>
      <c r="S72" s="86"/>
      <c r="T72" s="86"/>
      <c r="U72" s="86"/>
      <c r="V72" s="26"/>
    </row>
    <row r="73" spans="1:22" ht="15.75" customHeight="1" x14ac:dyDescent="0.25">
      <c r="A73" t="s">
        <v>246</v>
      </c>
      <c r="C73" s="61">
        <f>COUNTIF(C2:C72, "&gt;=a")</f>
        <v>66</v>
      </c>
      <c r="D73">
        <f>SUBTOTAL(103,bharadhidhasan[Package])</f>
        <v>66</v>
      </c>
      <c r="E73">
        <f>SUBTOTAL(103,bharadhidhasan[Box No])</f>
        <v>70</v>
      </c>
      <c r="F73">
        <f>SUBTOTAL(103,bharadhidhasan[CAF_ID])</f>
        <v>68</v>
      </c>
      <c r="H73" s="26">
        <f>SUBTOTAL(109,bharadhidhasan[Dec-20])</f>
        <v>9660</v>
      </c>
      <c r="I73" s="26">
        <f>SUBTOTAL(109,bharadhidhasan[BALANCE])</f>
        <v>630</v>
      </c>
      <c r="J73" s="26">
        <f>SUBTOTAL(109,bharadhidhasan[JANUARY])</f>
        <v>12620</v>
      </c>
      <c r="K73" s="26">
        <f>SUBTOTAL(109,bharadhidhasan[FEBEUARY])</f>
        <v>0</v>
      </c>
      <c r="L73" s="26">
        <f>SUBTOTAL(109,bharadhidhasan[MARCH])</f>
        <v>0</v>
      </c>
      <c r="M73" s="26">
        <f>SUBTOTAL(109,bharadhidhasan[APRIL])</f>
        <v>0</v>
      </c>
      <c r="N73" s="26">
        <f>SUBTOTAL(109,bharadhidhasan[MAY])</f>
        <v>0</v>
      </c>
      <c r="O73" s="26">
        <f>SUBTOTAL(109,bharadhidhasan[JUNE])</f>
        <v>0</v>
      </c>
      <c r="P73" s="26">
        <f>SUBTOTAL(109,bharadhidhasan[JULY])</f>
        <v>0</v>
      </c>
      <c r="Q73" s="26">
        <f>SUBTOTAL(109,bharadhidhasan[AUGUST])</f>
        <v>0</v>
      </c>
      <c r="R73" s="26">
        <f>SUBTOTAL(109,bharadhidhasan[SEPTEMBER])</f>
        <v>0</v>
      </c>
      <c r="S73" s="26">
        <f>SUBTOTAL(109,bharadhidhasan[OCTOBER])</f>
        <v>0</v>
      </c>
      <c r="T73" s="26">
        <f>SUBTOTAL(109,bharadhidhasan[NOVEMBER])</f>
        <v>0</v>
      </c>
      <c r="U73" s="26"/>
      <c r="V73" s="26"/>
    </row>
    <row r="74" spans="1:22" ht="15.75" customHeight="1" x14ac:dyDescent="0.25"/>
    <row r="75" spans="1:22" ht="15.75" customHeight="1" x14ac:dyDescent="0.25">
      <c r="B75" s="9" t="s">
        <v>247</v>
      </c>
      <c r="C75" s="47">
        <f>COUNTIF(C2:C72,"P")</f>
        <v>59</v>
      </c>
    </row>
    <row r="76" spans="1:22" ht="15.75" customHeight="1" x14ac:dyDescent="0.25">
      <c r="B76" s="18" t="s">
        <v>248</v>
      </c>
      <c r="C76" s="48">
        <f>COUNTIF(C2:C71,"M")</f>
        <v>1</v>
      </c>
    </row>
    <row r="77" spans="1:22" x14ac:dyDescent="0.25">
      <c r="B77" s="10" t="s">
        <v>249</v>
      </c>
      <c r="C77" s="49">
        <f>COUNTIF(C2:C72,"A")</f>
        <v>6</v>
      </c>
    </row>
    <row r="78" spans="1:22" ht="15.75" customHeight="1" thickBot="1" x14ac:dyDescent="0.3">
      <c r="B78" s="17" t="s">
        <v>250</v>
      </c>
      <c r="C78" s="50">
        <f>SUM(C75:C77)</f>
        <v>66</v>
      </c>
    </row>
    <row r="79" spans="1:22" ht="15.75" customHeight="1" thickTop="1" x14ac:dyDescent="0.25"/>
    <row r="80" spans="1:22" ht="15.75" customHeight="1" x14ac:dyDescent="0.25"/>
    <row r="81" ht="15.75" customHeight="1" x14ac:dyDescent="0.25"/>
    <row r="82" ht="15.75" customHeight="1" x14ac:dyDescent="0.25"/>
  </sheetData>
  <phoneticPr fontId="35" type="noConversion"/>
  <conditionalFormatting sqref="B7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92D050"/>
  </sheetPr>
  <dimension ref="A1:V23"/>
  <sheetViews>
    <sheetView zoomScale="115" zoomScaleNormal="115" workbookViewId="0">
      <selection activeCell="V11" sqref="V11"/>
    </sheetView>
  </sheetViews>
  <sheetFormatPr defaultRowHeight="15" x14ac:dyDescent="0.25"/>
  <cols>
    <col min="1" max="1" width="5" style="87" customWidth="1"/>
    <col min="2" max="2" width="19" style="87" customWidth="1"/>
    <col min="3" max="3" width="7.42578125" style="87" customWidth="1"/>
    <col min="4" max="4" width="30.85546875" style="87" customWidth="1"/>
    <col min="5" max="5" width="23.42578125" style="87" customWidth="1"/>
    <col min="6" max="6" width="11.7109375" style="87" customWidth="1"/>
    <col min="7" max="7" width="11.28515625" style="92" customWidth="1"/>
    <col min="8" max="8" width="11.28515625" style="84" customWidth="1"/>
    <col min="9" max="18" width="11.42578125" style="84" customWidth="1"/>
    <col min="19" max="21" width="11.42578125" style="87" customWidth="1"/>
    <col min="22" max="22" width="36.7109375" style="87" customWidth="1"/>
    <col min="23" max="57" width="9.140625" style="87" customWidth="1"/>
    <col min="58" max="16384" width="9.140625" style="87"/>
  </cols>
  <sheetData>
    <row r="1" spans="1:22" s="61" customFormat="1" x14ac:dyDescent="0.25">
      <c r="A1" s="61" t="s">
        <v>0</v>
      </c>
      <c r="B1" s="61" t="s">
        <v>1</v>
      </c>
      <c r="C1" s="61" t="s">
        <v>2</v>
      </c>
      <c r="D1" s="46" t="s">
        <v>3</v>
      </c>
      <c r="E1" s="13" t="s">
        <v>4</v>
      </c>
      <c r="F1" s="13" t="s">
        <v>5</v>
      </c>
      <c r="G1" s="51" t="s">
        <v>6</v>
      </c>
      <c r="H1" s="45" t="s">
        <v>8</v>
      </c>
      <c r="I1" s="83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13" t="s">
        <v>21</v>
      </c>
    </row>
    <row r="2" spans="1:22" x14ac:dyDescent="0.25">
      <c r="A2">
        <v>1</v>
      </c>
      <c r="B2" t="s">
        <v>799</v>
      </c>
      <c r="C2" t="str">
        <f t="array" ref="C2">_xlfn.IFS(ISNUMBER(SEARCH("M",Poothu_Kovil[[#This Row],[JANUARY]])),"M",ISNUMBER(SEARCH("A",Poothu_Kovil[[#This Row],[JANUARY]])),"A",Poothu_Kovil[[#This Row],[JANUARY]]="","",Poothu_Kovil[[#This Row],[JANUARY]]&gt;=100,"P")</f>
        <v>P</v>
      </c>
      <c r="D2" t="s">
        <v>30</v>
      </c>
      <c r="E2" s="85" t="s">
        <v>800</v>
      </c>
      <c r="F2" t="s">
        <v>801</v>
      </c>
      <c r="G2" s="8"/>
      <c r="H2" s="83">
        <v>200</v>
      </c>
      <c r="I2" s="83"/>
      <c r="J2" s="83">
        <v>200</v>
      </c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5"/>
    </row>
    <row r="3" spans="1:22" x14ac:dyDescent="0.25">
      <c r="A3">
        <v>2</v>
      </c>
      <c r="B3" t="s">
        <v>802</v>
      </c>
      <c r="C3" t="str">
        <f t="array" ref="C3">_xlfn.IFS(ISNUMBER(SEARCH("M",Poothu_Kovil[[#This Row],[JANUARY]])),"M",ISNUMBER(SEARCH("A",Poothu_Kovil[[#This Row],[JANUARY]])),"A",Poothu_Kovil[[#This Row],[JANUARY]]="","",Poothu_Kovil[[#This Row],[JANUARY]]&gt;=100,"P")</f>
        <v>P</v>
      </c>
      <c r="D3" t="s">
        <v>576</v>
      </c>
      <c r="E3" s="85" t="s">
        <v>803</v>
      </c>
      <c r="F3" s="85" t="s">
        <v>804</v>
      </c>
      <c r="H3" s="83" t="s">
        <v>805</v>
      </c>
      <c r="I3" s="83"/>
      <c r="J3" s="83" t="s">
        <v>806</v>
      </c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5"/>
    </row>
    <row r="4" spans="1:22" x14ac:dyDescent="0.25">
      <c r="A4">
        <v>3</v>
      </c>
      <c r="B4" t="s">
        <v>807</v>
      </c>
      <c r="C4" t="str">
        <f t="array" ref="C4">_xlfn.IFS(ISNUMBER(SEARCH("M",Poothu_Kovil[[#This Row],[JANUARY]])),"M",ISNUMBER(SEARCH("A",Poothu_Kovil[[#This Row],[JANUARY]])),"A",Poothu_Kovil[[#This Row],[JANUARY]]="","",Poothu_Kovil[[#This Row],[JANUARY]]&gt;=100,"P")</f>
        <v>P</v>
      </c>
      <c r="D4" t="s">
        <v>30</v>
      </c>
      <c r="E4" s="85" t="s">
        <v>808</v>
      </c>
      <c r="F4" s="85" t="s">
        <v>809</v>
      </c>
      <c r="H4" s="83" t="s">
        <v>170</v>
      </c>
      <c r="I4" s="83"/>
      <c r="J4" s="83">
        <v>200</v>
      </c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5"/>
    </row>
    <row r="5" spans="1:22" x14ac:dyDescent="0.25">
      <c r="A5">
        <v>4</v>
      </c>
      <c r="B5" t="s">
        <v>799</v>
      </c>
      <c r="C5" t="str">
        <f t="array" ref="C5">_xlfn.IFS(ISNUMBER(SEARCH("M",Poothu_Kovil[[#This Row],[JANUARY]])),"M",ISNUMBER(SEARCH("A",Poothu_Kovil[[#This Row],[JANUARY]])),"A",Poothu_Kovil[[#This Row],[JANUARY]]="","",Poothu_Kovil[[#This Row],[JANUARY]]&gt;=100,"P")</f>
        <v>P</v>
      </c>
      <c r="D5" t="s">
        <v>51</v>
      </c>
      <c r="E5" s="85" t="s">
        <v>810</v>
      </c>
      <c r="F5" t="s">
        <v>811</v>
      </c>
      <c r="G5" s="8"/>
      <c r="H5" s="83">
        <v>200</v>
      </c>
      <c r="I5" s="83"/>
      <c r="J5" s="83">
        <v>200</v>
      </c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5"/>
    </row>
    <row r="6" spans="1:22" x14ac:dyDescent="0.25">
      <c r="A6" s="22">
        <v>5</v>
      </c>
      <c r="B6" s="22" t="s">
        <v>758</v>
      </c>
      <c r="C6" s="22" t="str">
        <f t="array" ref="C6">_xlfn.IFS(ISNUMBER(SEARCH("M",Poothu_Kovil[[#This Row],[JANUARY]])),"M",ISNUMBER(SEARCH("A",Poothu_Kovil[[#This Row],[JANUARY]])),"A",Poothu_Kovil[[#This Row],[JANUARY]]="","",Poothu_Kovil[[#This Row],[JANUARY]]&gt;=100,"P")</f>
        <v/>
      </c>
      <c r="D6" s="22"/>
      <c r="E6" s="22" t="s">
        <v>812</v>
      </c>
      <c r="F6" s="22"/>
      <c r="G6" s="22"/>
      <c r="H6" s="22"/>
      <c r="I6" s="83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85"/>
    </row>
    <row r="7" spans="1:22" x14ac:dyDescent="0.25">
      <c r="A7">
        <v>6</v>
      </c>
      <c r="B7" t="s">
        <v>813</v>
      </c>
      <c r="C7" t="str">
        <f t="array" ref="C7">_xlfn.IFS(ISNUMBER(SEARCH("M",Poothu_Kovil[[#This Row],[JANUARY]])),"M",ISNUMBER(SEARCH("A",Poothu_Kovil[[#This Row],[JANUARY]])),"A",Poothu_Kovil[[#This Row],[JANUARY]]="","",Poothu_Kovil[[#This Row],[JANUARY]]&gt;=100,"P")</f>
        <v>P</v>
      </c>
      <c r="D7" t="s">
        <v>51</v>
      </c>
      <c r="E7" s="85" t="s">
        <v>814</v>
      </c>
      <c r="F7" t="s">
        <v>815</v>
      </c>
      <c r="G7" s="8"/>
      <c r="H7" s="83">
        <v>200</v>
      </c>
      <c r="I7" s="83"/>
      <c r="J7" s="83">
        <v>200</v>
      </c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5"/>
    </row>
    <row r="8" spans="1:22" x14ac:dyDescent="0.25">
      <c r="A8">
        <v>7</v>
      </c>
      <c r="B8" t="s">
        <v>816</v>
      </c>
      <c r="C8" t="str">
        <f t="array" ref="C8">_xlfn.IFS(ISNUMBER(SEARCH("M",Poothu_Kovil[[#This Row],[JANUARY]])),"M",ISNUMBER(SEARCH("A",Poothu_Kovil[[#This Row],[JANUARY]])),"A",Poothu_Kovil[[#This Row],[JANUARY]]="","",Poothu_Kovil[[#This Row],[JANUARY]]&gt;=100,"P")</f>
        <v>P</v>
      </c>
      <c r="D8" t="s">
        <v>51</v>
      </c>
      <c r="E8" s="85" t="s">
        <v>817</v>
      </c>
      <c r="F8" t="s">
        <v>818</v>
      </c>
      <c r="G8" s="8"/>
      <c r="H8" s="83">
        <v>200</v>
      </c>
      <c r="I8" s="83"/>
      <c r="J8" s="83">
        <v>200</v>
      </c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5"/>
    </row>
    <row r="9" spans="1:22" x14ac:dyDescent="0.25">
      <c r="A9">
        <v>8</v>
      </c>
      <c r="B9" t="s">
        <v>819</v>
      </c>
      <c r="C9" t="str">
        <f t="array" ref="C9">_xlfn.IFS(ISNUMBER(SEARCH("M",Poothu_Kovil[[#This Row],[JANUARY]])),"M",ISNUMBER(SEARCH("A",Poothu_Kovil[[#This Row],[JANUARY]])),"A",Poothu_Kovil[[#This Row],[JANUARY]]="","",Poothu_Kovil[[#This Row],[JANUARY]]&gt;=100,"P")</f>
        <v>P</v>
      </c>
      <c r="D9" t="s">
        <v>30</v>
      </c>
      <c r="E9" s="85" t="s">
        <v>820</v>
      </c>
      <c r="F9" t="s">
        <v>821</v>
      </c>
      <c r="G9" s="8"/>
      <c r="H9" s="83">
        <v>200</v>
      </c>
      <c r="I9" s="83"/>
      <c r="J9" s="83">
        <v>200</v>
      </c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5"/>
    </row>
    <row r="10" spans="1:22" x14ac:dyDescent="0.25">
      <c r="A10">
        <v>9</v>
      </c>
      <c r="B10" t="s">
        <v>822</v>
      </c>
      <c r="C10" t="str">
        <f t="array" ref="C10">_xlfn.IFS(ISNUMBER(SEARCH("M",Poothu_Kovil[[#This Row],[JANUARY]])),"M",ISNUMBER(SEARCH("A",Poothu_Kovil[[#This Row],[JANUARY]])),"A",Poothu_Kovil[[#This Row],[JANUARY]]="","",Poothu_Kovil[[#This Row],[JANUARY]]&gt;=100,"P")</f>
        <v>P</v>
      </c>
      <c r="D10" t="s">
        <v>23</v>
      </c>
      <c r="E10" s="85" t="s">
        <v>823</v>
      </c>
      <c r="F10" t="s">
        <v>824</v>
      </c>
      <c r="G10" s="8"/>
      <c r="H10" s="83">
        <v>200</v>
      </c>
      <c r="I10" s="83"/>
      <c r="J10" s="83">
        <v>200</v>
      </c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5"/>
    </row>
    <row r="11" spans="1:22" x14ac:dyDescent="0.25">
      <c r="A11">
        <v>10</v>
      </c>
      <c r="B11" t="s">
        <v>333</v>
      </c>
      <c r="C11" t="str">
        <f t="array" ref="C11">_xlfn.IFS(ISNUMBER(SEARCH("M",Poothu_Kovil[[#This Row],[JANUARY]])),"M",ISNUMBER(SEARCH("A",Poothu_Kovil[[#This Row],[JANUARY]])),"A",Poothu_Kovil[[#This Row],[JANUARY]]="","",Poothu_Kovil[[#This Row],[JANUARY]]&gt;=100,"P")</f>
        <v>P</v>
      </c>
      <c r="D11" t="s">
        <v>30</v>
      </c>
      <c r="E11" s="85" t="s">
        <v>825</v>
      </c>
      <c r="F11" t="s">
        <v>826</v>
      </c>
      <c r="G11" s="8"/>
      <c r="H11" s="83">
        <v>230</v>
      </c>
      <c r="I11" s="83"/>
      <c r="J11" s="83">
        <v>230</v>
      </c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5"/>
    </row>
    <row r="12" spans="1:22" x14ac:dyDescent="0.25">
      <c r="A12">
        <v>11</v>
      </c>
      <c r="B12" t="s">
        <v>827</v>
      </c>
      <c r="C12" t="str">
        <f t="array" ref="C12">_xlfn.IFS(ISNUMBER(SEARCH("M",Poothu_Kovil[[#This Row],[JANUARY]])),"M",ISNUMBER(SEARCH("A",Poothu_Kovil[[#This Row],[JANUARY]])),"A",Poothu_Kovil[[#This Row],[JANUARY]]="","",Poothu_Kovil[[#This Row],[JANUARY]]&gt;=100,"P")</f>
        <v>P</v>
      </c>
      <c r="D12" t="s">
        <v>30</v>
      </c>
      <c r="E12" s="85" t="s">
        <v>828</v>
      </c>
      <c r="F12" t="s">
        <v>829</v>
      </c>
      <c r="G12" s="8"/>
      <c r="H12" s="83">
        <v>330</v>
      </c>
      <c r="I12" s="83"/>
      <c r="J12" s="83">
        <v>230</v>
      </c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5"/>
    </row>
    <row r="13" spans="1:22" x14ac:dyDescent="0.25">
      <c r="A13">
        <v>12</v>
      </c>
      <c r="B13" t="s">
        <v>830</v>
      </c>
      <c r="C13" t="str">
        <f t="array" ref="C13">_xlfn.IFS(ISNUMBER(SEARCH("M",Poothu_Kovil[[#This Row],[JANUARY]])),"M",ISNUMBER(SEARCH("A",Poothu_Kovil[[#This Row],[JANUARY]])),"A",Poothu_Kovil[[#This Row],[JANUARY]]="","",Poothu_Kovil[[#This Row],[JANUARY]]&gt;=100,"P")</f>
        <v>P</v>
      </c>
      <c r="D13" t="s">
        <v>36</v>
      </c>
      <c r="E13" s="85" t="s">
        <v>831</v>
      </c>
      <c r="F13" t="s">
        <v>832</v>
      </c>
      <c r="G13" s="8"/>
      <c r="H13" s="83">
        <v>200</v>
      </c>
      <c r="I13" s="83"/>
      <c r="J13" s="83">
        <v>200</v>
      </c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5"/>
    </row>
    <row r="14" spans="1:22" x14ac:dyDescent="0.25">
      <c r="A14">
        <v>13</v>
      </c>
      <c r="B14" t="s">
        <v>833</v>
      </c>
      <c r="C14" t="str">
        <f t="array" ref="C14">_xlfn.IFS(ISNUMBER(SEARCH("M",Poothu_Kovil[[#This Row],[JANUARY]])),"M",ISNUMBER(SEARCH("A",Poothu_Kovil[[#This Row],[JANUARY]])),"A",Poothu_Kovil[[#This Row],[JANUARY]]="","",Poothu_Kovil[[#This Row],[JANUARY]]&gt;=100,"P")</f>
        <v>P</v>
      </c>
      <c r="D14" t="s">
        <v>36</v>
      </c>
      <c r="E14" s="85" t="s">
        <v>834</v>
      </c>
      <c r="F14" t="s">
        <v>835</v>
      </c>
      <c r="G14" s="8"/>
      <c r="H14" s="83">
        <v>220</v>
      </c>
      <c r="I14" s="83"/>
      <c r="J14" s="83">
        <v>220</v>
      </c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5"/>
    </row>
    <row r="15" spans="1:22" x14ac:dyDescent="0.25">
      <c r="A15">
        <v>14</v>
      </c>
      <c r="B15" t="s">
        <v>307</v>
      </c>
      <c r="C15" t="str">
        <f t="array" ref="C15">_xlfn.IFS(ISNUMBER(SEARCH("M",Poothu_Kovil[[#This Row],[JANUARY]])),"M",ISNUMBER(SEARCH("A",Poothu_Kovil[[#This Row],[JANUARY]])),"A",Poothu_Kovil[[#This Row],[JANUARY]]="","",Poothu_Kovil[[#This Row],[JANUARY]]&gt;=100,"P")</f>
        <v>P</v>
      </c>
      <c r="D15" t="s">
        <v>36</v>
      </c>
      <c r="E15" s="85" t="s">
        <v>836</v>
      </c>
      <c r="F15" t="s">
        <v>837</v>
      </c>
      <c r="G15" s="8"/>
      <c r="H15" s="83">
        <v>200</v>
      </c>
      <c r="I15" s="83"/>
      <c r="J15" s="83">
        <v>200</v>
      </c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5"/>
    </row>
    <row r="16" spans="1:22" x14ac:dyDescent="0.25">
      <c r="A16">
        <v>15</v>
      </c>
      <c r="B16" t="s">
        <v>838</v>
      </c>
      <c r="C16" t="str">
        <f t="array" ref="C16">_xlfn.IFS(ISNUMBER(SEARCH("M",Poothu_Kovil[[#This Row],[JANUARY]])),"M",ISNUMBER(SEARCH("A",Poothu_Kovil[[#This Row],[JANUARY]])),"A",Poothu_Kovil[[#This Row],[JANUARY]]="","",Poothu_Kovil[[#This Row],[JANUARY]]&gt;=100,"P")</f>
        <v>P</v>
      </c>
      <c r="D16" t="s">
        <v>23</v>
      </c>
      <c r="E16" s="85" t="s">
        <v>839</v>
      </c>
      <c r="F16" s="85" t="s">
        <v>840</v>
      </c>
      <c r="H16" s="83" t="s">
        <v>841</v>
      </c>
      <c r="I16" s="83"/>
      <c r="J16" s="83">
        <v>200</v>
      </c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5"/>
    </row>
    <row r="17" spans="1:22" x14ac:dyDescent="0.25">
      <c r="A17" t="s">
        <v>246</v>
      </c>
      <c r="C17">
        <f>COUNTIF(C2:C16, "&gt;=a")</f>
        <v>14</v>
      </c>
      <c r="D17">
        <f>SUBTOTAL(103,Poothu_Kovil[Package])</f>
        <v>14</v>
      </c>
      <c r="E17">
        <f>SUBTOTAL(103,Poothu_Kovil[Box No])</f>
        <v>15</v>
      </c>
      <c r="F17">
        <f>SUBTOTAL(103,Poothu_Kovil[CAF_ID])</f>
        <v>14</v>
      </c>
      <c r="G17" s="8"/>
      <c r="H17" s="84">
        <f>SUBTOTAL(109,Poothu_Kovil[Dec-20])</f>
        <v>2380</v>
      </c>
      <c r="I17" s="84">
        <f>SUBTOTAL(109,Poothu_Kovil[BALANCE])</f>
        <v>0</v>
      </c>
      <c r="J17" s="84">
        <f>SUBTOTAL(109,Poothu_Kovil[JANUARY])</f>
        <v>2680</v>
      </c>
      <c r="K17" s="84">
        <f>SUBTOTAL(109,Poothu_Kovil[FEBEUARY])</f>
        <v>0</v>
      </c>
      <c r="L17" s="84">
        <f>SUBTOTAL(109,Poothu_Kovil[MARCH])</f>
        <v>0</v>
      </c>
      <c r="M17" s="84">
        <f>SUBTOTAL(109,Poothu_Kovil[APRIL])</f>
        <v>0</v>
      </c>
      <c r="N17" s="84">
        <f>SUBTOTAL(109,Poothu_Kovil[MAY])</f>
        <v>0</v>
      </c>
      <c r="O17" s="84">
        <f>SUBTOTAL(109,Poothu_Kovil[JUNE])</f>
        <v>0</v>
      </c>
      <c r="P17" s="84">
        <f>SUBTOTAL(109,Poothu_Kovil[JULY])</f>
        <v>0</v>
      </c>
      <c r="Q17" s="84">
        <f>SUBTOTAL(109,Poothu_Kovil[AUGUST])</f>
        <v>0</v>
      </c>
      <c r="R17" s="84">
        <f>SUBTOTAL(109,Poothu_Kovil[SEPTEMBER])</f>
        <v>0</v>
      </c>
      <c r="S17" s="84">
        <f>SUBTOTAL(109,Poothu_Kovil[OCTOBER])</f>
        <v>0</v>
      </c>
      <c r="T17" s="84">
        <f>SUBTOTAL(109,Poothu_Kovil[NOVEMBER])</f>
        <v>0</v>
      </c>
      <c r="U17" s="84"/>
      <c r="V17" s="85"/>
    </row>
    <row r="19" spans="1:22" x14ac:dyDescent="0.25">
      <c r="B19" s="9" t="s">
        <v>247</v>
      </c>
      <c r="C19" s="19">
        <f>COUNTIF(C2:C16,"P")</f>
        <v>14</v>
      </c>
    </row>
    <row r="20" spans="1:22" x14ac:dyDescent="0.25">
      <c r="B20" s="18" t="s">
        <v>248</v>
      </c>
      <c r="C20" s="20">
        <f>COUNTIF(C2:C16,"M")</f>
        <v>0</v>
      </c>
    </row>
    <row r="21" spans="1:22" ht="15.75" customHeight="1" x14ac:dyDescent="0.25">
      <c r="B21" s="10" t="s">
        <v>249</v>
      </c>
      <c r="C21" s="21">
        <f>COUNTIF(C2:C16,"A")</f>
        <v>0</v>
      </c>
    </row>
    <row r="22" spans="1:22" ht="15.75" customHeight="1" thickBot="1" x14ac:dyDescent="0.3">
      <c r="B22" s="17" t="s">
        <v>250</v>
      </c>
      <c r="C22" s="17">
        <f>SUM(C19:C21)</f>
        <v>14</v>
      </c>
    </row>
    <row r="23" spans="1:22" ht="15.75" customHeight="1" thickTop="1" x14ac:dyDescent="0.25"/>
  </sheetData>
  <phoneticPr fontId="35" type="noConversion"/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>
    <tabColor rgb="FF92D050"/>
  </sheetPr>
  <dimension ref="A1:V48"/>
  <sheetViews>
    <sheetView zoomScale="115" zoomScaleNormal="115" workbookViewId="0">
      <selection activeCell="E24" sqref="E24"/>
    </sheetView>
  </sheetViews>
  <sheetFormatPr defaultRowHeight="15" x14ac:dyDescent="0.25"/>
  <cols>
    <col min="1" max="1" width="5.42578125" style="87" customWidth="1"/>
    <col min="2" max="2" width="22.28515625" style="87" customWidth="1"/>
    <col min="3" max="3" width="7" style="87" customWidth="1"/>
    <col min="4" max="4" width="30.28515625" style="87" customWidth="1"/>
    <col min="5" max="5" width="23" style="87" customWidth="1"/>
    <col min="6" max="6" width="9.140625" style="85" customWidth="1"/>
    <col min="7" max="7" width="11.140625" style="26" customWidth="1"/>
    <col min="8" max="8" width="11.42578125" style="86" customWidth="1"/>
    <col min="9" max="18" width="11.7109375" style="86" customWidth="1"/>
    <col min="19" max="20" width="11.7109375" style="61" customWidth="1"/>
    <col min="21" max="21" width="11.5703125" style="87" customWidth="1"/>
    <col min="22" max="22" width="37.85546875" style="87" customWidth="1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5" t="s">
        <v>8</v>
      </c>
      <c r="I1" s="86" t="s">
        <v>9</v>
      </c>
      <c r="J1" s="86" t="s">
        <v>10</v>
      </c>
      <c r="K1" s="86" t="s">
        <v>11</v>
      </c>
      <c r="L1" s="86" t="s">
        <v>12</v>
      </c>
      <c r="M1" s="86" t="s">
        <v>13</v>
      </c>
      <c r="N1" s="86" t="s">
        <v>14</v>
      </c>
      <c r="O1" s="86" t="s">
        <v>15</v>
      </c>
      <c r="P1" s="86" t="s">
        <v>16</v>
      </c>
      <c r="Q1" s="86" t="s">
        <v>17</v>
      </c>
      <c r="R1" s="86" t="s">
        <v>18</v>
      </c>
      <c r="S1" s="86" t="s">
        <v>19</v>
      </c>
      <c r="T1" s="86" t="s">
        <v>20</v>
      </c>
      <c r="U1" s="26" t="s">
        <v>7</v>
      </c>
      <c r="V1" s="85" t="s">
        <v>21</v>
      </c>
    </row>
    <row r="2" spans="1:22" x14ac:dyDescent="0.25">
      <c r="A2">
        <v>1</v>
      </c>
      <c r="B2" t="s">
        <v>842</v>
      </c>
      <c r="C2" t="str">
        <f t="array" ref="C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2" t="s">
        <v>30</v>
      </c>
      <c r="E2" s="85" t="s">
        <v>843</v>
      </c>
      <c r="F2" s="85" t="s">
        <v>844</v>
      </c>
      <c r="G2" s="92"/>
      <c r="H2" s="86">
        <v>200</v>
      </c>
      <c r="I2" s="86">
        <v>200</v>
      </c>
      <c r="S2" s="86"/>
      <c r="T2" s="86"/>
      <c r="U2" s="26"/>
      <c r="V2" s="26"/>
    </row>
    <row r="3" spans="1:22" x14ac:dyDescent="0.25">
      <c r="A3">
        <v>2</v>
      </c>
      <c r="B3" t="s">
        <v>845</v>
      </c>
      <c r="C3" t="str">
        <f t="array" ref="C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3" t="s">
        <v>23</v>
      </c>
      <c r="E3" s="85" t="s">
        <v>846</v>
      </c>
      <c r="F3" s="85" t="s">
        <v>847</v>
      </c>
      <c r="G3" s="92"/>
      <c r="H3" s="83">
        <v>200</v>
      </c>
      <c r="I3" s="86">
        <v>200</v>
      </c>
      <c r="S3" s="86"/>
      <c r="T3" s="86"/>
      <c r="U3" s="26"/>
      <c r="V3" s="26"/>
    </row>
    <row r="4" spans="1:22" x14ac:dyDescent="0.25">
      <c r="A4">
        <v>3</v>
      </c>
      <c r="B4" t="s">
        <v>201</v>
      </c>
      <c r="C4" t="str">
        <f t="array" ref="C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4" t="s">
        <v>36</v>
      </c>
      <c r="E4" s="85" t="s">
        <v>848</v>
      </c>
      <c r="F4" s="85" t="s">
        <v>849</v>
      </c>
      <c r="G4" s="92"/>
      <c r="H4" s="86">
        <v>200</v>
      </c>
      <c r="I4" s="86">
        <v>200</v>
      </c>
      <c r="S4" s="86"/>
      <c r="T4" s="86"/>
      <c r="U4" s="26"/>
      <c r="V4" s="26"/>
    </row>
    <row r="5" spans="1:22" x14ac:dyDescent="0.25">
      <c r="A5">
        <v>4</v>
      </c>
      <c r="B5" t="s">
        <v>653</v>
      </c>
      <c r="C5" t="str">
        <f t="array" ref="C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5" t="s">
        <v>23</v>
      </c>
      <c r="E5" s="85" t="s">
        <v>850</v>
      </c>
      <c r="F5" s="85" t="s">
        <v>851</v>
      </c>
      <c r="G5" s="92"/>
      <c r="H5" s="86">
        <v>400</v>
      </c>
      <c r="I5" s="86">
        <v>200</v>
      </c>
      <c r="S5" s="86"/>
      <c r="T5" s="86"/>
      <c r="U5" s="26"/>
      <c r="V5" s="26"/>
    </row>
    <row r="6" spans="1:22" x14ac:dyDescent="0.25">
      <c r="A6">
        <v>5</v>
      </c>
      <c r="B6" t="s">
        <v>852</v>
      </c>
      <c r="C6" t="str">
        <f t="array" ref="C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6" t="s">
        <v>30</v>
      </c>
      <c r="E6" s="85" t="s">
        <v>853</v>
      </c>
      <c r="F6" s="85" t="s">
        <v>854</v>
      </c>
      <c r="G6" s="92"/>
      <c r="H6" s="86">
        <v>200</v>
      </c>
      <c r="I6" s="86">
        <v>200</v>
      </c>
      <c r="S6" s="86"/>
      <c r="T6" s="86"/>
      <c r="U6" s="26"/>
      <c r="V6" s="26"/>
    </row>
    <row r="7" spans="1:22" x14ac:dyDescent="0.25">
      <c r="A7">
        <v>6</v>
      </c>
      <c r="B7" t="s">
        <v>307</v>
      </c>
      <c r="C7" t="str">
        <f t="array" ref="C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7" t="s">
        <v>30</v>
      </c>
      <c r="E7" s="85" t="s">
        <v>855</v>
      </c>
      <c r="F7" s="85" t="s">
        <v>856</v>
      </c>
      <c r="G7" s="92"/>
      <c r="H7" s="86">
        <v>230</v>
      </c>
      <c r="I7" s="86">
        <v>230</v>
      </c>
      <c r="S7" s="86"/>
      <c r="T7" s="86"/>
      <c r="U7" s="26"/>
      <c r="V7" s="26"/>
    </row>
    <row r="8" spans="1:22" x14ac:dyDescent="0.25">
      <c r="A8">
        <v>7</v>
      </c>
      <c r="B8" t="s">
        <v>857</v>
      </c>
      <c r="C8" t="str">
        <f t="array" ref="C8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8" t="s">
        <v>30</v>
      </c>
      <c r="E8" s="85" t="s">
        <v>858</v>
      </c>
      <c r="F8" s="85" t="s">
        <v>859</v>
      </c>
      <c r="G8" s="92"/>
      <c r="H8" s="86">
        <v>230</v>
      </c>
      <c r="I8" s="86">
        <v>230</v>
      </c>
      <c r="S8" s="86"/>
      <c r="T8" s="86"/>
      <c r="U8" s="26"/>
      <c r="V8" s="26"/>
    </row>
    <row r="9" spans="1:22" x14ac:dyDescent="0.25">
      <c r="A9">
        <v>8</v>
      </c>
      <c r="B9" t="s">
        <v>369</v>
      </c>
      <c r="C9" t="str">
        <f t="array" ref="C9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9" t="s">
        <v>30</v>
      </c>
      <c r="E9" s="85" t="s">
        <v>860</v>
      </c>
      <c r="F9" s="85" t="s">
        <v>861</v>
      </c>
      <c r="G9" s="92"/>
      <c r="H9" s="86">
        <v>200</v>
      </c>
      <c r="I9" s="86">
        <v>200</v>
      </c>
      <c r="S9" s="86"/>
      <c r="T9" s="86"/>
      <c r="U9" s="26"/>
      <c r="V9" s="26"/>
    </row>
    <row r="10" spans="1:22" s="91" customFormat="1" x14ac:dyDescent="0.25">
      <c r="A10" s="91">
        <v>9</v>
      </c>
      <c r="B10" s="91" t="s">
        <v>862</v>
      </c>
      <c r="C10" s="91" t="str">
        <f t="array" ref="C10">_xlfn.IFS(ISNUMBER(SEARCH("M",Mannikam_Muthaliyar1[[#This Row],[JANUARY]])),"M",ISNUMBER(SEARCH("A",Mannikam_Muthaliyar1[[#This Row],[JANUARY]])),"A",Mannikam_Muthaliyar1[[#This Row],[JANUARY]]="","",Mannikam_Muthaliyar1[[#This Row],[JANUARY]]&gt;=100,"P")</f>
        <v/>
      </c>
      <c r="E10" s="91" t="s">
        <v>863</v>
      </c>
      <c r="F10" s="91" t="s">
        <v>864</v>
      </c>
      <c r="H10" s="91" t="s">
        <v>865</v>
      </c>
      <c r="V10" s="91" t="s">
        <v>866</v>
      </c>
    </row>
    <row r="11" spans="1:22" x14ac:dyDescent="0.25">
      <c r="A11">
        <v>10</v>
      </c>
      <c r="B11" t="s">
        <v>867</v>
      </c>
      <c r="C11" t="str">
        <f t="array" ref="C11">_xlfn.IFS(ISNUMBER(SEARCH("M",Mannikam_Muthaliyar1[[#This Row],[JANUARY]])),"M",ISNUMBER(SEARCH("A",Mannikam_Muthaliyar1[[#This Row],[JANUARY]])),"A",Mannikam_Muthaliyar1[[#This Row],[JANUARY]]="","",Mannikam_Muthaliyar1[[#This Row],[JANUARY]]&gt;=100,"P")</f>
        <v>A</v>
      </c>
      <c r="D11" t="s">
        <v>36</v>
      </c>
      <c r="E11" s="85" t="s">
        <v>868</v>
      </c>
      <c r="F11" s="85" t="s">
        <v>869</v>
      </c>
      <c r="G11" s="92"/>
      <c r="H11" s="86" t="s">
        <v>45</v>
      </c>
      <c r="I11" s="86" t="s">
        <v>45</v>
      </c>
      <c r="S11" s="86"/>
      <c r="T11" s="86"/>
      <c r="U11" s="26"/>
      <c r="V11" s="26"/>
    </row>
    <row r="12" spans="1:22" x14ac:dyDescent="0.25">
      <c r="A12">
        <v>11</v>
      </c>
      <c r="B12" t="s">
        <v>745</v>
      </c>
      <c r="C12" t="str">
        <f t="array" ref="C12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2" t="s">
        <v>30</v>
      </c>
      <c r="E12" s="85" t="s">
        <v>870</v>
      </c>
      <c r="F12" s="85" t="s">
        <v>871</v>
      </c>
      <c r="G12" s="92"/>
      <c r="H12" s="86">
        <v>220</v>
      </c>
      <c r="I12" s="86">
        <v>220</v>
      </c>
      <c r="S12" s="86"/>
      <c r="T12" s="86"/>
      <c r="U12" s="26"/>
      <c r="V12" s="26"/>
    </row>
    <row r="13" spans="1:22" x14ac:dyDescent="0.25">
      <c r="A13">
        <v>12</v>
      </c>
      <c r="B13" t="s">
        <v>872</v>
      </c>
      <c r="C13" t="str">
        <f t="array" ref="C13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3" t="s">
        <v>30</v>
      </c>
      <c r="E13" s="85" t="s">
        <v>873</v>
      </c>
      <c r="F13" s="85" t="s">
        <v>874</v>
      </c>
      <c r="G13" s="92"/>
      <c r="H13" s="86">
        <v>220</v>
      </c>
      <c r="I13" s="86">
        <v>220</v>
      </c>
      <c r="S13" s="86"/>
      <c r="T13" s="86"/>
      <c r="U13" s="26"/>
      <c r="V13" s="26"/>
    </row>
    <row r="14" spans="1:22" x14ac:dyDescent="0.25">
      <c r="A14">
        <v>13</v>
      </c>
      <c r="B14" t="s">
        <v>875</v>
      </c>
      <c r="C14" t="str">
        <f t="array" ref="C14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4" t="s">
        <v>36</v>
      </c>
      <c r="E14" s="85" t="s">
        <v>876</v>
      </c>
      <c r="F14" s="85" t="s">
        <v>877</v>
      </c>
      <c r="G14" s="92"/>
      <c r="H14" s="86">
        <v>230</v>
      </c>
      <c r="I14" s="86">
        <v>230</v>
      </c>
      <c r="S14" s="86"/>
      <c r="T14" s="86"/>
      <c r="U14" s="26"/>
      <c r="V14" s="26"/>
    </row>
    <row r="15" spans="1:22" x14ac:dyDescent="0.25">
      <c r="A15">
        <v>14</v>
      </c>
      <c r="B15" t="s">
        <v>878</v>
      </c>
      <c r="C15" t="str">
        <f t="array" ref="C15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5" t="s">
        <v>23</v>
      </c>
      <c r="E15" s="85" t="s">
        <v>879</v>
      </c>
      <c r="F15" s="85" t="s">
        <v>880</v>
      </c>
      <c r="G15" s="92"/>
      <c r="H15" s="86">
        <v>200</v>
      </c>
      <c r="I15" s="86">
        <v>200</v>
      </c>
      <c r="S15" s="86"/>
      <c r="T15" s="86"/>
      <c r="U15" s="26"/>
      <c r="V15" s="26"/>
    </row>
    <row r="16" spans="1:22" x14ac:dyDescent="0.25">
      <c r="A16">
        <v>15</v>
      </c>
      <c r="B16" t="s">
        <v>881</v>
      </c>
      <c r="C16" t="str">
        <f t="array" ref="C16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6" t="s">
        <v>30</v>
      </c>
      <c r="E16" s="85" t="s">
        <v>882</v>
      </c>
      <c r="F16" s="85" t="s">
        <v>883</v>
      </c>
      <c r="G16" s="92"/>
      <c r="H16" s="86">
        <v>220</v>
      </c>
      <c r="I16" s="86">
        <v>220</v>
      </c>
      <c r="S16" s="86"/>
      <c r="T16" s="86"/>
      <c r="U16" s="26"/>
      <c r="V16" s="26"/>
    </row>
    <row r="17" spans="1:22" x14ac:dyDescent="0.25">
      <c r="A17">
        <v>16</v>
      </c>
      <c r="B17" t="s">
        <v>884</v>
      </c>
      <c r="C17" t="str">
        <f t="array" ref="C17">_xlfn.IFS(ISNUMBER(SEARCH("M",Mannikam_Muthaliyar1[[#This Row],[JANUARY]])),"M",ISNUMBER(SEARCH("A",Mannikam_Muthaliyar1[[#This Row],[JANUARY]])),"A",Mannikam_Muthaliyar1[[#This Row],[JANUARY]]="","",Mannikam_Muthaliyar1[[#This Row],[JANUARY]]&gt;=100,"P")</f>
        <v>P</v>
      </c>
      <c r="D17" t="s">
        <v>30</v>
      </c>
      <c r="E17" s="85" t="s">
        <v>885</v>
      </c>
      <c r="F17" s="85" t="s">
        <v>886</v>
      </c>
      <c r="G17" s="92"/>
      <c r="H17" s="86" t="s">
        <v>785</v>
      </c>
      <c r="I17" s="86">
        <v>250</v>
      </c>
      <c r="S17" s="86"/>
      <c r="T17" s="86"/>
      <c r="U17" s="26"/>
      <c r="V17" s="26"/>
    </row>
    <row r="18" spans="1:22" x14ac:dyDescent="0.25">
      <c r="A18" t="s">
        <v>246</v>
      </c>
      <c r="C18">
        <f>COUNTIF(C2:C17, "&gt;=a")</f>
        <v>15</v>
      </c>
      <c r="D18">
        <f>SUBTOTAL(103,Mannikam_Muthaliyar1[Package])</f>
        <v>15</v>
      </c>
      <c r="E18">
        <f>SUBTOTAL(103,Mannikam_Muthaliyar1[Box No])</f>
        <v>16</v>
      </c>
      <c r="F18" s="85">
        <f>SUBTOTAL(103,Mannikam_Muthaliyar1[CAF_ID])</f>
        <v>16</v>
      </c>
      <c r="G18" s="85"/>
      <c r="H18" s="86">
        <f>SUBTOTAL(109,Mannikam_Muthaliyar1[Dec-20])</f>
        <v>2950</v>
      </c>
      <c r="I18" s="86">
        <f>SUBTOTAL(109,Mannikam_Muthaliyar1[JANUARY])</f>
        <v>3000</v>
      </c>
      <c r="J18" s="86">
        <f>SUBTOTAL(109,Mannikam_Muthaliyar1[FEBEUARY])</f>
        <v>0</v>
      </c>
      <c r="K18" s="86">
        <f>SUBTOTAL(109,Mannikam_Muthaliyar1[MARCH])</f>
        <v>0</v>
      </c>
      <c r="L18" s="86">
        <f>SUBTOTAL(109,Mannikam_Muthaliyar1[APRIL])</f>
        <v>0</v>
      </c>
      <c r="M18" s="86">
        <f>SUBTOTAL(109,Mannikam_Muthaliyar1[MAY])</f>
        <v>0</v>
      </c>
      <c r="N18" s="86">
        <f>SUBTOTAL(109,Mannikam_Muthaliyar1[JUNE])</f>
        <v>0</v>
      </c>
      <c r="O18" s="86">
        <f>SUBTOTAL(109,Mannikam_Muthaliyar1[JULY])</f>
        <v>0</v>
      </c>
      <c r="P18" s="86">
        <f>SUBTOTAL(109,Mannikam_Muthaliyar1[AUGUST])</f>
        <v>0</v>
      </c>
      <c r="Q18" s="86">
        <f>SUBTOTAL(109,Mannikam_Muthaliyar1[SEPTEMBER])</f>
        <v>0</v>
      </c>
      <c r="R18" s="86">
        <f>SUBTOTAL(109,Mannikam_Muthaliyar1[OCTOBER])</f>
        <v>0</v>
      </c>
      <c r="S18" s="86">
        <f>SUBTOTAL(109,Mannikam_Muthaliyar1[NOVEMBER])</f>
        <v>0</v>
      </c>
      <c r="T18" s="86"/>
      <c r="U18" s="26">
        <f>SUBTOTAL(109,Mannikam_Muthaliyar1[BALANCE])</f>
        <v>0</v>
      </c>
      <c r="V18" s="26"/>
    </row>
    <row r="19" spans="1:22" x14ac:dyDescent="0.25">
      <c r="E19" s="85"/>
    </row>
    <row r="20" spans="1:22" x14ac:dyDescent="0.25">
      <c r="B20" s="9" t="s">
        <v>247</v>
      </c>
      <c r="C20" s="19">
        <f>COUNTIF(C2:C17,"P")</f>
        <v>14</v>
      </c>
    </row>
    <row r="21" spans="1:22" x14ac:dyDescent="0.25">
      <c r="B21" s="18" t="s">
        <v>248</v>
      </c>
      <c r="C21" s="20">
        <f>COUNTIF(C2:C17,"M")</f>
        <v>0</v>
      </c>
    </row>
    <row r="22" spans="1:22" x14ac:dyDescent="0.25">
      <c r="B22" s="10" t="s">
        <v>249</v>
      </c>
      <c r="C22" s="21">
        <f>COUNTIF(C2:C17,"A")</f>
        <v>1</v>
      </c>
    </row>
    <row r="23" spans="1:22" ht="15.75" customHeight="1" thickBot="1" x14ac:dyDescent="0.3">
      <c r="B23" s="17" t="s">
        <v>250</v>
      </c>
      <c r="C23" s="17">
        <f>SUM(C20:C22)</f>
        <v>15</v>
      </c>
    </row>
    <row r="24" spans="1:22" ht="15.75" customHeight="1" thickTop="1" x14ac:dyDescent="0.25"/>
    <row r="25" spans="1:22" ht="15.75" customHeight="1" x14ac:dyDescent="0.25"/>
    <row r="26" spans="1:22" ht="15.75" customHeight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conditionalFormatting sqref="B2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6">
    <tabColor rgb="FF92D050"/>
  </sheetPr>
  <dimension ref="A1:V48"/>
  <sheetViews>
    <sheetView tabSelected="1" zoomScale="115" zoomScaleNormal="115" workbookViewId="0">
      <selection activeCell="G9" sqref="G9"/>
    </sheetView>
  </sheetViews>
  <sheetFormatPr defaultRowHeight="15" x14ac:dyDescent="0.25"/>
  <cols>
    <col min="1" max="1" width="4.85546875" style="87" customWidth="1"/>
    <col min="2" max="2" width="19.85546875" style="87" customWidth="1"/>
    <col min="3" max="3" width="6.5703125" style="87" customWidth="1"/>
    <col min="4" max="4" width="30.28515625" style="87" customWidth="1"/>
    <col min="5" max="5" width="25.5703125" style="87" customWidth="1"/>
    <col min="6" max="6" width="9.140625" style="87" customWidth="1"/>
    <col min="7" max="7" width="10.28515625" style="26" customWidth="1"/>
    <col min="8" max="18" width="10.7109375" style="26" customWidth="1"/>
    <col min="19" max="21" width="10.7109375" style="87" customWidth="1"/>
    <col min="22" max="22" width="32.5703125" style="87" customWidth="1"/>
    <col min="23" max="57" width="9.140625" style="87" customWidth="1"/>
    <col min="58" max="16384" width="9.140625" style="87"/>
  </cols>
  <sheetData>
    <row r="1" spans="1:22" s="40" customFormat="1" x14ac:dyDescent="0.25">
      <c r="A1" s="40" t="s">
        <v>0</v>
      </c>
      <c r="B1" s="40" t="s">
        <v>1</v>
      </c>
      <c r="C1" s="40" t="s">
        <v>2</v>
      </c>
      <c r="D1" s="52" t="s">
        <v>3</v>
      </c>
      <c r="E1" s="51" t="s">
        <v>4</v>
      </c>
      <c r="F1" s="51" t="s">
        <v>5</v>
      </c>
      <c r="G1" s="51" t="s">
        <v>6</v>
      </c>
      <c r="H1" s="54" t="s">
        <v>8</v>
      </c>
      <c r="I1" s="53" t="s">
        <v>7</v>
      </c>
      <c r="J1" s="53" t="s">
        <v>9</v>
      </c>
      <c r="K1" s="53" t="s">
        <v>10</v>
      </c>
      <c r="L1" s="53" t="s">
        <v>11</v>
      </c>
      <c r="M1" s="53" t="s">
        <v>12</v>
      </c>
      <c r="N1" s="53" t="s">
        <v>13</v>
      </c>
      <c r="O1" s="53" t="s">
        <v>14</v>
      </c>
      <c r="P1" s="53" t="s">
        <v>15</v>
      </c>
      <c r="Q1" s="53" t="s">
        <v>16</v>
      </c>
      <c r="R1" s="53" t="s">
        <v>17</v>
      </c>
      <c r="S1" s="53" t="s">
        <v>18</v>
      </c>
      <c r="T1" s="53" t="s">
        <v>19</v>
      </c>
      <c r="U1" s="53" t="s">
        <v>20</v>
      </c>
      <c r="V1" s="51" t="s">
        <v>21</v>
      </c>
    </row>
    <row r="2" spans="1:22" x14ac:dyDescent="0.25">
      <c r="A2">
        <v>1</v>
      </c>
      <c r="B2" t="s">
        <v>887</v>
      </c>
      <c r="C2" t="str">
        <f t="array" ref="C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2" t="s">
        <v>51</v>
      </c>
      <c r="E2" s="85" t="s">
        <v>888</v>
      </c>
      <c r="F2" t="s">
        <v>889</v>
      </c>
      <c r="H2" s="86">
        <v>200</v>
      </c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26"/>
    </row>
    <row r="3" spans="1:22" x14ac:dyDescent="0.25">
      <c r="A3">
        <v>2</v>
      </c>
      <c r="B3" t="s">
        <v>890</v>
      </c>
      <c r="C3" t="str">
        <f t="array" ref="C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3" t="s">
        <v>30</v>
      </c>
      <c r="E3" s="85" t="s">
        <v>891</v>
      </c>
      <c r="F3" s="85" t="s">
        <v>892</v>
      </c>
      <c r="G3" s="85"/>
      <c r="H3" s="86">
        <v>250</v>
      </c>
      <c r="J3" s="86">
        <v>250</v>
      </c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26"/>
    </row>
    <row r="4" spans="1:22" x14ac:dyDescent="0.25">
      <c r="A4">
        <v>3</v>
      </c>
      <c r="B4" t="s">
        <v>893</v>
      </c>
      <c r="C4" t="str">
        <f t="array" ref="C4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4" t="s">
        <v>30</v>
      </c>
      <c r="E4" s="85" t="s">
        <v>894</v>
      </c>
      <c r="F4" t="s">
        <v>895</v>
      </c>
      <c r="H4" s="86" t="s">
        <v>45</v>
      </c>
      <c r="J4" s="86" t="s">
        <v>45</v>
      </c>
      <c r="K4" s="86"/>
      <c r="L4" s="86"/>
      <c r="M4" s="86"/>
      <c r="N4" s="86"/>
      <c r="O4" s="86"/>
      <c r="P4" s="86"/>
      <c r="Q4" s="86"/>
      <c r="R4" s="86"/>
      <c r="S4" s="86"/>
      <c r="T4" s="86"/>
      <c r="U4" s="86"/>
      <c r="V4" s="26" t="s">
        <v>896</v>
      </c>
    </row>
    <row r="5" spans="1:22" x14ac:dyDescent="0.25">
      <c r="A5">
        <v>4</v>
      </c>
      <c r="B5" t="s">
        <v>897</v>
      </c>
      <c r="C5" t="str">
        <f t="array" ref="C5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5" t="s">
        <v>23</v>
      </c>
      <c r="E5" s="85" t="s">
        <v>898</v>
      </c>
      <c r="F5" t="s">
        <v>899</v>
      </c>
      <c r="H5" s="55">
        <v>200</v>
      </c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26"/>
    </row>
    <row r="6" spans="1:22" x14ac:dyDescent="0.25">
      <c r="A6">
        <v>5</v>
      </c>
      <c r="B6" t="s">
        <v>900</v>
      </c>
      <c r="C6" t="str">
        <f t="array" ref="C6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6" t="s">
        <v>30</v>
      </c>
      <c r="E6" s="85" t="s">
        <v>901</v>
      </c>
      <c r="F6" t="s">
        <v>902</v>
      </c>
      <c r="H6" s="86">
        <v>230</v>
      </c>
      <c r="J6" s="86">
        <v>230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26"/>
    </row>
    <row r="7" spans="1:22" x14ac:dyDescent="0.25">
      <c r="A7">
        <v>6</v>
      </c>
      <c r="B7" t="s">
        <v>903</v>
      </c>
      <c r="C7" t="str">
        <f t="array" ref="C7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7" t="s">
        <v>30</v>
      </c>
      <c r="E7" s="85" t="s">
        <v>904</v>
      </c>
      <c r="F7" t="s">
        <v>905</v>
      </c>
      <c r="H7" s="86">
        <v>200</v>
      </c>
      <c r="J7" s="86">
        <v>200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26"/>
    </row>
    <row r="8" spans="1:22" x14ac:dyDescent="0.25">
      <c r="A8">
        <v>7</v>
      </c>
      <c r="B8" t="s">
        <v>665</v>
      </c>
      <c r="C8" t="str">
        <f t="array" ref="C8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8" t="s">
        <v>51</v>
      </c>
      <c r="E8" s="85" t="s">
        <v>906</v>
      </c>
      <c r="F8" t="s">
        <v>907</v>
      </c>
      <c r="H8" s="86">
        <v>200</v>
      </c>
      <c r="J8" s="86">
        <v>200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26"/>
    </row>
    <row r="9" spans="1:22" x14ac:dyDescent="0.25">
      <c r="A9">
        <v>8</v>
      </c>
      <c r="B9" t="s">
        <v>908</v>
      </c>
      <c r="C9" t="str">
        <f t="array" ref="C9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9" t="s">
        <v>36</v>
      </c>
      <c r="E9" s="85" t="s">
        <v>909</v>
      </c>
      <c r="F9" t="s">
        <v>910</v>
      </c>
      <c r="H9" s="86">
        <v>230</v>
      </c>
      <c r="J9" s="86">
        <v>220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26"/>
    </row>
    <row r="10" spans="1:22" x14ac:dyDescent="0.25">
      <c r="A10">
        <v>9</v>
      </c>
      <c r="B10" t="s">
        <v>911</v>
      </c>
      <c r="C10" t="str">
        <f t="array" ref="C10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0" t="s">
        <v>131</v>
      </c>
      <c r="E10" s="85" t="s">
        <v>912</v>
      </c>
      <c r="F10" t="s">
        <v>913</v>
      </c>
      <c r="H10" s="86">
        <v>200</v>
      </c>
      <c r="I10" s="26">
        <v>200</v>
      </c>
      <c r="J10" s="86" t="s">
        <v>49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26"/>
    </row>
    <row r="11" spans="1:22" x14ac:dyDescent="0.25">
      <c r="A11">
        <v>10</v>
      </c>
      <c r="B11" t="s">
        <v>713</v>
      </c>
      <c r="C11" t="str">
        <f t="array" ref="C11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1" t="s">
        <v>51</v>
      </c>
      <c r="E11" s="85" t="s">
        <v>914</v>
      </c>
      <c r="F11" t="s">
        <v>915</v>
      </c>
      <c r="H11" s="86">
        <v>220</v>
      </c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26"/>
    </row>
    <row r="12" spans="1:22" x14ac:dyDescent="0.25">
      <c r="A12">
        <v>11</v>
      </c>
      <c r="B12" t="s">
        <v>42</v>
      </c>
      <c r="C12" t="str">
        <f t="array" ref="C12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2" t="s">
        <v>30</v>
      </c>
      <c r="E12" s="85" t="s">
        <v>916</v>
      </c>
      <c r="F12" t="s">
        <v>917</v>
      </c>
      <c r="H12" s="86">
        <v>400</v>
      </c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26"/>
    </row>
    <row r="13" spans="1:22" x14ac:dyDescent="0.25">
      <c r="A13">
        <v>12</v>
      </c>
      <c r="B13" t="s">
        <v>918</v>
      </c>
      <c r="C13" t="str">
        <f t="array" ref="C13">_xlfn.IFS(ISNUMBER(SEARCH("M",Mannikam_Muthaliyar2[[#This Row],[JANUARY]])),"M",ISNUMBER(SEARCH("A",Mannikam_Muthaliyar2[[#This Row],[JANUARY]])),"A",Mannikam_Muthaliyar2[[#This Row],[JANUARY]]="","",Mannikam_Muthaliyar2[[#This Row],[JANUARY]]&gt;=100,"P")</f>
        <v>P</v>
      </c>
      <c r="D13" t="s">
        <v>36</v>
      </c>
      <c r="E13" s="85" t="s">
        <v>919</v>
      </c>
      <c r="F13" t="s">
        <v>920</v>
      </c>
      <c r="H13" s="86">
        <v>230</v>
      </c>
      <c r="J13" s="86">
        <v>200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26"/>
    </row>
    <row r="14" spans="1:22" s="22" customFormat="1" x14ac:dyDescent="0.25">
      <c r="A14" s="22">
        <v>13</v>
      </c>
      <c r="B14" s="22" t="s">
        <v>921</v>
      </c>
      <c r="C14" s="22" t="str">
        <f t="array" ref="C14">_xlfn.IFS(ISNUMBER(SEARCH("M",Mannikam_Muthaliyar2[[#This Row],[JANUARY]])),"M",ISNUMBER(SEARCH("A",Mannikam_Muthaliyar2[[#This Row],[JANUARY]])),"A",Mannikam_Muthaliyar2[[#This Row],[JANUARY]]="","",Mannikam_Muthaliyar2[[#This Row],[JANUARY]]&gt;=100,"P")</f>
        <v/>
      </c>
      <c r="E14" s="22" t="s">
        <v>922</v>
      </c>
      <c r="H14" s="107">
        <v>230</v>
      </c>
    </row>
    <row r="15" spans="1:22" x14ac:dyDescent="0.25">
      <c r="A15">
        <v>14</v>
      </c>
      <c r="B15" t="s">
        <v>923</v>
      </c>
      <c r="C15" t="str">
        <f t="array" ref="C15">_xlfn.IFS(ISNUMBER(SEARCH("M",Mannikam_Muthaliyar2[[#This Row],[JANUARY]])),"M",ISNUMBER(SEARCH("A",Mannikam_Muthaliyar2[[#This Row],[JANUARY]])),"A",Mannikam_Muthaliyar2[[#This Row],[JANUARY]]="","",Mannikam_Muthaliyar2[[#This Row],[JANUARY]]&gt;=100,"P")</f>
        <v>A</v>
      </c>
      <c r="D15" t="s">
        <v>36</v>
      </c>
      <c r="E15" s="85" t="s">
        <v>924</v>
      </c>
      <c r="F15" s="85" t="s">
        <v>925</v>
      </c>
      <c r="G15" s="85"/>
      <c r="H15" s="86" t="s">
        <v>45</v>
      </c>
      <c r="J15" s="86" t="s">
        <v>45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26" t="s">
        <v>896</v>
      </c>
    </row>
    <row r="16" spans="1:22" x14ac:dyDescent="0.25">
      <c r="A16">
        <v>15</v>
      </c>
      <c r="B16" t="s">
        <v>926</v>
      </c>
      <c r="C16" t="str">
        <f t="array" ref="C16">_xlfn.IFS(ISNUMBER(SEARCH("M",Mannikam_Muthaliyar2[[#This Row],[JANUARY]])),"M",ISNUMBER(SEARCH("A",Mannikam_Muthaliyar2[[#This Row],[JANUARY]])),"A",Mannikam_Muthaliyar2[[#This Row],[JANUARY]]="","",Mannikam_Muthaliyar2[[#This Row],[JANUARY]]&gt;=100,"P")</f>
        <v>M</v>
      </c>
      <c r="D16" t="s">
        <v>23</v>
      </c>
      <c r="E16" s="85" t="s">
        <v>927</v>
      </c>
      <c r="F16" s="85" t="s">
        <v>928</v>
      </c>
      <c r="G16" s="85"/>
      <c r="H16" s="86">
        <v>200</v>
      </c>
      <c r="I16" s="26">
        <v>200</v>
      </c>
      <c r="J16" s="86" t="s">
        <v>49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26"/>
    </row>
    <row r="17" spans="1:22" x14ac:dyDescent="0.25">
      <c r="A17" t="s">
        <v>246</v>
      </c>
      <c r="C17">
        <f>COUNTIF(C2:C16, "&gt;=a")</f>
        <v>14</v>
      </c>
      <c r="D17">
        <f>SUBTOTAL(103,Mannikam_Muthaliyar2[Package])</f>
        <v>14</v>
      </c>
      <c r="E17">
        <f>SUBTOTAL(103,Mannikam_Muthaliyar2[Box No])</f>
        <v>15</v>
      </c>
      <c r="F17">
        <f>SUBTOTAL(103,Mannikam_Muthaliyar2[CAF_ID])</f>
        <v>14</v>
      </c>
      <c r="H17" s="26">
        <f>SUBTOTAL(109,Mannikam_Muthaliyar2[Dec-20])</f>
        <v>2990</v>
      </c>
      <c r="I17" s="26">
        <f>SUBTOTAL(109,Mannikam_Muthaliyar2[BALANCE])</f>
        <v>400</v>
      </c>
      <c r="J17" s="26">
        <f>SUBTOTAL(109,Mannikam_Muthaliyar2[JANUARY])</f>
        <v>2100</v>
      </c>
      <c r="K17" s="26">
        <f>SUBTOTAL(109,Mannikam_Muthaliyar2[FEBEUARY])</f>
        <v>0</v>
      </c>
      <c r="L17" s="26">
        <f>SUBTOTAL(109,Mannikam_Muthaliyar2[MARCH])</f>
        <v>0</v>
      </c>
      <c r="M17" s="26">
        <f>SUBTOTAL(109,Mannikam_Muthaliyar2[APRIL])</f>
        <v>0</v>
      </c>
      <c r="N17" s="26">
        <f>SUBTOTAL(109,Mannikam_Muthaliyar2[MAY])</f>
        <v>0</v>
      </c>
      <c r="O17" s="26">
        <f>SUBTOTAL(109,Mannikam_Muthaliyar2[JUNE])</f>
        <v>0</v>
      </c>
      <c r="P17" s="26">
        <f>SUBTOTAL(109,Mannikam_Muthaliyar2[JULY])</f>
        <v>0</v>
      </c>
      <c r="Q17" s="26">
        <f>SUBTOTAL(109,Mannikam_Muthaliyar2[AUGUST])</f>
        <v>0</v>
      </c>
      <c r="R17" s="26">
        <f>SUBTOTAL(109,Mannikam_Muthaliyar2[SEPTEMBER])</f>
        <v>0</v>
      </c>
      <c r="S17" s="26">
        <f>SUBTOTAL(109,Mannikam_Muthaliyar2[OCTOBER])</f>
        <v>0</v>
      </c>
      <c r="T17" s="26">
        <f>SUBTOTAL(109,Mannikam_Muthaliyar2[NOVEMBER])</f>
        <v>0</v>
      </c>
      <c r="U17" s="26"/>
      <c r="V17" s="26"/>
    </row>
    <row r="18" spans="1:22" x14ac:dyDescent="0.25">
      <c r="E18" s="85"/>
      <c r="F18" s="85"/>
    </row>
    <row r="19" spans="1:22" x14ac:dyDescent="0.25">
      <c r="B19" s="9" t="s">
        <v>247</v>
      </c>
      <c r="C19" s="19">
        <f>COUNTIF(C2:C16,"P")</f>
        <v>10</v>
      </c>
      <c r="E19" s="85"/>
    </row>
    <row r="20" spans="1:22" ht="15.75" customHeight="1" x14ac:dyDescent="0.25">
      <c r="B20" s="18" t="s">
        <v>248</v>
      </c>
      <c r="C20" s="23">
        <f>COUNTIF(C2:C16,"M")</f>
        <v>2</v>
      </c>
    </row>
    <row r="21" spans="1:22" ht="15.75" customHeight="1" x14ac:dyDescent="0.25">
      <c r="B21" s="10" t="s">
        <v>249</v>
      </c>
      <c r="C21" s="21">
        <f>COUNTIF(C2:C16,"A")</f>
        <v>2</v>
      </c>
    </row>
    <row r="22" spans="1:22" ht="15.75" customHeight="1" thickBot="1" x14ac:dyDescent="0.3">
      <c r="B22" s="17" t="s">
        <v>250</v>
      </c>
      <c r="C22" s="17">
        <f>SUM(C19:C21)</f>
        <v>14</v>
      </c>
    </row>
    <row r="23" spans="1:22" ht="15.75" customHeight="1" thickTop="1" x14ac:dyDescent="0.25"/>
    <row r="39" ht="16.5" customHeight="1" x14ac:dyDescent="0.25"/>
    <row r="46" ht="16.5" customHeight="1" x14ac:dyDescent="0.25"/>
    <row r="47" ht="18.75" customHeight="1" x14ac:dyDescent="0.25"/>
    <row r="48" ht="19.5" customHeight="1" x14ac:dyDescent="0.25"/>
  </sheetData>
  <phoneticPr fontId="35" type="noConversion"/>
  <conditionalFormatting sqref="B1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paperSize="9" orientation="landscape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>
    <tabColor rgb="FF92D050"/>
  </sheetPr>
  <dimension ref="A1:U54"/>
  <sheetViews>
    <sheetView zoomScale="119" zoomScaleNormal="145" workbookViewId="0">
      <selection activeCell="I6" sqref="I6"/>
    </sheetView>
  </sheetViews>
  <sheetFormatPr defaultRowHeight="15" x14ac:dyDescent="0.25"/>
  <cols>
    <col min="1" max="1" width="4.7109375" style="87" customWidth="1"/>
    <col min="2" max="2" width="21.85546875" style="87" customWidth="1"/>
    <col min="3" max="3" width="5.85546875" style="87" customWidth="1"/>
    <col min="4" max="4" width="31.5703125" style="87" customWidth="1"/>
    <col min="5" max="5" width="23.42578125" style="87" customWidth="1"/>
    <col min="7" max="18" width="11.140625" style="86" customWidth="1"/>
    <col min="19" max="20" width="11.140625" style="61" customWidth="1"/>
    <col min="21" max="21" width="35.85546875" style="87" customWidth="1"/>
  </cols>
  <sheetData>
    <row r="1" spans="1:21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13" t="s">
        <v>929</v>
      </c>
      <c r="H1" s="86" t="s">
        <v>7</v>
      </c>
      <c r="I1" s="86" t="s">
        <v>9</v>
      </c>
      <c r="J1" s="86" t="s">
        <v>10</v>
      </c>
      <c r="K1" s="86" t="s">
        <v>11</v>
      </c>
      <c r="L1" s="86" t="s">
        <v>12</v>
      </c>
      <c r="M1" s="86" t="s">
        <v>13</v>
      </c>
      <c r="N1" s="86" t="s">
        <v>14</v>
      </c>
      <c r="O1" s="86" t="s">
        <v>15</v>
      </c>
      <c r="P1" s="86" t="s">
        <v>16</v>
      </c>
      <c r="Q1" s="86" t="s">
        <v>17</v>
      </c>
      <c r="R1" s="86" t="s">
        <v>18</v>
      </c>
      <c r="S1" s="86" t="s">
        <v>19</v>
      </c>
      <c r="T1" s="86" t="s">
        <v>20</v>
      </c>
      <c r="U1" s="85" t="s">
        <v>21</v>
      </c>
    </row>
    <row r="2" spans="1:21" x14ac:dyDescent="0.25">
      <c r="A2">
        <v>1</v>
      </c>
      <c r="B2" t="s">
        <v>533</v>
      </c>
      <c r="C2" t="str">
        <f t="array" ref="C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" t="s">
        <v>36</v>
      </c>
      <c r="E2" s="85" t="s">
        <v>930</v>
      </c>
      <c r="F2" s="85" t="s">
        <v>931</v>
      </c>
      <c r="G2" s="86">
        <v>230</v>
      </c>
      <c r="I2" s="86">
        <v>230</v>
      </c>
      <c r="S2" s="86"/>
      <c r="T2" s="86"/>
      <c r="U2" s="26"/>
    </row>
    <row r="3" spans="1:21" x14ac:dyDescent="0.25">
      <c r="A3">
        <v>2</v>
      </c>
      <c r="B3" t="s">
        <v>932</v>
      </c>
      <c r="C3" t="str">
        <f t="array" ref="C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" t="s">
        <v>36</v>
      </c>
      <c r="E3" s="85" t="s">
        <v>933</v>
      </c>
      <c r="F3" s="85" t="s">
        <v>934</v>
      </c>
      <c r="G3" s="86">
        <v>230</v>
      </c>
      <c r="I3" s="86">
        <v>260</v>
      </c>
      <c r="S3" s="86"/>
      <c r="T3" s="86"/>
      <c r="U3" s="26"/>
    </row>
    <row r="4" spans="1:21" x14ac:dyDescent="0.25">
      <c r="A4">
        <v>3</v>
      </c>
      <c r="B4" t="s">
        <v>935</v>
      </c>
      <c r="C4" t="str">
        <f t="array" ref="C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" t="s">
        <v>36</v>
      </c>
      <c r="E4" s="85" t="s">
        <v>936</v>
      </c>
      <c r="F4" s="85" t="s">
        <v>937</v>
      </c>
      <c r="G4" s="86" t="s">
        <v>49</v>
      </c>
      <c r="H4" s="86">
        <v>230</v>
      </c>
      <c r="I4" s="86">
        <v>230</v>
      </c>
      <c r="S4" s="86"/>
      <c r="T4" s="86"/>
      <c r="U4" s="26" t="s">
        <v>938</v>
      </c>
    </row>
    <row r="5" spans="1:21" x14ac:dyDescent="0.25">
      <c r="A5">
        <v>4</v>
      </c>
      <c r="B5" t="s">
        <v>939</v>
      </c>
      <c r="C5" t="str">
        <f t="array" ref="C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5" t="s">
        <v>36</v>
      </c>
      <c r="E5" s="85" t="s">
        <v>940</v>
      </c>
      <c r="F5" s="85" t="s">
        <v>941</v>
      </c>
      <c r="G5" s="86">
        <v>200</v>
      </c>
      <c r="I5" s="86">
        <v>200</v>
      </c>
      <c r="S5" s="86"/>
      <c r="T5" s="86"/>
      <c r="U5" s="26"/>
    </row>
    <row r="6" spans="1:21" x14ac:dyDescent="0.25">
      <c r="A6">
        <v>5</v>
      </c>
      <c r="B6" s="91" t="s">
        <v>942</v>
      </c>
      <c r="C6" t="str">
        <f t="array" ref="C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6" t="s">
        <v>36</v>
      </c>
      <c r="E6" s="85" t="s">
        <v>943</v>
      </c>
      <c r="F6" s="85" t="s">
        <v>944</v>
      </c>
      <c r="G6" s="86" t="s">
        <v>945</v>
      </c>
      <c r="H6" s="86">
        <v>230</v>
      </c>
      <c r="I6" s="86" t="s">
        <v>946</v>
      </c>
      <c r="S6" s="86"/>
      <c r="T6" s="86"/>
      <c r="U6" s="26" t="s">
        <v>947</v>
      </c>
    </row>
    <row r="7" spans="1:21" x14ac:dyDescent="0.25">
      <c r="A7">
        <v>6</v>
      </c>
      <c r="B7" t="s">
        <v>948</v>
      </c>
      <c r="C7" t="str">
        <f t="array" ref="C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7" t="s">
        <v>30</v>
      </c>
      <c r="E7" s="85" t="s">
        <v>949</v>
      </c>
      <c r="F7" s="85" t="s">
        <v>950</v>
      </c>
      <c r="G7" s="55">
        <v>200</v>
      </c>
      <c r="I7" s="86">
        <v>200</v>
      </c>
      <c r="S7" s="86"/>
      <c r="T7" s="86"/>
      <c r="U7" s="26"/>
    </row>
    <row r="8" spans="1:21" x14ac:dyDescent="0.25">
      <c r="A8">
        <v>7</v>
      </c>
      <c r="B8" t="s">
        <v>951</v>
      </c>
      <c r="C8" t="str">
        <f t="array" ref="C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8" t="s">
        <v>30</v>
      </c>
      <c r="E8" s="85" t="s">
        <v>952</v>
      </c>
      <c r="F8" s="85" t="s">
        <v>953</v>
      </c>
      <c r="G8" s="86">
        <v>230</v>
      </c>
      <c r="I8" s="86">
        <v>200</v>
      </c>
      <c r="S8" s="86"/>
      <c r="T8" s="86"/>
      <c r="U8" s="26"/>
    </row>
    <row r="9" spans="1:21" x14ac:dyDescent="0.25">
      <c r="A9">
        <v>8</v>
      </c>
      <c r="B9" t="s">
        <v>954</v>
      </c>
      <c r="C9" t="str">
        <f t="array" ref="C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9" t="s">
        <v>23</v>
      </c>
      <c r="E9" s="85" t="s">
        <v>955</v>
      </c>
      <c r="F9" s="85" t="s">
        <v>956</v>
      </c>
      <c r="G9" s="86">
        <v>200</v>
      </c>
      <c r="I9" s="86">
        <v>200</v>
      </c>
      <c r="S9" s="86"/>
      <c r="T9" s="86"/>
      <c r="U9" s="26"/>
    </row>
    <row r="10" spans="1:21" x14ac:dyDescent="0.25">
      <c r="A10">
        <v>9</v>
      </c>
      <c r="B10" t="s">
        <v>721</v>
      </c>
      <c r="C10" t="str">
        <f t="array" ref="C1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0" t="s">
        <v>51</v>
      </c>
      <c r="E10" s="85" t="s">
        <v>957</v>
      </c>
      <c r="F10" s="85" t="s">
        <v>958</v>
      </c>
      <c r="G10" s="86">
        <v>200</v>
      </c>
      <c r="I10" s="86">
        <v>200</v>
      </c>
      <c r="S10" s="86"/>
      <c r="T10" s="86"/>
      <c r="U10" s="26"/>
    </row>
    <row r="11" spans="1:21" x14ac:dyDescent="0.25">
      <c r="A11">
        <v>10</v>
      </c>
      <c r="B11" t="s">
        <v>959</v>
      </c>
      <c r="C11" t="str">
        <f t="array" ref="C1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1" t="s">
        <v>30</v>
      </c>
      <c r="E11" s="85" t="s">
        <v>960</v>
      </c>
      <c r="F11" s="85" t="s">
        <v>961</v>
      </c>
      <c r="G11" s="86">
        <v>230</v>
      </c>
      <c r="I11" s="86">
        <v>230</v>
      </c>
      <c r="S11" s="86"/>
      <c r="T11" s="86"/>
      <c r="U11" s="26" t="s">
        <v>962</v>
      </c>
    </row>
    <row r="12" spans="1:21" x14ac:dyDescent="0.25">
      <c r="A12">
        <v>11</v>
      </c>
      <c r="B12" t="s">
        <v>963</v>
      </c>
      <c r="C12" t="str">
        <f t="array" ref="C12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2" t="s">
        <v>36</v>
      </c>
      <c r="E12" s="85" t="s">
        <v>964</v>
      </c>
      <c r="F12" s="85" t="s">
        <v>965</v>
      </c>
      <c r="G12" s="86" t="s">
        <v>966</v>
      </c>
      <c r="I12" s="86" t="s">
        <v>966</v>
      </c>
      <c r="S12" s="86"/>
      <c r="T12" s="86"/>
      <c r="U12" s="26"/>
    </row>
    <row r="13" spans="1:21" x14ac:dyDescent="0.25">
      <c r="A13">
        <v>12</v>
      </c>
      <c r="B13" t="s">
        <v>967</v>
      </c>
      <c r="C13" t="str">
        <f t="array" ref="C1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3" t="s">
        <v>51</v>
      </c>
      <c r="E13" s="85" t="s">
        <v>968</v>
      </c>
      <c r="F13" s="85" t="s">
        <v>969</v>
      </c>
      <c r="G13" s="86">
        <v>200</v>
      </c>
      <c r="I13" s="86">
        <v>200</v>
      </c>
      <c r="S13" s="86"/>
      <c r="T13" s="86"/>
      <c r="U13" s="26"/>
    </row>
    <row r="14" spans="1:21" x14ac:dyDescent="0.25">
      <c r="A14">
        <v>13</v>
      </c>
      <c r="B14" t="s">
        <v>948</v>
      </c>
      <c r="C14" t="str">
        <f t="array" ref="C1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4" t="s">
        <v>36</v>
      </c>
      <c r="E14" s="85" t="s">
        <v>970</v>
      </c>
      <c r="F14" s="85" t="s">
        <v>971</v>
      </c>
      <c r="G14" s="86">
        <v>220</v>
      </c>
      <c r="I14" s="86">
        <v>220</v>
      </c>
      <c r="S14" s="86"/>
      <c r="T14" s="86"/>
      <c r="U14" s="26"/>
    </row>
    <row r="15" spans="1:21" x14ac:dyDescent="0.25">
      <c r="A15">
        <v>14</v>
      </c>
      <c r="B15" t="s">
        <v>908</v>
      </c>
      <c r="C15" t="str">
        <f t="array" ref="C15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15" t="s">
        <v>30</v>
      </c>
      <c r="E15" s="85" t="s">
        <v>972</v>
      </c>
      <c r="F15" s="85" t="s">
        <v>973</v>
      </c>
      <c r="G15" s="86" t="s">
        <v>974</v>
      </c>
      <c r="I15" s="86" t="s">
        <v>45</v>
      </c>
      <c r="S15" s="86"/>
      <c r="T15" s="86"/>
      <c r="U15" s="26"/>
    </row>
    <row r="16" spans="1:21" x14ac:dyDescent="0.25">
      <c r="A16">
        <v>15</v>
      </c>
      <c r="B16" t="s">
        <v>366</v>
      </c>
      <c r="C16" t="str">
        <f t="array" ref="C16">_xlfn.IFS(ISNUMBER(SEARCH("M",Ramasami_Mudhaliyar[[#This Row],[JANUARY]])),"M",Ramasami_Mudhaliyar[[#This Row],[JANUARY]]="A","A",Ramasami_Mudhaliyar[[#This Row],[JANUARY]]="","",Ramasami_Mudhaliyar[[#This Row],[JANUARY]]&gt;=100,"P")</f>
        <v>P</v>
      </c>
      <c r="D16" t="s">
        <v>30</v>
      </c>
      <c r="E16" s="85" t="s">
        <v>975</v>
      </c>
      <c r="F16" s="85" t="s">
        <v>976</v>
      </c>
      <c r="G16" s="86" t="s">
        <v>977</v>
      </c>
      <c r="I16" s="86" t="s">
        <v>977</v>
      </c>
      <c r="S16" s="86"/>
      <c r="T16" s="86"/>
      <c r="U16" s="26"/>
    </row>
    <row r="17" spans="1:21" x14ac:dyDescent="0.25">
      <c r="A17">
        <v>16</v>
      </c>
      <c r="B17" t="s">
        <v>978</v>
      </c>
      <c r="C17" t="str">
        <f t="array" ref="C1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7" t="s">
        <v>23</v>
      </c>
      <c r="E17" s="85" t="s">
        <v>979</v>
      </c>
      <c r="F17" s="85" t="s">
        <v>980</v>
      </c>
      <c r="G17" s="86">
        <v>200</v>
      </c>
      <c r="I17" s="86">
        <v>200</v>
      </c>
      <c r="S17" s="86"/>
      <c r="T17" s="86"/>
      <c r="U17" s="26"/>
    </row>
    <row r="18" spans="1:21" x14ac:dyDescent="0.25">
      <c r="A18">
        <v>17</v>
      </c>
      <c r="B18" t="s">
        <v>981</v>
      </c>
      <c r="C18" t="str">
        <f t="array" ref="C1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18" t="s">
        <v>30</v>
      </c>
      <c r="E18" s="85" t="s">
        <v>982</v>
      </c>
      <c r="F18" s="85" t="s">
        <v>983</v>
      </c>
      <c r="G18" s="86">
        <v>200</v>
      </c>
      <c r="I18" s="86">
        <v>200</v>
      </c>
      <c r="S18" s="86"/>
      <c r="T18" s="86"/>
      <c r="U18" s="26"/>
    </row>
    <row r="19" spans="1:21" x14ac:dyDescent="0.25">
      <c r="A19">
        <v>18</v>
      </c>
      <c r="B19" t="s">
        <v>984</v>
      </c>
      <c r="C19" t="str">
        <f t="array" ref="C19">_xlfn.IFS(ISNUMBER(SEARCH("M",Ramasami_Mudhaliyar[[#This Row],[JANUARY]])),"M",ISNUMBER(SEARCH("A",Ramasami_Mudhaliyar[[#This Row],[JANUARY]])),"A",Ramasami_Mudhaliyar[[#This Row],[JANUARY]]="","",Ramasami_Mudhaliyar[[#This Row],[JANUARY]]&gt;=100,"P")</f>
        <v>M</v>
      </c>
      <c r="D19" t="s">
        <v>30</v>
      </c>
      <c r="E19" s="85" t="s">
        <v>985</v>
      </c>
      <c r="F19" s="85" t="s">
        <v>986</v>
      </c>
      <c r="G19" s="86">
        <v>400</v>
      </c>
      <c r="H19" s="86">
        <v>230</v>
      </c>
      <c r="I19" s="86" t="s">
        <v>49</v>
      </c>
      <c r="S19" s="86"/>
      <c r="T19" s="86"/>
      <c r="U19" s="26"/>
    </row>
    <row r="20" spans="1:21" x14ac:dyDescent="0.25">
      <c r="A20">
        <v>19</v>
      </c>
      <c r="B20" t="s">
        <v>872</v>
      </c>
      <c r="C20" t="str">
        <f t="array" ref="C2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0" t="s">
        <v>36</v>
      </c>
      <c r="E20" s="85" t="s">
        <v>987</v>
      </c>
      <c r="F20" s="85" t="s">
        <v>988</v>
      </c>
      <c r="G20" s="86">
        <v>200</v>
      </c>
      <c r="I20" s="86">
        <v>200</v>
      </c>
      <c r="S20" s="86"/>
      <c r="T20" s="86"/>
      <c r="U20" s="26"/>
    </row>
    <row r="21" spans="1:21" x14ac:dyDescent="0.25">
      <c r="A21">
        <v>20</v>
      </c>
      <c r="B21" t="s">
        <v>989</v>
      </c>
      <c r="C21" t="str">
        <f t="array" ref="C2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1" t="s">
        <v>30</v>
      </c>
      <c r="E21" s="85" t="s">
        <v>990</v>
      </c>
      <c r="F21" s="85" t="s">
        <v>991</v>
      </c>
      <c r="G21" s="86">
        <v>230</v>
      </c>
      <c r="I21" s="86">
        <v>200</v>
      </c>
      <c r="S21" s="86"/>
      <c r="T21" s="86"/>
      <c r="U21" s="26"/>
    </row>
    <row r="22" spans="1:21" x14ac:dyDescent="0.25">
      <c r="A22">
        <v>21</v>
      </c>
      <c r="B22" t="s">
        <v>857</v>
      </c>
      <c r="C22" t="str">
        <f t="array" ref="C2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2" t="s">
        <v>51</v>
      </c>
      <c r="E22" s="85" t="s">
        <v>992</v>
      </c>
      <c r="F22" s="85" t="s">
        <v>993</v>
      </c>
      <c r="G22" s="86">
        <v>500</v>
      </c>
      <c r="I22" s="86">
        <v>250</v>
      </c>
      <c r="S22" s="86"/>
      <c r="T22" s="86"/>
      <c r="U22" s="26"/>
    </row>
    <row r="23" spans="1:21" x14ac:dyDescent="0.25">
      <c r="A23">
        <v>22</v>
      </c>
      <c r="B23" t="s">
        <v>994</v>
      </c>
      <c r="C23" t="str">
        <f t="array" ref="C2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3" t="s">
        <v>36</v>
      </c>
      <c r="E23" s="85" t="s">
        <v>995</v>
      </c>
      <c r="F23" s="85" t="s">
        <v>996</v>
      </c>
      <c r="G23" s="86">
        <v>220</v>
      </c>
      <c r="I23" s="86">
        <v>300</v>
      </c>
      <c r="S23" s="86"/>
      <c r="T23" s="86"/>
      <c r="U23" s="26"/>
    </row>
    <row r="24" spans="1:21" x14ac:dyDescent="0.25">
      <c r="A24">
        <v>23</v>
      </c>
      <c r="B24" t="s">
        <v>997</v>
      </c>
      <c r="C24" t="str">
        <f t="array" ref="C2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4" t="s">
        <v>30</v>
      </c>
      <c r="E24" s="85" t="s">
        <v>998</v>
      </c>
      <c r="F24" s="85" t="s">
        <v>999</v>
      </c>
      <c r="G24" s="86">
        <v>220</v>
      </c>
      <c r="I24" s="86">
        <v>220</v>
      </c>
      <c r="S24" s="86"/>
      <c r="T24" s="86"/>
      <c r="U24" s="26"/>
    </row>
    <row r="25" spans="1:21" x14ac:dyDescent="0.25">
      <c r="A25">
        <v>24</v>
      </c>
      <c r="B25" s="60" t="s">
        <v>1000</v>
      </c>
      <c r="C25" t="str">
        <f t="array" ref="C2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5" t="s">
        <v>30</v>
      </c>
      <c r="E25" s="85" t="s">
        <v>1001</v>
      </c>
      <c r="F25" s="85" t="s">
        <v>1002</v>
      </c>
      <c r="I25" s="86">
        <v>200</v>
      </c>
      <c r="S25" s="86"/>
      <c r="T25" s="86"/>
      <c r="U25" s="26" t="s">
        <v>1003</v>
      </c>
    </row>
    <row r="26" spans="1:21" x14ac:dyDescent="0.25">
      <c r="A26">
        <v>25</v>
      </c>
      <c r="B26" t="s">
        <v>1004</v>
      </c>
      <c r="C26" t="str">
        <f t="array" ref="C26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6" t="s">
        <v>30</v>
      </c>
      <c r="E26" s="85" t="s">
        <v>1005</v>
      </c>
      <c r="F26" s="85" t="s">
        <v>1006</v>
      </c>
      <c r="G26" s="86">
        <v>220</v>
      </c>
      <c r="I26" s="86">
        <v>220</v>
      </c>
      <c r="S26" s="86"/>
      <c r="T26" s="86"/>
      <c r="U26" s="26"/>
    </row>
    <row r="27" spans="1:21" x14ac:dyDescent="0.25">
      <c r="A27">
        <v>26</v>
      </c>
      <c r="B27" t="s">
        <v>1007</v>
      </c>
      <c r="C27" t="str">
        <f t="array" ref="C2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27" t="s">
        <v>30</v>
      </c>
      <c r="E27" s="85" t="s">
        <v>1008</v>
      </c>
      <c r="F27" s="85" t="s">
        <v>1009</v>
      </c>
      <c r="G27" s="86">
        <v>250</v>
      </c>
      <c r="I27" s="86">
        <v>250</v>
      </c>
      <c r="S27" s="86"/>
      <c r="T27" s="86"/>
      <c r="U27" s="26"/>
    </row>
    <row r="28" spans="1:21" x14ac:dyDescent="0.25">
      <c r="A28">
        <v>27</v>
      </c>
      <c r="B28" t="s">
        <v>201</v>
      </c>
      <c r="C28" t="str">
        <f t="array" ref="C28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8" t="s">
        <v>30</v>
      </c>
      <c r="E28" s="85" t="s">
        <v>1010</v>
      </c>
      <c r="F28" s="85" t="s">
        <v>1011</v>
      </c>
      <c r="G28" s="86" t="s">
        <v>1012</v>
      </c>
      <c r="I28" s="86" t="s">
        <v>45</v>
      </c>
      <c r="S28" s="86"/>
      <c r="T28" s="86"/>
      <c r="U28" s="26"/>
    </row>
    <row r="29" spans="1:21" x14ac:dyDescent="0.25">
      <c r="A29">
        <v>28</v>
      </c>
      <c r="B29" t="s">
        <v>1013</v>
      </c>
      <c r="C29" t="str">
        <f t="array" ref="C29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29" t="s">
        <v>30</v>
      </c>
      <c r="E29" s="85" t="s">
        <v>1014</v>
      </c>
      <c r="F29" s="85" t="s">
        <v>1015</v>
      </c>
      <c r="G29" s="86" t="s">
        <v>1012</v>
      </c>
      <c r="I29" s="86" t="s">
        <v>45</v>
      </c>
      <c r="S29" s="86"/>
      <c r="T29" s="86"/>
      <c r="U29" s="26"/>
    </row>
    <row r="30" spans="1:21" x14ac:dyDescent="0.25">
      <c r="A30">
        <v>29</v>
      </c>
      <c r="B30" t="s">
        <v>478</v>
      </c>
      <c r="C30" t="str">
        <f t="array" ref="C30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0" t="s">
        <v>36</v>
      </c>
      <c r="E30" s="85" t="s">
        <v>1016</v>
      </c>
      <c r="F30" s="85" t="s">
        <v>1017</v>
      </c>
      <c r="G30" s="86">
        <v>220</v>
      </c>
      <c r="I30" s="86">
        <v>230</v>
      </c>
      <c r="S30" s="86"/>
      <c r="T30" s="86"/>
      <c r="U30" s="26"/>
    </row>
    <row r="31" spans="1:21" x14ac:dyDescent="0.25">
      <c r="A31">
        <v>30</v>
      </c>
      <c r="B31" t="s">
        <v>1018</v>
      </c>
      <c r="C31" t="str">
        <f t="array" ref="C31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1" t="s">
        <v>30</v>
      </c>
      <c r="E31" s="85" t="s">
        <v>1019</v>
      </c>
      <c r="F31" s="85" t="s">
        <v>1020</v>
      </c>
      <c r="G31" s="86">
        <v>200</v>
      </c>
      <c r="I31" s="86">
        <v>200</v>
      </c>
      <c r="S31" s="86"/>
      <c r="T31" s="86"/>
      <c r="U31" s="26"/>
    </row>
    <row r="32" spans="1:21" x14ac:dyDescent="0.25">
      <c r="A32">
        <v>31</v>
      </c>
      <c r="B32" t="s">
        <v>981</v>
      </c>
      <c r="C32" t="str">
        <f t="array" ref="C3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2" t="s">
        <v>23</v>
      </c>
      <c r="E32" s="85" t="s">
        <v>1021</v>
      </c>
      <c r="F32" s="85" t="s">
        <v>1022</v>
      </c>
      <c r="G32" s="86">
        <v>200</v>
      </c>
      <c r="I32" s="86">
        <v>200</v>
      </c>
      <c r="S32" s="86"/>
      <c r="T32" s="86"/>
      <c r="U32" s="26"/>
    </row>
    <row r="33" spans="1:21" x14ac:dyDescent="0.25">
      <c r="A33">
        <v>32</v>
      </c>
      <c r="B33" t="s">
        <v>1023</v>
      </c>
      <c r="C33" t="str">
        <f t="array" ref="C3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3" t="s">
        <v>30</v>
      </c>
      <c r="E33" s="85" t="s">
        <v>1024</v>
      </c>
      <c r="F33" s="85" t="s">
        <v>1025</v>
      </c>
      <c r="G33" s="86">
        <v>220</v>
      </c>
      <c r="I33" s="86">
        <v>220</v>
      </c>
      <c r="S33" s="86"/>
      <c r="T33" s="86"/>
      <c r="U33" s="26"/>
    </row>
    <row r="34" spans="1:21" x14ac:dyDescent="0.25">
      <c r="A34">
        <v>33</v>
      </c>
      <c r="B34" t="s">
        <v>1026</v>
      </c>
      <c r="C34" t="str">
        <f t="array" ref="C3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4" t="s">
        <v>30</v>
      </c>
      <c r="E34" s="85" t="s">
        <v>1027</v>
      </c>
      <c r="F34" s="85" t="s">
        <v>1028</v>
      </c>
      <c r="G34" s="86">
        <v>210</v>
      </c>
      <c r="I34" s="86">
        <v>220</v>
      </c>
      <c r="S34" s="86"/>
      <c r="T34" s="86"/>
      <c r="U34" s="26"/>
    </row>
    <row r="35" spans="1:21" x14ac:dyDescent="0.25">
      <c r="A35">
        <v>34</v>
      </c>
      <c r="B35" t="s">
        <v>1029</v>
      </c>
      <c r="C35" t="str">
        <f t="array" ref="C3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5" t="s">
        <v>30</v>
      </c>
      <c r="E35" s="85" t="s">
        <v>1030</v>
      </c>
      <c r="F35" s="85" t="s">
        <v>1031</v>
      </c>
      <c r="G35" s="86">
        <v>250</v>
      </c>
      <c r="I35" s="86">
        <v>230</v>
      </c>
      <c r="S35" s="86"/>
      <c r="T35" s="86"/>
      <c r="U35" s="26"/>
    </row>
    <row r="36" spans="1:21" x14ac:dyDescent="0.25">
      <c r="A36">
        <v>35</v>
      </c>
      <c r="B36" t="s">
        <v>679</v>
      </c>
      <c r="C36" t="str">
        <f t="array" ref="C3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36" t="s">
        <v>30</v>
      </c>
      <c r="E36" s="85" t="s">
        <v>1032</v>
      </c>
      <c r="F36" s="85" t="s">
        <v>1033</v>
      </c>
      <c r="G36" s="86" t="s">
        <v>1012</v>
      </c>
      <c r="I36" s="86" t="s">
        <v>45</v>
      </c>
      <c r="S36" s="86"/>
      <c r="T36" s="86"/>
      <c r="U36" s="26"/>
    </row>
    <row r="37" spans="1:21" x14ac:dyDescent="0.25">
      <c r="A37">
        <v>36</v>
      </c>
      <c r="B37" t="s">
        <v>1034</v>
      </c>
      <c r="C37" t="str">
        <f t="array" ref="C37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7" t="s">
        <v>51</v>
      </c>
      <c r="E37" s="85" t="s">
        <v>1035</v>
      </c>
      <c r="F37" s="85" t="s">
        <v>1036</v>
      </c>
      <c r="G37" s="86" t="s">
        <v>2588</v>
      </c>
      <c r="I37" s="86">
        <v>400</v>
      </c>
      <c r="S37" s="86"/>
      <c r="T37" s="86"/>
      <c r="U37" s="26"/>
    </row>
    <row r="38" spans="1:21" x14ac:dyDescent="0.25">
      <c r="A38">
        <v>37</v>
      </c>
      <c r="B38" t="s">
        <v>1037</v>
      </c>
      <c r="C38" t="str">
        <f t="array" ref="C38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8" t="s">
        <v>51</v>
      </c>
      <c r="E38" s="85" t="s">
        <v>1038</v>
      </c>
      <c r="F38" s="85" t="s">
        <v>1039</v>
      </c>
      <c r="G38" s="86">
        <v>200</v>
      </c>
      <c r="I38" s="86">
        <v>200</v>
      </c>
      <c r="S38" s="86"/>
      <c r="T38" s="86"/>
      <c r="U38" s="26"/>
    </row>
    <row r="39" spans="1:21" x14ac:dyDescent="0.25">
      <c r="A39">
        <v>38</v>
      </c>
      <c r="B39" t="s">
        <v>1040</v>
      </c>
      <c r="C39" t="str">
        <f t="array" ref="C39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39" t="s">
        <v>51</v>
      </c>
      <c r="E39" s="85" t="s">
        <v>1041</v>
      </c>
      <c r="F39" s="85" t="s">
        <v>1042</v>
      </c>
      <c r="G39" s="86">
        <v>200</v>
      </c>
      <c r="I39" s="86">
        <v>200</v>
      </c>
      <c r="S39" s="86"/>
      <c r="T39" s="86"/>
      <c r="U39" s="85"/>
    </row>
    <row r="40" spans="1:21" x14ac:dyDescent="0.25">
      <c r="A40">
        <v>39</v>
      </c>
      <c r="B40" t="s">
        <v>1043</v>
      </c>
      <c r="C40" t="str">
        <f t="array" ref="C40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0" t="s">
        <v>30</v>
      </c>
      <c r="E40" s="85" t="s">
        <v>1044</v>
      </c>
      <c r="F40" s="85" t="s">
        <v>1045</v>
      </c>
      <c r="G40" s="86" t="s">
        <v>1046</v>
      </c>
      <c r="I40" s="86" t="s">
        <v>45</v>
      </c>
      <c r="S40" s="86"/>
      <c r="T40" s="86"/>
      <c r="U40" s="26"/>
    </row>
    <row r="41" spans="1:21" x14ac:dyDescent="0.25">
      <c r="A41">
        <v>40</v>
      </c>
      <c r="B41" t="s">
        <v>1047</v>
      </c>
      <c r="C41" t="str">
        <f t="array" ref="C41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1" t="s">
        <v>30</v>
      </c>
      <c r="E41" s="85" t="s">
        <v>1048</v>
      </c>
      <c r="F41" s="85" t="s">
        <v>1049</v>
      </c>
      <c r="G41" s="86" t="s">
        <v>1046</v>
      </c>
      <c r="I41" s="86" t="s">
        <v>45</v>
      </c>
      <c r="S41" s="86"/>
      <c r="T41" s="86"/>
      <c r="U41" s="26"/>
    </row>
    <row r="42" spans="1:21" x14ac:dyDescent="0.25">
      <c r="A42">
        <v>41</v>
      </c>
      <c r="B42" t="s">
        <v>1050</v>
      </c>
      <c r="C42" t="str">
        <f t="array" ref="C42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2" t="s">
        <v>51</v>
      </c>
      <c r="E42" s="85" t="s">
        <v>1051</v>
      </c>
      <c r="F42" s="85" t="s">
        <v>1052</v>
      </c>
      <c r="G42" s="86">
        <v>200</v>
      </c>
      <c r="I42" s="86">
        <v>200</v>
      </c>
      <c r="S42" s="86"/>
      <c r="T42" s="86"/>
      <c r="U42" s="26"/>
    </row>
    <row r="43" spans="1:21" x14ac:dyDescent="0.25">
      <c r="A43">
        <v>42</v>
      </c>
      <c r="B43" t="s">
        <v>1053</v>
      </c>
      <c r="C43" t="str">
        <f t="array" ref="C43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3" t="s">
        <v>30</v>
      </c>
      <c r="E43" s="85" t="s">
        <v>1054</v>
      </c>
      <c r="F43" s="85" t="s">
        <v>1055</v>
      </c>
      <c r="G43" s="86" t="s">
        <v>45</v>
      </c>
      <c r="I43" s="86">
        <v>230</v>
      </c>
      <c r="S43" s="86"/>
      <c r="T43" s="86"/>
      <c r="U43" s="26"/>
    </row>
    <row r="44" spans="1:21" x14ac:dyDescent="0.25">
      <c r="A44">
        <v>43</v>
      </c>
      <c r="B44" t="s">
        <v>1056</v>
      </c>
      <c r="C44" t="str">
        <f t="array" ref="C44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4" t="s">
        <v>23</v>
      </c>
      <c r="E44" s="85" t="s">
        <v>1057</v>
      </c>
      <c r="F44" s="85" t="s">
        <v>1058</v>
      </c>
      <c r="G44" s="86">
        <v>200</v>
      </c>
      <c r="I44" s="86">
        <v>200</v>
      </c>
      <c r="S44" s="86"/>
      <c r="T44" s="86"/>
      <c r="U44" s="26"/>
    </row>
    <row r="45" spans="1:21" s="8" customFormat="1" x14ac:dyDescent="0.25">
      <c r="A45">
        <v>44</v>
      </c>
      <c r="B45" t="s">
        <v>1059</v>
      </c>
      <c r="C45" t="str">
        <f t="array" ref="C45">_xlfn.IFS(ISNUMBER(SEARCH("M",Ramasami_Mudhaliyar[[#This Row],[JANUARY]])),"M",ISNUMBER(SEARCH("A",Ramasami_Mudhaliyar[[#This Row],[JANUARY]])),"A",Ramasami_Mudhaliyar[[#This Row],[JANUARY]]="","",Ramasami_Mudhaliyar[[#This Row],[JANUARY]]&gt;=100,"P")</f>
        <v>P</v>
      </c>
      <c r="D45" t="s">
        <v>23</v>
      </c>
      <c r="E45" s="85" t="s">
        <v>1060</v>
      </c>
      <c r="F45" s="85" t="s">
        <v>1061</v>
      </c>
      <c r="G45" s="86">
        <v>200</v>
      </c>
      <c r="H45" s="86"/>
      <c r="I45" s="86">
        <v>200</v>
      </c>
      <c r="J45" s="86"/>
      <c r="K45" s="86"/>
      <c r="L45" s="86"/>
      <c r="M45" s="86"/>
      <c r="N45" s="86"/>
      <c r="O45" s="86"/>
      <c r="P45" s="86"/>
      <c r="Q45" s="86"/>
      <c r="R45" s="86"/>
      <c r="S45" s="86"/>
      <c r="T45" s="86"/>
      <c r="U45" s="26"/>
    </row>
    <row r="46" spans="1:21" x14ac:dyDescent="0.25">
      <c r="A46">
        <v>45</v>
      </c>
      <c r="B46" t="s">
        <v>1062</v>
      </c>
      <c r="C46" t="str">
        <f t="array" ref="C46">_xlfn.IFS(ISNUMBER(SEARCH("M",Ramasami_Mudhaliyar[[#This Row],[JANUARY]])),"M",ISNUMBER(SEARCH("A",Ramasami_Mudhaliyar[[#This Row],[JANUARY]])),"A",Ramasami_Mudhaliyar[[#This Row],[JANUARY]]="","",Ramasami_Mudhaliyar[[#This Row],[JANUARY]]&gt;=100,"P")</f>
        <v>A</v>
      </c>
      <c r="D46" t="s">
        <v>23</v>
      </c>
      <c r="E46" s="85" t="s">
        <v>1063</v>
      </c>
      <c r="F46" s="85" t="s">
        <v>1064</v>
      </c>
      <c r="G46" s="86" t="s">
        <v>231</v>
      </c>
      <c r="I46" s="86" t="s">
        <v>231</v>
      </c>
      <c r="S46" s="86"/>
      <c r="T46" s="86"/>
      <c r="U46" s="26"/>
    </row>
    <row r="47" spans="1:21" x14ac:dyDescent="0.25">
      <c r="A47">
        <v>46</v>
      </c>
      <c r="B47" t="s">
        <v>1065</v>
      </c>
      <c r="C47" t="str">
        <f t="array" ref="C47">_xlfn.IFS(ISNUMBER(SEARCH("M",Ramasami_Mudhaliyar[[#This Row],[JANUARY]])),"M",ISNUMBER(SEARCH("A",Ramasami_Mudhaliyar[[#This Row],[JANUARY]])),"A",Ramasami_Mudhaliyar[[#This Row],[JANUARY]]="","",Ramasami_Mudhaliyar[[#This Row],[JANUARY]]&gt;=100,"P")</f>
        <v/>
      </c>
      <c r="E47" s="85" t="s">
        <v>1066</v>
      </c>
      <c r="F47" s="85" t="s">
        <v>1067</v>
      </c>
      <c r="G47" s="86" t="s">
        <v>1068</v>
      </c>
      <c r="S47" s="86"/>
      <c r="T47" s="86"/>
      <c r="U47" s="26"/>
    </row>
    <row r="48" spans="1:21" x14ac:dyDescent="0.25">
      <c r="A48" s="8" t="s">
        <v>246</v>
      </c>
      <c r="B48" s="8"/>
      <c r="C48" s="8">
        <f>COUNTIF(C2:C47, "&gt;=a")</f>
        <v>45</v>
      </c>
      <c r="D48" s="8">
        <f>SUBTOTAL(103,Ramasami_Mudhaliyar[Package])</f>
        <v>45</v>
      </c>
      <c r="E48" s="8">
        <f>SUBTOTAL(103,Ramasami_Mudhaliyar[Box No])</f>
        <v>46</v>
      </c>
      <c r="F48" s="8">
        <f>SUBTOTAL(103,Ramasami_Mudhaliyar[CAF_ID])</f>
        <v>46</v>
      </c>
      <c r="G48" s="53">
        <f>SUBTOTAL(109,Ramasami_Mudhaliyar[DEC-20])</f>
        <v>7080</v>
      </c>
      <c r="H48" s="53">
        <f>SUBTOTAL(109,Ramasami_Mudhaliyar[BALANCE])</f>
        <v>690</v>
      </c>
      <c r="I48" s="53">
        <f>SUBTOTAL(109,Ramasami_Mudhaliyar[JANUARY])</f>
        <v>7540</v>
      </c>
      <c r="J48" s="53">
        <f>SUBTOTAL(109,Ramasami_Mudhaliyar[FEBEUARY])</f>
        <v>0</v>
      </c>
      <c r="K48" s="53">
        <f>SUBTOTAL(109,Ramasami_Mudhaliyar[MARCH])</f>
        <v>0</v>
      </c>
      <c r="L48" s="53">
        <f>SUBTOTAL(109,Ramasami_Mudhaliyar[APRIL])</f>
        <v>0</v>
      </c>
      <c r="M48" s="53">
        <f>SUBTOTAL(109,Ramasami_Mudhaliyar[MAY])</f>
        <v>0</v>
      </c>
      <c r="N48" s="53">
        <f>SUBTOTAL(109,Ramasami_Mudhaliyar[JUNE])</f>
        <v>0</v>
      </c>
      <c r="O48" s="53">
        <f>SUBTOTAL(109,Ramasami_Mudhaliyar[JULY])</f>
        <v>0</v>
      </c>
      <c r="P48" s="53">
        <f>SUBTOTAL(109,Ramasami_Mudhaliyar[AUGUST])</f>
        <v>0</v>
      </c>
      <c r="Q48" s="53">
        <f>SUBTOTAL(109,Ramasami_Mudhaliyar[SEPTEMBER])</f>
        <v>0</v>
      </c>
      <c r="R48" s="53">
        <f>SUBTOTAL(109,Ramasami_Mudhaliyar[OCTOBER])</f>
        <v>0</v>
      </c>
      <c r="S48" s="53">
        <f>SUBTOTAL(109,Ramasami_Mudhaliyar[NOVEMBER])</f>
        <v>0</v>
      </c>
      <c r="T48" s="53">
        <f>SUBTOTAL(109,Ramasami_Mudhaliyar[DECEMBER])</f>
        <v>0</v>
      </c>
      <c r="U48" s="27"/>
    </row>
    <row r="49" spans="2:6" x14ac:dyDescent="0.25">
      <c r="E49" s="85"/>
      <c r="F49" s="85"/>
    </row>
    <row r="50" spans="2:6" ht="15.75" customHeight="1" x14ac:dyDescent="0.25">
      <c r="B50" s="9" t="s">
        <v>247</v>
      </c>
      <c r="C50" s="19">
        <f>COUNTIF(C2:C47,"P")</f>
        <v>35</v>
      </c>
    </row>
    <row r="51" spans="2:6" ht="15.75" customHeight="1" x14ac:dyDescent="0.25">
      <c r="B51" s="18" t="s">
        <v>248</v>
      </c>
      <c r="C51" s="23">
        <f>COUNTIF(C2:C47,"M")</f>
        <v>1</v>
      </c>
    </row>
    <row r="52" spans="2:6" ht="15.75" customHeight="1" x14ac:dyDescent="0.25">
      <c r="B52" s="10" t="s">
        <v>249</v>
      </c>
      <c r="C52" s="21">
        <f>COUNTIF(C2:C47,"A")</f>
        <v>9</v>
      </c>
    </row>
    <row r="53" spans="2:6" ht="15.75" customHeight="1" thickBot="1" x14ac:dyDescent="0.3">
      <c r="B53" s="17" t="s">
        <v>250</v>
      </c>
      <c r="C53" s="17">
        <f>SUM(C50:C52)</f>
        <v>45</v>
      </c>
    </row>
    <row r="54" spans="2:6" ht="15.75" customHeight="1" thickTop="1" x14ac:dyDescent="0.25">
      <c r="D54" s="12"/>
    </row>
  </sheetData>
  <phoneticPr fontId="35" type="noConversion"/>
  <conditionalFormatting sqref="B50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7">
    <tabColor rgb="FF92D050"/>
  </sheetPr>
  <dimension ref="A1:V51"/>
  <sheetViews>
    <sheetView zoomScale="115" zoomScaleNormal="115" workbookViewId="0">
      <selection activeCell="I7" sqref="I7"/>
    </sheetView>
  </sheetViews>
  <sheetFormatPr defaultRowHeight="15" x14ac:dyDescent="0.25"/>
  <cols>
    <col min="1" max="1" width="5.5703125" style="87" customWidth="1"/>
    <col min="2" max="2" width="19.140625" style="87" customWidth="1"/>
    <col min="3" max="3" width="7.28515625" style="87" customWidth="1"/>
    <col min="4" max="4" width="32.28515625" style="87" customWidth="1"/>
    <col min="5" max="5" width="20.7109375" style="87" customWidth="1"/>
    <col min="7" max="7" width="11.140625" style="85" customWidth="1"/>
    <col min="8" max="20" width="11.28515625" style="84" customWidth="1"/>
    <col min="21" max="21" width="12.140625" style="87" customWidth="1"/>
    <col min="22" max="22" width="34" style="87" customWidth="1"/>
  </cols>
  <sheetData>
    <row r="1" spans="1:22" s="40" customFormat="1" x14ac:dyDescent="0.25">
      <c r="A1" s="40" t="s">
        <v>0</v>
      </c>
      <c r="B1" s="40" t="s">
        <v>1</v>
      </c>
      <c r="C1" s="40" t="s">
        <v>2</v>
      </c>
      <c r="D1" s="52" t="s">
        <v>3</v>
      </c>
      <c r="E1" s="51" t="s">
        <v>4</v>
      </c>
      <c r="F1" s="51" t="s">
        <v>5</v>
      </c>
      <c r="G1" s="51" t="s">
        <v>6</v>
      </c>
      <c r="H1" s="54" t="s">
        <v>8</v>
      </c>
      <c r="I1" s="56" t="s">
        <v>7</v>
      </c>
      <c r="J1" s="56" t="s">
        <v>9</v>
      </c>
      <c r="K1" s="56" t="s">
        <v>10</v>
      </c>
      <c r="L1" s="56" t="s">
        <v>11</v>
      </c>
      <c r="M1" s="56" t="s">
        <v>12</v>
      </c>
      <c r="N1" s="56" t="s">
        <v>13</v>
      </c>
      <c r="O1" s="56" t="s">
        <v>14</v>
      </c>
      <c r="P1" s="56" t="s">
        <v>15</v>
      </c>
      <c r="Q1" s="56" t="s">
        <v>16</v>
      </c>
      <c r="R1" s="56" t="s">
        <v>17</v>
      </c>
      <c r="S1" s="56" t="s">
        <v>18</v>
      </c>
      <c r="T1" s="56" t="s">
        <v>19</v>
      </c>
      <c r="U1" s="56" t="s">
        <v>20</v>
      </c>
      <c r="V1" s="51" t="s">
        <v>21</v>
      </c>
    </row>
    <row r="2" spans="1:22" x14ac:dyDescent="0.25">
      <c r="A2">
        <v>1</v>
      </c>
      <c r="B2" t="s">
        <v>1069</v>
      </c>
      <c r="C2" t="str">
        <f t="array" ref="C2">_xlfn.IFS(ISNUMBER(SEARCH("M",PillaiyarKovil[[#This Row],[JANUARY]])),"M",PillaiyarKovil[[#This Row],[JANUARY]]="A","A",PillaiyarKovil[[#This Row],[JANUARY]]="","",PillaiyarKovil[[#This Row],[JANUARY]]&gt;=100,"P")</f>
        <v>P</v>
      </c>
      <c r="D2" t="s">
        <v>30</v>
      </c>
      <c r="E2" s="85" t="s">
        <v>1070</v>
      </c>
      <c r="F2" t="s">
        <v>1071</v>
      </c>
      <c r="H2" s="83">
        <v>200</v>
      </c>
      <c r="J2" s="83">
        <v>200</v>
      </c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4"/>
    </row>
    <row r="3" spans="1:22" x14ac:dyDescent="0.25">
      <c r="A3">
        <v>2</v>
      </c>
      <c r="B3" t="s">
        <v>1072</v>
      </c>
      <c r="C3" t="str">
        <f t="array" ref="C3">_xlfn.IFS(ISNUMBER(SEARCH("M",PillaiyarKovil[[#This Row],[JANUARY]])),"M",PillaiyarKovil[[#This Row],[JANUARY]]="A","A",PillaiyarKovil[[#This Row],[JANUARY]]="","",PillaiyarKovil[[#This Row],[JANUARY]]&gt;=100,"P")</f>
        <v>P</v>
      </c>
      <c r="D3" t="s">
        <v>23</v>
      </c>
      <c r="E3" s="85" t="s">
        <v>1073</v>
      </c>
      <c r="F3" t="s">
        <v>1074</v>
      </c>
      <c r="H3" s="83" t="s">
        <v>1075</v>
      </c>
      <c r="J3" s="83">
        <v>1000</v>
      </c>
      <c r="K3" s="83" t="s">
        <v>170</v>
      </c>
      <c r="L3" s="83" t="s">
        <v>170</v>
      </c>
      <c r="M3" s="83" t="s">
        <v>170</v>
      </c>
      <c r="N3" s="83" t="s">
        <v>170</v>
      </c>
      <c r="O3" s="83"/>
      <c r="P3" s="83"/>
      <c r="Q3" s="83"/>
      <c r="R3" s="83"/>
      <c r="S3" s="83"/>
      <c r="T3" s="83"/>
      <c r="U3" s="83"/>
      <c r="V3" s="84"/>
    </row>
    <row r="4" spans="1:22" x14ac:dyDescent="0.25">
      <c r="A4">
        <v>3</v>
      </c>
      <c r="B4" t="s">
        <v>1076</v>
      </c>
      <c r="C4" t="str">
        <f t="array" ref="C4">_xlfn.IFS(ISNUMBER(SEARCH("M",PillaiyarKovil[[#This Row],[JANUARY]])),"M",PillaiyarKovil[[#This Row],[JANUARY]]="A","A",PillaiyarKovil[[#This Row],[JANUARY]]="","",PillaiyarKovil[[#This Row],[JANUARY]]&gt;=100,"P")</f>
        <v>P</v>
      </c>
      <c r="D4" t="s">
        <v>30</v>
      </c>
      <c r="E4" s="85" t="s">
        <v>1077</v>
      </c>
      <c r="F4" t="s">
        <v>1078</v>
      </c>
      <c r="H4" s="83">
        <v>220</v>
      </c>
      <c r="J4" s="83">
        <v>220</v>
      </c>
      <c r="K4" s="83"/>
      <c r="L4" s="83"/>
      <c r="M4" s="83"/>
      <c r="N4" s="83"/>
      <c r="O4" s="83"/>
      <c r="P4" s="83"/>
      <c r="Q4" s="83"/>
      <c r="R4" s="83"/>
      <c r="S4" s="83"/>
      <c r="T4" s="83"/>
      <c r="U4" s="83"/>
      <c r="V4" s="84"/>
    </row>
    <row r="5" spans="1:22" x14ac:dyDescent="0.25">
      <c r="A5">
        <v>4</v>
      </c>
      <c r="B5" t="s">
        <v>1079</v>
      </c>
      <c r="C5" t="str">
        <f t="array" ref="C5">_xlfn.IFS(ISNUMBER(SEARCH("M",PillaiyarKovil[[#This Row],[JANUARY]])),"M",PillaiyarKovil[[#This Row],[JANUARY]]="A","A",PillaiyarKovil[[#This Row],[JANUARY]]="","",PillaiyarKovil[[#This Row],[JANUARY]]&gt;=100,"P")</f>
        <v>P</v>
      </c>
      <c r="D5" t="s">
        <v>23</v>
      </c>
      <c r="E5" s="85" t="s">
        <v>1080</v>
      </c>
      <c r="F5" t="s">
        <v>1081</v>
      </c>
      <c r="H5" s="83">
        <v>200</v>
      </c>
      <c r="J5" s="83">
        <v>200</v>
      </c>
      <c r="K5" s="83"/>
      <c r="L5" s="83"/>
      <c r="M5" s="83"/>
      <c r="N5" s="83"/>
      <c r="O5" s="83"/>
      <c r="P5" s="83"/>
      <c r="Q5" s="83"/>
      <c r="R5" s="83"/>
      <c r="S5" s="83"/>
      <c r="T5" s="83"/>
      <c r="U5" s="83"/>
      <c r="V5" s="84"/>
    </row>
    <row r="6" spans="1:22" x14ac:dyDescent="0.25">
      <c r="A6">
        <v>5</v>
      </c>
      <c r="B6" t="s">
        <v>1082</v>
      </c>
      <c r="C6" t="str">
        <f t="array" ref="C6">_xlfn.IFS(ISNUMBER(SEARCH("M",PillaiyarKovil[[#This Row],[JANUARY]])),"M",PillaiyarKovil[[#This Row],[JANUARY]]="A","A",PillaiyarKovil[[#This Row],[JANUARY]]="","",PillaiyarKovil[[#This Row],[JANUARY]]&gt;=100,"P")</f>
        <v>P</v>
      </c>
      <c r="D6" t="s">
        <v>30</v>
      </c>
      <c r="E6" s="85" t="s">
        <v>1083</v>
      </c>
      <c r="F6" t="s">
        <v>1084</v>
      </c>
      <c r="H6" s="83">
        <v>200</v>
      </c>
      <c r="J6" s="83">
        <v>200</v>
      </c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4"/>
    </row>
    <row r="7" spans="1:22" x14ac:dyDescent="0.25">
      <c r="A7">
        <v>6</v>
      </c>
      <c r="B7" t="s">
        <v>204</v>
      </c>
      <c r="C7" t="str">
        <f t="array" ref="C7">_xlfn.IFS(ISNUMBER(SEARCH("M",PillaiyarKovil[[#This Row],[JANUARY]])),"M",PillaiyarKovil[[#This Row],[JANUARY]]="A","A",PillaiyarKovil[[#This Row],[JANUARY]]="","",PillaiyarKovil[[#This Row],[JANUARY]]&gt;=100,"P")</f>
        <v>P</v>
      </c>
      <c r="D7" t="s">
        <v>23</v>
      </c>
      <c r="E7" s="85" t="s">
        <v>1085</v>
      </c>
      <c r="F7" t="s">
        <v>1086</v>
      </c>
      <c r="H7" s="83">
        <v>230</v>
      </c>
      <c r="J7" s="83">
        <v>220</v>
      </c>
      <c r="K7" s="83"/>
      <c r="L7" s="83"/>
      <c r="M7" s="83"/>
      <c r="N7" s="83"/>
      <c r="O7" s="83"/>
      <c r="P7" s="83"/>
      <c r="Q7" s="83"/>
      <c r="R7" s="83"/>
      <c r="S7" s="83"/>
      <c r="T7" s="83"/>
      <c r="U7" s="83"/>
      <c r="V7" s="84"/>
    </row>
    <row r="8" spans="1:22" x14ac:dyDescent="0.25">
      <c r="A8">
        <v>7</v>
      </c>
      <c r="B8" t="s">
        <v>890</v>
      </c>
      <c r="C8" t="str">
        <f t="array" ref="C8">_xlfn.IFS(ISNUMBER(SEARCH("M",PillaiyarKovil[[#This Row],[JANUARY]])),"M",PillaiyarKovil[[#This Row],[JANUARY]]="A","A",PillaiyarKovil[[#This Row],[JANUARY]]="","",PillaiyarKovil[[#This Row],[JANUARY]]&gt;=100,"P")</f>
        <v>P</v>
      </c>
      <c r="D8" t="s">
        <v>30</v>
      </c>
      <c r="E8" s="85" t="s">
        <v>1087</v>
      </c>
      <c r="F8" t="s">
        <v>1088</v>
      </c>
      <c r="H8" s="83">
        <v>200</v>
      </c>
      <c r="J8" s="83">
        <v>200</v>
      </c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4"/>
    </row>
    <row r="9" spans="1:22" x14ac:dyDescent="0.25">
      <c r="A9">
        <v>8</v>
      </c>
      <c r="B9" t="s">
        <v>1089</v>
      </c>
      <c r="C9" t="str">
        <f t="array" ref="C9">_xlfn.IFS(ISNUMBER(SEARCH("M",PillaiyarKovil[[#This Row],[JANUARY]])),"M",PillaiyarKovil[[#This Row],[JANUARY]]="A","A",PillaiyarKovil[[#This Row],[JANUARY]]="","",PillaiyarKovil[[#This Row],[JANUARY]]&gt;=100,"P")</f>
        <v>P</v>
      </c>
      <c r="D9" t="s">
        <v>51</v>
      </c>
      <c r="E9" s="85" t="s">
        <v>1090</v>
      </c>
      <c r="F9" t="s">
        <v>1091</v>
      </c>
      <c r="H9" s="83">
        <v>200</v>
      </c>
      <c r="J9" s="83">
        <v>200</v>
      </c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4"/>
    </row>
    <row r="10" spans="1:22" x14ac:dyDescent="0.25">
      <c r="A10">
        <v>9</v>
      </c>
      <c r="B10" t="s">
        <v>887</v>
      </c>
      <c r="C10" t="str">
        <f t="array" ref="C10">_xlfn.IFS(ISNUMBER(SEARCH("M",PillaiyarKovil[[#This Row],[JANUARY]])),"M",PillaiyarKovil[[#This Row],[JANUARY]]="A","A",PillaiyarKovil[[#This Row],[JANUARY]]="","",PillaiyarKovil[[#This Row],[JANUARY]]&gt;=100,"P")</f>
        <v>A</v>
      </c>
      <c r="D10" t="s">
        <v>36</v>
      </c>
      <c r="E10" s="85" t="s">
        <v>1092</v>
      </c>
      <c r="F10" t="s">
        <v>1093</v>
      </c>
      <c r="H10" s="83" t="s">
        <v>45</v>
      </c>
      <c r="J10" s="83" t="s">
        <v>45</v>
      </c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4"/>
    </row>
    <row r="11" spans="1:22" x14ac:dyDescent="0.25">
      <c r="A11">
        <v>10</v>
      </c>
      <c r="B11" t="s">
        <v>64</v>
      </c>
      <c r="C11" t="str">
        <f t="array" ref="C11">_xlfn.IFS(ISNUMBER(SEARCH("M",PillaiyarKovil[[#This Row],[JANUARY]])),"M",PillaiyarKovil[[#This Row],[JANUARY]]="A","A",PillaiyarKovil[[#This Row],[JANUARY]]="","",PillaiyarKovil[[#This Row],[JANUARY]]&gt;=100,"P")</f>
        <v>P</v>
      </c>
      <c r="D11" t="s">
        <v>23</v>
      </c>
      <c r="E11" s="85" t="s">
        <v>1094</v>
      </c>
      <c r="F11" t="s">
        <v>1095</v>
      </c>
      <c r="H11" s="83">
        <v>200</v>
      </c>
      <c r="J11" s="83">
        <v>200</v>
      </c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4"/>
    </row>
    <row r="12" spans="1:22" x14ac:dyDescent="0.25">
      <c r="A12">
        <v>11</v>
      </c>
      <c r="B12" t="s">
        <v>1096</v>
      </c>
      <c r="C12" t="str">
        <f t="array" ref="C12">_xlfn.IFS(ISNUMBER(SEARCH("M",PillaiyarKovil[[#This Row],[JANUARY]])),"M",PillaiyarKovil[[#This Row],[JANUARY]]="A","A",PillaiyarKovil[[#This Row],[JANUARY]]="","",PillaiyarKovil[[#This Row],[JANUARY]]&gt;=100,"P")</f>
        <v>P</v>
      </c>
      <c r="D12" t="s">
        <v>51</v>
      </c>
      <c r="E12" s="85" t="s">
        <v>1097</v>
      </c>
      <c r="F12" t="s">
        <v>1098</v>
      </c>
      <c r="H12" s="83">
        <v>200</v>
      </c>
      <c r="J12" s="83">
        <v>200</v>
      </c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4"/>
    </row>
    <row r="13" spans="1:22" x14ac:dyDescent="0.25">
      <c r="A13">
        <v>12</v>
      </c>
      <c r="B13" t="s">
        <v>1099</v>
      </c>
      <c r="C13" t="str">
        <f t="array" ref="C13">_xlfn.IFS(ISNUMBER(SEARCH("M",PillaiyarKovil[[#This Row],[JANUARY]])),"M",PillaiyarKovil[[#This Row],[JANUARY]]="A","A",PillaiyarKovil[[#This Row],[JANUARY]]="","",PillaiyarKovil[[#This Row],[JANUARY]]&gt;=100,"P")</f>
        <v>P</v>
      </c>
      <c r="D13" t="s">
        <v>36</v>
      </c>
      <c r="E13" s="85" t="s">
        <v>1100</v>
      </c>
      <c r="F13" t="s">
        <v>1101</v>
      </c>
      <c r="H13" s="83">
        <v>220</v>
      </c>
      <c r="J13" s="83">
        <v>220</v>
      </c>
      <c r="K13" s="83"/>
      <c r="L13" s="83"/>
      <c r="M13" s="83"/>
      <c r="N13" s="83"/>
      <c r="O13" s="83"/>
      <c r="P13" s="83"/>
      <c r="Q13" s="83"/>
      <c r="R13" s="83"/>
      <c r="S13" s="83"/>
      <c r="T13" s="83"/>
      <c r="U13" s="83"/>
      <c r="V13" s="84"/>
    </row>
    <row r="14" spans="1:22" x14ac:dyDescent="0.25">
      <c r="A14">
        <v>13</v>
      </c>
      <c r="B14" t="s">
        <v>1102</v>
      </c>
      <c r="C14" t="str">
        <f t="array" ref="C14">_xlfn.IFS(ISNUMBER(SEARCH("M",PillaiyarKovil[[#This Row],[JANUARY]])),"M",PillaiyarKovil[[#This Row],[JANUARY]]="A","A",PillaiyarKovil[[#This Row],[JANUARY]]="","",PillaiyarKovil[[#This Row],[JANUARY]]&gt;=100,"P")</f>
        <v>P</v>
      </c>
      <c r="D14" t="s">
        <v>36</v>
      </c>
      <c r="E14" s="85" t="s">
        <v>1103</v>
      </c>
      <c r="F14" s="85" t="s">
        <v>1104</v>
      </c>
      <c r="H14" s="83">
        <v>230</v>
      </c>
      <c r="J14" s="83">
        <v>230</v>
      </c>
      <c r="K14" s="83"/>
      <c r="L14" s="83"/>
      <c r="M14" s="83"/>
      <c r="N14" s="83"/>
      <c r="O14" s="83"/>
      <c r="P14" s="83"/>
      <c r="Q14" s="83"/>
      <c r="R14" s="83"/>
      <c r="S14" s="83"/>
      <c r="T14" s="83"/>
      <c r="U14" s="83"/>
      <c r="V14" s="84"/>
    </row>
    <row r="15" spans="1:22" x14ac:dyDescent="0.25">
      <c r="A15">
        <v>14</v>
      </c>
      <c r="B15" t="s">
        <v>1105</v>
      </c>
      <c r="C15" t="str">
        <f t="array" ref="C15">_xlfn.IFS(ISNUMBER(SEARCH("M",PillaiyarKovil[[#This Row],[JANUARY]])),"M",PillaiyarKovil[[#This Row],[JANUARY]]="A","A",PillaiyarKovil[[#This Row],[JANUARY]]="","",PillaiyarKovil[[#This Row],[JANUARY]]&gt;=100,"P")</f>
        <v>P</v>
      </c>
      <c r="D15" t="s">
        <v>51</v>
      </c>
      <c r="E15" s="85" t="s">
        <v>1106</v>
      </c>
      <c r="F15" t="s">
        <v>1107</v>
      </c>
      <c r="H15" s="83" t="s">
        <v>45</v>
      </c>
      <c r="J15" s="83">
        <v>200</v>
      </c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83"/>
      <c r="V15" s="84"/>
    </row>
    <row r="16" spans="1:22" x14ac:dyDescent="0.25">
      <c r="A16">
        <v>15</v>
      </c>
      <c r="B16" t="s">
        <v>1108</v>
      </c>
      <c r="C16" t="str">
        <f t="array" ref="C16">_xlfn.IFS(ISNUMBER(SEARCH("M",PillaiyarKovil[[#This Row],[JANUARY]])),"M",PillaiyarKovil[[#This Row],[JANUARY]]="A","A",PillaiyarKovil[[#This Row],[JANUARY]]="","",PillaiyarKovil[[#This Row],[JANUARY]]&gt;=100,"P")</f>
        <v>P</v>
      </c>
      <c r="D16" t="s">
        <v>30</v>
      </c>
      <c r="E16" s="85" t="s">
        <v>1109</v>
      </c>
      <c r="F16" t="s">
        <v>1110</v>
      </c>
      <c r="H16" s="83">
        <v>220</v>
      </c>
      <c r="J16" s="83">
        <v>220</v>
      </c>
      <c r="K16" s="83"/>
      <c r="L16" s="83"/>
      <c r="M16" s="83"/>
      <c r="N16" s="83"/>
      <c r="O16" s="83"/>
      <c r="P16" s="83"/>
      <c r="Q16" s="83"/>
      <c r="R16" s="83"/>
      <c r="S16" s="83"/>
      <c r="T16" s="83"/>
      <c r="U16" s="83"/>
      <c r="V16" s="84"/>
    </row>
    <row r="17" spans="1:22" x14ac:dyDescent="0.25">
      <c r="A17">
        <v>16</v>
      </c>
      <c r="B17" t="s">
        <v>1111</v>
      </c>
      <c r="C17" t="str">
        <f t="array" ref="C17">_xlfn.IFS(ISNUMBER(SEARCH("M",PillaiyarKovil[[#This Row],[JANUARY]])),"M",PillaiyarKovil[[#This Row],[JANUARY]]="A","A",PillaiyarKovil[[#This Row],[JANUARY]]="","",PillaiyarKovil[[#This Row],[JANUARY]]&gt;=100,"P")</f>
        <v>P</v>
      </c>
      <c r="D17" t="s">
        <v>23</v>
      </c>
      <c r="E17" s="85" t="s">
        <v>1112</v>
      </c>
      <c r="F17" t="s">
        <v>1113</v>
      </c>
      <c r="H17" s="83">
        <v>200</v>
      </c>
      <c r="J17" s="83">
        <v>200</v>
      </c>
      <c r="K17" s="83"/>
      <c r="L17" s="83"/>
      <c r="M17" s="83"/>
      <c r="N17" s="83"/>
      <c r="O17" s="83"/>
      <c r="P17" s="83"/>
      <c r="Q17" s="83"/>
      <c r="R17" s="83"/>
      <c r="S17" s="83"/>
      <c r="T17" s="83"/>
      <c r="U17" s="83"/>
      <c r="V17" s="84"/>
    </row>
    <row r="18" spans="1:22" x14ac:dyDescent="0.25">
      <c r="A18">
        <v>17</v>
      </c>
      <c r="B18" t="s">
        <v>1114</v>
      </c>
      <c r="C18" t="str">
        <f t="array" ref="C18">_xlfn.IFS(ISNUMBER(SEARCH("M",PillaiyarKovil[[#This Row],[JANUARY]])),"M",PillaiyarKovil[[#This Row],[JANUARY]]="A","A",PillaiyarKovil[[#This Row],[JANUARY]]="","",PillaiyarKovil[[#This Row],[JANUARY]]&gt;=100,"P")</f>
        <v>P</v>
      </c>
      <c r="D18" t="s">
        <v>707</v>
      </c>
      <c r="E18" s="85" t="s">
        <v>1115</v>
      </c>
      <c r="F18" t="s">
        <v>1116</v>
      </c>
      <c r="H18" s="83">
        <v>200</v>
      </c>
      <c r="J18" s="83">
        <v>200</v>
      </c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4"/>
    </row>
    <row r="19" spans="1:22" x14ac:dyDescent="0.25">
      <c r="A19">
        <v>18</v>
      </c>
      <c r="B19" t="s">
        <v>1117</v>
      </c>
      <c r="C19" t="str">
        <f t="array" ref="C19">_xlfn.IFS(ISNUMBER(SEARCH("M",PillaiyarKovil[[#This Row],[JANUARY]])),"M",PillaiyarKovil[[#This Row],[JANUARY]]="A","A",PillaiyarKovil[[#This Row],[JANUARY]]="","",PillaiyarKovil[[#This Row],[JANUARY]]&gt;=100,"P")</f>
        <v>P</v>
      </c>
      <c r="D19" t="s">
        <v>51</v>
      </c>
      <c r="E19" s="85" t="s">
        <v>1118</v>
      </c>
      <c r="F19" t="s">
        <v>1119</v>
      </c>
      <c r="H19" s="83">
        <v>200</v>
      </c>
      <c r="J19" s="83">
        <v>200</v>
      </c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3"/>
      <c r="V19" s="84"/>
    </row>
    <row r="20" spans="1:22" x14ac:dyDescent="0.25">
      <c r="A20">
        <v>19</v>
      </c>
      <c r="B20" t="s">
        <v>1120</v>
      </c>
      <c r="C20" t="str">
        <f t="array" ref="C20">_xlfn.IFS(ISNUMBER(SEARCH("M",PillaiyarKovil[[#This Row],[JANUARY]])),"M",PillaiyarKovil[[#This Row],[JANUARY]]="A","A",PillaiyarKovil[[#This Row],[JANUARY]]="","",PillaiyarKovil[[#This Row],[JANUARY]]&gt;=100,"P")</f>
        <v>P</v>
      </c>
      <c r="D20" t="s">
        <v>30</v>
      </c>
      <c r="E20" s="85" t="s">
        <v>1121</v>
      </c>
      <c r="F20" t="s">
        <v>1122</v>
      </c>
      <c r="H20" s="83">
        <v>200</v>
      </c>
      <c r="J20" s="83">
        <v>200</v>
      </c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4"/>
    </row>
    <row r="21" spans="1:22" x14ac:dyDescent="0.25">
      <c r="A21">
        <v>20</v>
      </c>
      <c r="B21" t="s">
        <v>1123</v>
      </c>
      <c r="C21" t="str">
        <f t="array" ref="C21">_xlfn.IFS(ISNUMBER(SEARCH("M",PillaiyarKovil[[#This Row],[JANUARY]])),"M",PillaiyarKovil[[#This Row],[JANUARY]]="A","A",PillaiyarKovil[[#This Row],[JANUARY]]="","",PillaiyarKovil[[#This Row],[JANUARY]]&gt;=100,"P")</f>
        <v>P</v>
      </c>
      <c r="D21" t="s">
        <v>30</v>
      </c>
      <c r="E21" s="85" t="s">
        <v>1124</v>
      </c>
      <c r="F21" t="s">
        <v>1125</v>
      </c>
      <c r="H21" s="83">
        <v>230</v>
      </c>
      <c r="J21" s="83">
        <v>200</v>
      </c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4"/>
    </row>
    <row r="22" spans="1:22" x14ac:dyDescent="0.25">
      <c r="A22">
        <v>21</v>
      </c>
      <c r="B22" t="s">
        <v>857</v>
      </c>
      <c r="C22" t="str">
        <f t="array" ref="C22">_xlfn.IFS(ISNUMBER(SEARCH("M",PillaiyarKovil[[#This Row],[JANUARY]])),"M",PillaiyarKovil[[#This Row],[JANUARY]]="A","A",PillaiyarKovil[[#This Row],[JANUARY]]="","",PillaiyarKovil[[#This Row],[JANUARY]]&gt;=100,"P")</f>
        <v>P</v>
      </c>
      <c r="D22" t="s">
        <v>30</v>
      </c>
      <c r="E22" s="85" t="s">
        <v>1126</v>
      </c>
      <c r="F22" t="s">
        <v>1127</v>
      </c>
      <c r="H22" s="83">
        <v>220</v>
      </c>
      <c r="J22" s="83">
        <v>220</v>
      </c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4"/>
    </row>
    <row r="23" spans="1:22" x14ac:dyDescent="0.25">
      <c r="A23">
        <v>22</v>
      </c>
      <c r="B23" t="s">
        <v>642</v>
      </c>
      <c r="C23" t="str">
        <f t="array" ref="C23">_xlfn.IFS(ISNUMBER(SEARCH("M",PillaiyarKovil[[#This Row],[JANUARY]])),"M",PillaiyarKovil[[#This Row],[JANUARY]]="A","A",PillaiyarKovil[[#This Row],[JANUARY]]="","",PillaiyarKovil[[#This Row],[JANUARY]]&gt;=100,"P")</f>
        <v>P</v>
      </c>
      <c r="D23" t="s">
        <v>36</v>
      </c>
      <c r="E23" s="85" t="s">
        <v>1128</v>
      </c>
      <c r="F23" s="85" t="s">
        <v>1129</v>
      </c>
      <c r="H23" s="83">
        <v>220</v>
      </c>
      <c r="J23" s="83">
        <v>200</v>
      </c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4"/>
    </row>
    <row r="24" spans="1:22" x14ac:dyDescent="0.25">
      <c r="A24">
        <v>23</v>
      </c>
      <c r="B24" t="s">
        <v>1130</v>
      </c>
      <c r="C24" t="str">
        <f t="array" ref="C24">_xlfn.IFS(ISNUMBER(SEARCH("M",PillaiyarKovil[[#This Row],[JANUARY]])),"M",PillaiyarKovil[[#This Row],[JANUARY]]="A","A",PillaiyarKovil[[#This Row],[JANUARY]]="","",PillaiyarKovil[[#This Row],[JANUARY]]&gt;=100,"P")</f>
        <v>P</v>
      </c>
      <c r="D24" t="s">
        <v>30</v>
      </c>
      <c r="E24" s="85" t="s">
        <v>1131</v>
      </c>
      <c r="F24" t="s">
        <v>1132</v>
      </c>
      <c r="H24" s="83">
        <v>200</v>
      </c>
      <c r="J24" s="83">
        <v>200</v>
      </c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4"/>
    </row>
    <row r="25" spans="1:22" x14ac:dyDescent="0.25">
      <c r="A25">
        <v>24</v>
      </c>
      <c r="B25" t="s">
        <v>1133</v>
      </c>
      <c r="C25" t="str">
        <f t="array" ref="C25">_xlfn.IFS(ISNUMBER(SEARCH("M",PillaiyarKovil[[#This Row],[JANUARY]])),"M",PillaiyarKovil[[#This Row],[JANUARY]]="A","A",PillaiyarKovil[[#This Row],[JANUARY]]="","",PillaiyarKovil[[#This Row],[JANUARY]]&gt;=100,"P")</f>
        <v>P</v>
      </c>
      <c r="D25" t="s">
        <v>30</v>
      </c>
      <c r="E25" s="85" t="s">
        <v>1134</v>
      </c>
      <c r="F25" t="s">
        <v>1135</v>
      </c>
      <c r="H25" s="83">
        <v>220</v>
      </c>
      <c r="J25" s="83">
        <v>220</v>
      </c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4"/>
    </row>
    <row r="26" spans="1:22" x14ac:dyDescent="0.25">
      <c r="A26">
        <v>25</v>
      </c>
      <c r="B26" t="s">
        <v>307</v>
      </c>
      <c r="C26" t="str">
        <f t="array" ref="C26">_xlfn.IFS(ISNUMBER(SEARCH("M",PillaiyarKovil[[#This Row],[JANUARY]])),"M",PillaiyarKovil[[#This Row],[JANUARY]]="A","A",PillaiyarKovil[[#This Row],[JANUARY]]="","",PillaiyarKovil[[#This Row],[JANUARY]]&gt;=100,"P")</f>
        <v>P</v>
      </c>
      <c r="D26" t="s">
        <v>36</v>
      </c>
      <c r="E26" s="85" t="s">
        <v>1136</v>
      </c>
      <c r="F26" t="s">
        <v>1137</v>
      </c>
      <c r="H26" s="83">
        <v>200</v>
      </c>
      <c r="J26" s="83">
        <v>200</v>
      </c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4"/>
    </row>
    <row r="27" spans="1:22" x14ac:dyDescent="0.25">
      <c r="A27">
        <v>26</v>
      </c>
      <c r="B27" t="s">
        <v>758</v>
      </c>
      <c r="C27" t="str">
        <f t="array" ref="C27">_xlfn.IFS(ISNUMBER(SEARCH("M",PillaiyarKovil[[#This Row],[JANUARY]])),"M",PillaiyarKovil[[#This Row],[JANUARY]]="A","A",PillaiyarKovil[[#This Row],[JANUARY]]="","",PillaiyarKovil[[#This Row],[JANUARY]]&gt;=100,"P")</f>
        <v>P</v>
      </c>
      <c r="D27" t="s">
        <v>30</v>
      </c>
      <c r="E27" s="85" t="s">
        <v>1138</v>
      </c>
      <c r="F27" t="s">
        <v>1139</v>
      </c>
      <c r="H27" s="83">
        <v>220</v>
      </c>
      <c r="J27" s="83">
        <v>230</v>
      </c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4"/>
    </row>
    <row r="28" spans="1:22" x14ac:dyDescent="0.25">
      <c r="A28">
        <v>27</v>
      </c>
      <c r="B28" t="s">
        <v>1140</v>
      </c>
      <c r="C28" t="str">
        <f t="array" ref="C28">_xlfn.IFS(ISNUMBER(SEARCH("M",PillaiyarKovil[[#This Row],[JANUARY]])),"M",PillaiyarKovil[[#This Row],[JANUARY]]="A","A",PillaiyarKovil[[#This Row],[JANUARY]]="","",PillaiyarKovil[[#This Row],[JANUARY]]&gt;=100,"P")</f>
        <v>P</v>
      </c>
      <c r="D28" t="s">
        <v>36</v>
      </c>
      <c r="E28" s="85" t="s">
        <v>1141</v>
      </c>
      <c r="F28" t="s">
        <v>1142</v>
      </c>
      <c r="H28" s="83">
        <v>220</v>
      </c>
      <c r="J28" s="83">
        <v>230</v>
      </c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4"/>
    </row>
    <row r="29" spans="1:22" x14ac:dyDescent="0.25">
      <c r="A29">
        <v>28</v>
      </c>
      <c r="B29" s="60" t="s">
        <v>1143</v>
      </c>
      <c r="C29" t="str">
        <f t="array" ref="C29">_xlfn.IFS(ISNUMBER(SEARCH("M",PillaiyarKovil[[#This Row],[JANUARY]])),"M",PillaiyarKovil[[#This Row],[JANUARY]]="A","A",PillaiyarKovil[[#This Row],[JANUARY]]="","",PillaiyarKovil[[#This Row],[JANUARY]]&gt;=100,"P")</f>
        <v/>
      </c>
      <c r="E29" s="85" t="s">
        <v>1144</v>
      </c>
      <c r="F29" s="85" t="s">
        <v>1145</v>
      </c>
      <c r="H29" s="83" t="s">
        <v>49</v>
      </c>
      <c r="I29" s="84">
        <v>460</v>
      </c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4"/>
    </row>
    <row r="30" spans="1:22" x14ac:dyDescent="0.25">
      <c r="A30">
        <v>29</v>
      </c>
      <c r="B30" t="s">
        <v>1146</v>
      </c>
      <c r="C30" t="str">
        <f t="array" ref="C30">_xlfn.IFS(ISNUMBER(SEARCH("M",PillaiyarKovil[[#This Row],[JANUARY]])),"M",PillaiyarKovil[[#This Row],[JANUARY]]="A","A",PillaiyarKovil[[#This Row],[JANUARY]]="","",PillaiyarKovil[[#This Row],[JANUARY]]&gt;=100,"P")</f>
        <v>P</v>
      </c>
      <c r="D30" t="s">
        <v>51</v>
      </c>
      <c r="E30" s="85" t="s">
        <v>1147</v>
      </c>
      <c r="F30" t="s">
        <v>1148</v>
      </c>
      <c r="H30" s="83">
        <v>200</v>
      </c>
      <c r="J30" s="83">
        <v>200</v>
      </c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4"/>
    </row>
    <row r="31" spans="1:22" x14ac:dyDescent="0.25">
      <c r="A31">
        <v>30</v>
      </c>
      <c r="B31" t="s">
        <v>1149</v>
      </c>
      <c r="C31" t="str">
        <f t="array" ref="C31">_xlfn.IFS(ISNUMBER(SEARCH("M",PillaiyarKovil[[#This Row],[JANUARY]])),"M",PillaiyarKovil[[#This Row],[JANUARY]]="A","A",PillaiyarKovil[[#This Row],[JANUARY]]="","",PillaiyarKovil[[#This Row],[JANUARY]]&gt;=100,"P")</f>
        <v>P</v>
      </c>
      <c r="D31" t="s">
        <v>23</v>
      </c>
      <c r="E31" s="85" t="s">
        <v>1150</v>
      </c>
      <c r="F31" t="s">
        <v>1151</v>
      </c>
      <c r="H31" s="83">
        <v>200</v>
      </c>
      <c r="J31" s="83">
        <v>200</v>
      </c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4"/>
    </row>
    <row r="32" spans="1:22" x14ac:dyDescent="0.25">
      <c r="A32">
        <v>31</v>
      </c>
      <c r="B32" t="s">
        <v>1152</v>
      </c>
      <c r="C32" t="str">
        <f t="array" ref="C32">_xlfn.IFS(ISNUMBER(SEARCH("M",PillaiyarKovil[[#This Row],[JANUARY]])),"M",PillaiyarKovil[[#This Row],[JANUARY]]="A","A",PillaiyarKovil[[#This Row],[JANUARY]]="","",PillaiyarKovil[[#This Row],[JANUARY]]&gt;=100,"P")</f>
        <v>M</v>
      </c>
      <c r="D32" t="s">
        <v>30</v>
      </c>
      <c r="E32" s="85" t="s">
        <v>1153</v>
      </c>
      <c r="F32" t="s">
        <v>1154</v>
      </c>
      <c r="H32" s="83">
        <v>200</v>
      </c>
      <c r="I32" s="84">
        <v>200</v>
      </c>
      <c r="J32" s="83" t="s">
        <v>49</v>
      </c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4"/>
    </row>
    <row r="33" spans="1:22" x14ac:dyDescent="0.25">
      <c r="A33">
        <v>32</v>
      </c>
      <c r="B33" t="s">
        <v>1155</v>
      </c>
      <c r="C33" t="str">
        <f t="array" ref="C33">_xlfn.IFS(ISNUMBER(SEARCH("M",PillaiyarKovil[[#This Row],[JANUARY]])),"M",PillaiyarKovil[[#This Row],[JANUARY]]="A","A",PillaiyarKovil[[#This Row],[JANUARY]]="","",PillaiyarKovil[[#This Row],[JANUARY]]&gt;=100,"P")</f>
        <v>P</v>
      </c>
      <c r="D33" t="s">
        <v>36</v>
      </c>
      <c r="E33" s="85" t="s">
        <v>1156</v>
      </c>
      <c r="F33" t="s">
        <v>1157</v>
      </c>
      <c r="H33" s="83">
        <v>230</v>
      </c>
      <c r="J33" s="83">
        <v>230</v>
      </c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4"/>
    </row>
    <row r="34" spans="1:22" x14ac:dyDescent="0.25">
      <c r="A34">
        <v>33</v>
      </c>
      <c r="B34" t="s">
        <v>333</v>
      </c>
      <c r="C34" t="str">
        <f t="array" ref="C34">_xlfn.IFS(ISNUMBER(SEARCH("M",PillaiyarKovil[[#This Row],[JANUARY]])),"M",PillaiyarKovil[[#This Row],[JANUARY]]="A","A",PillaiyarKovil[[#This Row],[JANUARY]]="","",PillaiyarKovil[[#This Row],[JANUARY]]&gt;=100,"P")</f>
        <v/>
      </c>
      <c r="E34" s="85" t="s">
        <v>1158</v>
      </c>
      <c r="F34" s="85" t="s">
        <v>1159</v>
      </c>
      <c r="H34" s="83" t="s">
        <v>1160</v>
      </c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4"/>
    </row>
    <row r="35" spans="1:22" x14ac:dyDescent="0.25">
      <c r="A35">
        <v>34</v>
      </c>
      <c r="B35" t="s">
        <v>1161</v>
      </c>
      <c r="C35" t="str">
        <f t="array" ref="C35">_xlfn.IFS(ISNUMBER(SEARCH("M",PillaiyarKovil[[#This Row],[JANUARY]])),"M",PillaiyarKovil[[#This Row],[JANUARY]]="A","A",PillaiyarKovil[[#This Row],[JANUARY]]="","",PillaiyarKovil[[#This Row],[JANUARY]]&gt;=100,"P")</f>
        <v>P</v>
      </c>
      <c r="D35" t="s">
        <v>51</v>
      </c>
      <c r="E35" s="85" t="s">
        <v>1162</v>
      </c>
      <c r="F35" t="s">
        <v>1163</v>
      </c>
      <c r="H35" s="83">
        <v>200</v>
      </c>
      <c r="J35" s="83">
        <v>200</v>
      </c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4"/>
    </row>
    <row r="36" spans="1:22" x14ac:dyDescent="0.25">
      <c r="A36">
        <v>35</v>
      </c>
      <c r="B36" t="s">
        <v>50</v>
      </c>
      <c r="C36" t="str">
        <f t="array" ref="C36">_xlfn.IFS(ISNUMBER(SEARCH("M",PillaiyarKovil[[#This Row],[JANUARY]])),"M",PillaiyarKovil[[#This Row],[JANUARY]]="A","A",PillaiyarKovil[[#This Row],[JANUARY]]="","",PillaiyarKovil[[#This Row],[JANUARY]]&gt;=100,"P")</f>
        <v>P</v>
      </c>
      <c r="D36" t="s">
        <v>30</v>
      </c>
      <c r="E36" s="85" t="s">
        <v>1164</v>
      </c>
      <c r="F36" t="s">
        <v>1165</v>
      </c>
      <c r="H36" s="83" t="s">
        <v>2588</v>
      </c>
      <c r="J36" s="83">
        <v>440</v>
      </c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4"/>
    </row>
    <row r="37" spans="1:22" ht="15.75" customHeight="1" x14ac:dyDescent="0.25">
      <c r="A37">
        <v>36</v>
      </c>
      <c r="B37" t="s">
        <v>1166</v>
      </c>
      <c r="C37" t="str">
        <f t="array" ref="C37">_xlfn.IFS(ISNUMBER(SEARCH("M",PillaiyarKovil[[#This Row],[JANUARY]])),"M",PillaiyarKovil[[#This Row],[JANUARY]]="A","A",PillaiyarKovil[[#This Row],[JANUARY]]="","",PillaiyarKovil[[#This Row],[JANUARY]]&gt;=100,"P")</f>
        <v>P</v>
      </c>
      <c r="D37" t="s">
        <v>36</v>
      </c>
      <c r="E37" s="85" t="s">
        <v>1167</v>
      </c>
      <c r="F37" t="s">
        <v>1168</v>
      </c>
      <c r="H37" s="83">
        <v>220</v>
      </c>
      <c r="J37" s="83">
        <v>220</v>
      </c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4"/>
    </row>
    <row r="38" spans="1:22" x14ac:dyDescent="0.25">
      <c r="A38">
        <v>37</v>
      </c>
      <c r="B38" t="s">
        <v>1169</v>
      </c>
      <c r="C38" t="str">
        <f t="array" ref="C38">_xlfn.IFS(ISNUMBER(SEARCH("M",PillaiyarKovil[[#This Row],[JANUARY]])),"M",PillaiyarKovil[[#This Row],[JANUARY]]="A","A",PillaiyarKovil[[#This Row],[JANUARY]]="","",PillaiyarKovil[[#This Row],[JANUARY]]&gt;=100,"P")</f>
        <v>P</v>
      </c>
      <c r="D38" t="s">
        <v>36</v>
      </c>
      <c r="E38" s="85" t="s">
        <v>1170</v>
      </c>
      <c r="F38" t="s">
        <v>1171</v>
      </c>
      <c r="H38" s="83">
        <v>220</v>
      </c>
      <c r="J38" s="83">
        <v>220</v>
      </c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4"/>
    </row>
    <row r="39" spans="1:22" x14ac:dyDescent="0.25">
      <c r="A39">
        <v>38</v>
      </c>
      <c r="B39" t="s">
        <v>1172</v>
      </c>
      <c r="C39" t="str">
        <f t="array" ref="C39">_xlfn.IFS(ISNUMBER(SEARCH("M",PillaiyarKovil[[#This Row],[JANUARY]])),"M",PillaiyarKovil[[#This Row],[JANUARY]]="A","A",PillaiyarKovil[[#This Row],[JANUARY]]="","",PillaiyarKovil[[#This Row],[JANUARY]]&gt;=100,"P")</f>
        <v>P</v>
      </c>
      <c r="D39" t="s">
        <v>131</v>
      </c>
      <c r="E39" s="85" t="s">
        <v>1173</v>
      </c>
      <c r="F39" t="s">
        <v>1174</v>
      </c>
      <c r="H39" s="83">
        <v>200</v>
      </c>
      <c r="I39" s="84">
        <v>200</v>
      </c>
      <c r="J39" s="83">
        <v>200</v>
      </c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4"/>
    </row>
    <row r="40" spans="1:22" ht="15" customHeight="1" x14ac:dyDescent="0.25">
      <c r="A40">
        <v>39</v>
      </c>
      <c r="B40" t="s">
        <v>1175</v>
      </c>
      <c r="C40" t="str">
        <f t="array" ref="C40">_xlfn.IFS(ISNUMBER(SEARCH("M",PillaiyarKovil[[#This Row],[JANUARY]])),"M",PillaiyarKovil[[#This Row],[JANUARY]]="A","A",PillaiyarKovil[[#This Row],[JANUARY]]="","",PillaiyarKovil[[#This Row],[JANUARY]]&gt;=100,"P")</f>
        <v>P</v>
      </c>
      <c r="D40" t="s">
        <v>1176</v>
      </c>
      <c r="E40" s="85" t="s">
        <v>1177</v>
      </c>
      <c r="F40" t="s">
        <v>1178</v>
      </c>
      <c r="H40" s="83">
        <v>240</v>
      </c>
      <c r="J40" s="83">
        <v>230</v>
      </c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4"/>
    </row>
    <row r="41" spans="1:22" ht="16.5" customHeight="1" x14ac:dyDescent="0.25">
      <c r="A41">
        <v>40</v>
      </c>
      <c r="B41" t="s">
        <v>1179</v>
      </c>
      <c r="C41" t="str">
        <f t="array" ref="C41">_xlfn.IFS(ISNUMBER(SEARCH("M",PillaiyarKovil[[#This Row],[JANUARY]])),"M",PillaiyarKovil[[#This Row],[JANUARY]]="A","A",PillaiyarKovil[[#This Row],[JANUARY]]="","",PillaiyarKovil[[#This Row],[JANUARY]]&gt;=100,"P")</f>
        <v>P</v>
      </c>
      <c r="D41" t="s">
        <v>1180</v>
      </c>
      <c r="E41" s="85" t="s">
        <v>1181</v>
      </c>
      <c r="F41" t="s">
        <v>1182</v>
      </c>
      <c r="H41" s="83" t="s">
        <v>80</v>
      </c>
      <c r="J41" s="83" t="s">
        <v>1183</v>
      </c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 t="s">
        <v>1184</v>
      </c>
    </row>
    <row r="42" spans="1:22" x14ac:dyDescent="0.25">
      <c r="A42">
        <v>41</v>
      </c>
      <c r="B42" t="s">
        <v>1185</v>
      </c>
      <c r="C42" t="str">
        <f t="array" ref="C42">_xlfn.IFS(ISNUMBER(SEARCH("M",PillaiyarKovil[[#This Row],[JANUARY]])),"M",PillaiyarKovil[[#This Row],[JANUARY]]="A","A",PillaiyarKovil[[#This Row],[JANUARY]]="","",PillaiyarKovil[[#This Row],[JANUARY]]&gt;=100,"P")</f>
        <v>P</v>
      </c>
      <c r="D42" t="s">
        <v>36</v>
      </c>
      <c r="E42" s="85" t="s">
        <v>1186</v>
      </c>
      <c r="F42" s="85" t="s">
        <v>1187</v>
      </c>
      <c r="H42" s="83">
        <v>230</v>
      </c>
      <c r="J42" s="83">
        <v>230</v>
      </c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4"/>
    </row>
    <row r="43" spans="1:22" x14ac:dyDescent="0.25">
      <c r="A43" s="93">
        <v>42</v>
      </c>
      <c r="B43" s="93" t="s">
        <v>2580</v>
      </c>
      <c r="C43" s="93" t="str" cm="1">
        <f t="array" ref="C43">_xlfn.IFS(ISNUMBER(SEARCH("M",PillaiyarKovil[[#This Row],[JANUARY]])),"M",PillaiyarKovil[[#This Row],[JANUARY]]="A","A",PillaiyarKovil[[#This Row],[JANUARY]]="","",PillaiyarKovil[[#This Row],[JANUARY]]&gt;=100,"P")</f>
        <v>P</v>
      </c>
      <c r="D43" s="93" t="s">
        <v>131</v>
      </c>
      <c r="E43" s="85" t="s">
        <v>922</v>
      </c>
      <c r="F43" s="85"/>
      <c r="H43" s="83"/>
      <c r="J43" s="83" t="s">
        <v>2572</v>
      </c>
      <c r="K43" s="83" t="s">
        <v>2570</v>
      </c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4"/>
    </row>
    <row r="44" spans="1:22" s="8" customFormat="1" ht="15.75" customHeight="1" x14ac:dyDescent="0.25">
      <c r="A44" s="8" t="s">
        <v>246</v>
      </c>
      <c r="C44" s="8">
        <f>COUNTIF(C2:C43, "&gt;=a")</f>
        <v>40</v>
      </c>
      <c r="D44" s="8">
        <f>SUBTOTAL(103,PillaiyarKovil[Package])</f>
        <v>40</v>
      </c>
      <c r="E44" s="8">
        <f>SUBTOTAL(103,PillaiyarKovil[Box No])</f>
        <v>42</v>
      </c>
      <c r="F44" s="8">
        <f>SUBTOTAL(103,PillaiyarKovil[CAF_ID])</f>
        <v>41</v>
      </c>
      <c r="G44" s="92"/>
      <c r="H44" s="28">
        <f>SUBTOTAL(109,PillaiyarKovil[Dec-20])</f>
        <v>7190</v>
      </c>
      <c r="I44" s="28">
        <f>SUBTOTAL(109,PillaiyarKovil[BALANCE])</f>
        <v>860</v>
      </c>
      <c r="J44" s="28">
        <f>SUBTOTAL(109,PillaiyarKovil[JANUARY])</f>
        <v>8580</v>
      </c>
      <c r="K44" s="28">
        <f>SUBTOTAL(109,PillaiyarKovil[FEBEUARY])</f>
        <v>0</v>
      </c>
      <c r="L44" s="28">
        <f>SUBTOTAL(109,PillaiyarKovil[MARCH])</f>
        <v>0</v>
      </c>
      <c r="M44" s="28">
        <f>SUBTOTAL(109,PillaiyarKovil[APRIL])</f>
        <v>0</v>
      </c>
      <c r="N44" s="28">
        <f>SUBTOTAL(109,PillaiyarKovil[MAY])</f>
        <v>0</v>
      </c>
      <c r="O44" s="28">
        <f>SUBTOTAL(109,PillaiyarKovil[JUNE])</f>
        <v>0</v>
      </c>
      <c r="P44" s="28">
        <f>SUBTOTAL(109,PillaiyarKovil[JULY])</f>
        <v>0</v>
      </c>
      <c r="Q44" s="28">
        <f>SUBTOTAL(109,PillaiyarKovil[AUGUST])</f>
        <v>0</v>
      </c>
      <c r="R44" s="28">
        <f>SUBTOTAL(109,PillaiyarKovil[SEPTEMBER])</f>
        <v>0</v>
      </c>
      <c r="S44" s="28">
        <f>SUBTOTAL(109,PillaiyarKovil[OCTOBER])</f>
        <v>0</v>
      </c>
      <c r="T44" s="28">
        <f>SUBTOTAL(109,PillaiyarKovil[NOVEMBER])</f>
        <v>0</v>
      </c>
      <c r="U44" s="28"/>
    </row>
    <row r="45" spans="1:22" x14ac:dyDescent="0.25">
      <c r="A45" s="8"/>
      <c r="B45" s="8"/>
      <c r="C45" s="8"/>
      <c r="D45" s="80"/>
      <c r="E45" s="85"/>
      <c r="F45" s="85"/>
      <c r="U45" s="8"/>
      <c r="V45" s="8"/>
    </row>
    <row r="46" spans="1:22" ht="16.5" customHeight="1" x14ac:dyDescent="0.25">
      <c r="B46" s="9" t="s">
        <v>247</v>
      </c>
      <c r="C46" s="19">
        <f>COUNTIF(C2:C43,"P")</f>
        <v>38</v>
      </c>
    </row>
    <row r="47" spans="1:22" x14ac:dyDescent="0.25">
      <c r="B47" s="18" t="s">
        <v>248</v>
      </c>
      <c r="C47" s="20">
        <f>COUNTIF(C2:C43,"M")</f>
        <v>1</v>
      </c>
    </row>
    <row r="48" spans="1:22" ht="15.75" customHeight="1" x14ac:dyDescent="0.25">
      <c r="B48" s="10" t="s">
        <v>249</v>
      </c>
      <c r="C48" s="21">
        <f>COUNTIF(C2:C43,"A")</f>
        <v>1</v>
      </c>
    </row>
    <row r="49" spans="2:4" ht="15.75" customHeight="1" thickBot="1" x14ac:dyDescent="0.3">
      <c r="B49" s="17" t="s">
        <v>250</v>
      </c>
      <c r="C49" s="17">
        <f>SUM(C46:C48)</f>
        <v>40</v>
      </c>
    </row>
    <row r="50" spans="2:4" ht="15.75" customHeight="1" thickTop="1" x14ac:dyDescent="0.25">
      <c r="D50" s="12"/>
    </row>
    <row r="51" spans="2:4" ht="15.75" customHeight="1" x14ac:dyDescent="0.25"/>
  </sheetData>
  <phoneticPr fontId="35" type="noConversion"/>
  <conditionalFormatting sqref="B46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92D050"/>
  </sheetPr>
  <dimension ref="A1:V36"/>
  <sheetViews>
    <sheetView zoomScale="115" zoomScaleNormal="115" workbookViewId="0">
      <selection activeCell="I8" sqref="I8"/>
    </sheetView>
  </sheetViews>
  <sheetFormatPr defaultRowHeight="15" x14ac:dyDescent="0.25"/>
  <cols>
    <col min="1" max="1" width="5.5703125" style="87" customWidth="1"/>
    <col min="2" max="2" width="19.85546875" style="87" customWidth="1"/>
    <col min="3" max="3" width="7.7109375" style="87" customWidth="1"/>
    <col min="4" max="4" width="29.7109375" style="87" customWidth="1"/>
    <col min="5" max="5" width="22.85546875" style="87" customWidth="1"/>
    <col min="7" max="7" width="11.28515625" style="85" customWidth="1"/>
    <col min="8" max="12" width="11.85546875" style="61" customWidth="1"/>
    <col min="13" max="13" width="11.85546875" style="62" customWidth="1"/>
    <col min="14" max="18" width="11.85546875" style="86" customWidth="1"/>
    <col min="19" max="21" width="11.85546875" style="61" customWidth="1"/>
    <col min="22" max="22" width="40.140625" style="87" customWidth="1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5" t="s">
        <v>8</v>
      </c>
      <c r="I1" s="13" t="s">
        <v>7</v>
      </c>
      <c r="J1" s="83" t="s">
        <v>9</v>
      </c>
      <c r="K1" s="61" t="s">
        <v>10</v>
      </c>
      <c r="L1" s="61" t="s">
        <v>11</v>
      </c>
      <c r="M1" s="61" t="s">
        <v>12</v>
      </c>
      <c r="N1" s="61" t="s">
        <v>13</v>
      </c>
      <c r="O1" s="62" t="s">
        <v>14</v>
      </c>
      <c r="P1" s="86" t="s">
        <v>15</v>
      </c>
      <c r="Q1" s="86" t="s">
        <v>16</v>
      </c>
      <c r="R1" s="86" t="s">
        <v>17</v>
      </c>
      <c r="S1" s="86" t="s">
        <v>18</v>
      </c>
      <c r="T1" s="86" t="s">
        <v>19</v>
      </c>
      <c r="U1" s="86" t="s">
        <v>20</v>
      </c>
      <c r="V1" s="85" t="s">
        <v>21</v>
      </c>
    </row>
    <row r="2" spans="1:22" x14ac:dyDescent="0.25">
      <c r="A2">
        <v>1</v>
      </c>
      <c r="B2" t="s">
        <v>579</v>
      </c>
      <c r="C2" t="str">
        <f t="array" ref="C2">_xlfn.IFS(ISNUMBER(SEARCH("M",kmudhaliyar[[#This Row],[JANUARY]])),"M",kmudhaliyar[[#This Row],[JANUARY]]="A","A",kmudhaliyar[[#This Row],[JANUARY]]="","",kmudhaliyar[[#This Row],[JANUARY]]&gt;=100,"P")</f>
        <v>P</v>
      </c>
      <c r="D2" t="s">
        <v>30</v>
      </c>
      <c r="E2" s="85" t="s">
        <v>1188</v>
      </c>
      <c r="F2" t="s">
        <v>1189</v>
      </c>
      <c r="H2" s="86">
        <v>230</v>
      </c>
      <c r="I2" s="83"/>
      <c r="J2" s="83">
        <v>230</v>
      </c>
      <c r="M2" s="61"/>
      <c r="N2" s="62"/>
      <c r="S2" s="86"/>
      <c r="T2" s="86"/>
      <c r="U2" s="86"/>
      <c r="V2" s="85"/>
    </row>
    <row r="3" spans="1:22" x14ac:dyDescent="0.25">
      <c r="A3">
        <v>2</v>
      </c>
      <c r="B3" t="s">
        <v>1111</v>
      </c>
      <c r="C3" t="str">
        <f t="array" ref="C3">_xlfn.IFS(ISNUMBER(SEARCH("M",kmudhaliyar[[#This Row],[JANUARY]])),"M",kmudhaliyar[[#This Row],[JANUARY]]="A","A",kmudhaliyar[[#This Row],[JANUARY]]="","",kmudhaliyar[[#This Row],[JANUARY]]&gt;=100,"P")</f>
        <v>P</v>
      </c>
      <c r="D3" t="s">
        <v>23</v>
      </c>
      <c r="E3" s="85" t="s">
        <v>1190</v>
      </c>
      <c r="F3" t="s">
        <v>1191</v>
      </c>
      <c r="H3" s="86">
        <v>200</v>
      </c>
      <c r="I3" s="83"/>
      <c r="J3" s="83">
        <v>200</v>
      </c>
      <c r="M3" s="61"/>
      <c r="N3" s="62"/>
      <c r="S3" s="86"/>
      <c r="T3" s="86"/>
      <c r="U3" s="86"/>
      <c r="V3" s="85"/>
    </row>
    <row r="4" spans="1:22" x14ac:dyDescent="0.25">
      <c r="A4">
        <v>3</v>
      </c>
      <c r="B4" t="s">
        <v>327</v>
      </c>
      <c r="C4" t="str">
        <f t="array" ref="C4">_xlfn.IFS(ISNUMBER(SEARCH("M",kmudhaliyar[[#This Row],[JANUARY]])),"M",kmudhaliyar[[#This Row],[JANUARY]]="A","A",kmudhaliyar[[#This Row],[JANUARY]]="","",kmudhaliyar[[#This Row],[JANUARY]]&gt;=100,"P")</f>
        <v>P</v>
      </c>
      <c r="D4" t="s">
        <v>51</v>
      </c>
      <c r="E4" s="85" t="s">
        <v>1192</v>
      </c>
      <c r="F4" t="s">
        <v>1193</v>
      </c>
      <c r="H4" s="86">
        <v>200</v>
      </c>
      <c r="I4" s="83"/>
      <c r="J4" s="83">
        <v>200</v>
      </c>
      <c r="M4" s="61"/>
      <c r="N4" s="62"/>
      <c r="S4" s="86"/>
      <c r="V4" s="85"/>
    </row>
    <row r="5" spans="1:22" x14ac:dyDescent="0.25">
      <c r="A5">
        <v>4</v>
      </c>
      <c r="B5" t="s">
        <v>1194</v>
      </c>
      <c r="C5" t="str">
        <f t="array" ref="C5">_xlfn.IFS(ISNUMBER(SEARCH("M",kmudhaliyar[[#This Row],[JANUARY]])),"M",kmudhaliyar[[#This Row],[JANUARY]]="A","A",kmudhaliyar[[#This Row],[JANUARY]]="","",kmudhaliyar[[#This Row],[JANUARY]]&gt;=100,"P")</f>
        <v>P</v>
      </c>
      <c r="D5" t="s">
        <v>23</v>
      </c>
      <c r="E5" s="85" t="s">
        <v>1195</v>
      </c>
      <c r="F5" t="s">
        <v>1196</v>
      </c>
      <c r="H5" s="86">
        <v>200</v>
      </c>
      <c r="I5" s="83"/>
      <c r="J5" s="83">
        <v>200</v>
      </c>
      <c r="M5" s="61"/>
      <c r="N5" s="62"/>
      <c r="S5" s="86"/>
      <c r="T5" s="86"/>
      <c r="U5" s="86"/>
      <c r="V5" s="85"/>
    </row>
    <row r="6" spans="1:22" x14ac:dyDescent="0.25">
      <c r="A6">
        <v>5</v>
      </c>
      <c r="B6" t="s">
        <v>533</v>
      </c>
      <c r="C6" t="str">
        <f t="array" ref="C6">_xlfn.IFS(ISNUMBER(SEARCH("M",kmudhaliyar[[#This Row],[JANUARY]])),"M",kmudhaliyar[[#This Row],[JANUARY]]="A","A",kmudhaliyar[[#This Row],[JANUARY]]="","",kmudhaliyar[[#This Row],[JANUARY]]&gt;=100,"P")</f>
        <v>P</v>
      </c>
      <c r="D6" t="s">
        <v>30</v>
      </c>
      <c r="E6" s="85" t="s">
        <v>1197</v>
      </c>
      <c r="F6" t="s">
        <v>1198</v>
      </c>
      <c r="H6" s="86" t="s">
        <v>2588</v>
      </c>
      <c r="I6" s="83"/>
      <c r="J6" s="83">
        <v>450</v>
      </c>
      <c r="M6" s="61"/>
      <c r="N6" s="62"/>
      <c r="S6" s="86"/>
      <c r="T6" s="86"/>
      <c r="U6" s="86"/>
      <c r="V6" s="85"/>
    </row>
    <row r="7" spans="1:22" x14ac:dyDescent="0.25">
      <c r="A7">
        <v>6</v>
      </c>
      <c r="B7" t="s">
        <v>1199</v>
      </c>
      <c r="C7" t="str">
        <f t="array" ref="C7">_xlfn.IFS(ISNUMBER(SEARCH("M",kmudhaliyar[[#This Row],[JANUARY]])),"M",kmudhaliyar[[#This Row],[JANUARY]]="A","A",kmudhaliyar[[#This Row],[JANUARY]]="","",kmudhaliyar[[#This Row],[JANUARY]]&gt;=100,"P")</f>
        <v>A</v>
      </c>
      <c r="D7" t="s">
        <v>51</v>
      </c>
      <c r="E7" s="85" t="s">
        <v>1200</v>
      </c>
      <c r="F7" t="s">
        <v>1201</v>
      </c>
      <c r="H7" s="86" t="s">
        <v>45</v>
      </c>
      <c r="I7" s="83"/>
      <c r="J7" s="83" t="s">
        <v>45</v>
      </c>
      <c r="M7" s="61"/>
      <c r="N7" s="62"/>
      <c r="S7" s="86"/>
      <c r="T7" s="86"/>
      <c r="U7" s="86"/>
      <c r="V7" s="85" t="s">
        <v>1202</v>
      </c>
    </row>
    <row r="8" spans="1:22" x14ac:dyDescent="0.25">
      <c r="A8">
        <v>7</v>
      </c>
      <c r="B8" t="s">
        <v>1203</v>
      </c>
      <c r="C8" t="str">
        <f t="array" ref="C8">_xlfn.IFS(ISNUMBER(SEARCH("M",kmudhaliyar[[#This Row],[JANUARY]])),"M",kmudhaliyar[[#This Row],[JANUARY]]="A","A",kmudhaliyar[[#This Row],[JANUARY]]="","",kmudhaliyar[[#This Row],[JANUARY]]&gt;=100,"P")</f>
        <v>P</v>
      </c>
      <c r="D8" t="s">
        <v>36</v>
      </c>
      <c r="E8" s="85" t="s">
        <v>1204</v>
      </c>
      <c r="F8" t="s">
        <v>1205</v>
      </c>
      <c r="H8" s="86">
        <v>230</v>
      </c>
      <c r="I8" s="83"/>
      <c r="J8" s="83">
        <v>230</v>
      </c>
      <c r="M8" s="61"/>
      <c r="N8" s="62"/>
      <c r="S8" s="86"/>
      <c r="T8" s="86"/>
      <c r="U8" s="86"/>
      <c r="V8" s="85"/>
    </row>
    <row r="9" spans="1:22" x14ac:dyDescent="0.25">
      <c r="A9">
        <v>8</v>
      </c>
      <c r="B9" t="s">
        <v>978</v>
      </c>
      <c r="C9" t="str">
        <f t="array" ref="C9">_xlfn.IFS(ISNUMBER(SEARCH("M",kmudhaliyar[[#This Row],[JANUARY]])),"M",kmudhaliyar[[#This Row],[JANUARY]]="A","A",kmudhaliyar[[#This Row],[JANUARY]]="","",kmudhaliyar[[#This Row],[JANUARY]]&gt;=100,"P")</f>
        <v>P</v>
      </c>
      <c r="D9" t="s">
        <v>1206</v>
      </c>
      <c r="E9" s="85" t="s">
        <v>1207</v>
      </c>
      <c r="F9" t="s">
        <v>1208</v>
      </c>
      <c r="H9" s="86">
        <v>200</v>
      </c>
      <c r="I9" s="83"/>
      <c r="J9" s="83">
        <v>200</v>
      </c>
      <c r="M9" s="61"/>
      <c r="N9" s="62"/>
      <c r="S9" s="86"/>
      <c r="T9" s="86"/>
      <c r="U9" s="86"/>
      <c r="V9" s="85"/>
    </row>
    <row r="10" spans="1:22" s="91" customFormat="1" x14ac:dyDescent="0.25">
      <c r="A10" s="91">
        <v>9</v>
      </c>
      <c r="B10" s="91" t="s">
        <v>954</v>
      </c>
      <c r="C10" s="91" t="str">
        <f t="array" ref="C10">_xlfn.IFS(ISNUMBER(SEARCH("M",kmudhaliyar[[#This Row],[JANUARY]])),"M",kmudhaliyar[[#This Row],[JANUARY]]="A","A",kmudhaliyar[[#This Row],[JANUARY]]="","",kmudhaliyar[[#This Row],[JANUARY]]&gt;=100,"P")</f>
        <v>P</v>
      </c>
      <c r="D10" s="91" t="s">
        <v>1209</v>
      </c>
      <c r="E10" s="91" t="s">
        <v>1210</v>
      </c>
      <c r="F10" s="91" t="s">
        <v>1211</v>
      </c>
      <c r="H10" s="91" t="s">
        <v>113</v>
      </c>
      <c r="J10" s="91" t="s">
        <v>113</v>
      </c>
      <c r="V10" s="91" t="s">
        <v>1212</v>
      </c>
    </row>
    <row r="11" spans="1:22" x14ac:dyDescent="0.25">
      <c r="A11">
        <v>10</v>
      </c>
      <c r="B11" t="s">
        <v>1213</v>
      </c>
      <c r="C11" t="str">
        <f t="array" ref="C11">_xlfn.IFS(ISNUMBER(SEARCH("M",kmudhaliyar[[#This Row],[JANUARY]])),"M",kmudhaliyar[[#This Row],[JANUARY]]="A","A",kmudhaliyar[[#This Row],[JANUARY]]="","",kmudhaliyar[[#This Row],[JANUARY]]&gt;=100,"P")</f>
        <v>M</v>
      </c>
      <c r="D11" t="s">
        <v>36</v>
      </c>
      <c r="E11" s="85" t="s">
        <v>1214</v>
      </c>
      <c r="F11" t="s">
        <v>1215</v>
      </c>
      <c r="H11" s="86">
        <v>420</v>
      </c>
      <c r="I11" s="83"/>
      <c r="J11" s="83" t="s">
        <v>49</v>
      </c>
      <c r="M11" s="61"/>
      <c r="N11" s="62"/>
      <c r="S11" s="86"/>
      <c r="T11" s="86"/>
      <c r="U11" s="86"/>
      <c r="V11" s="85"/>
    </row>
    <row r="12" spans="1:22" x14ac:dyDescent="0.25">
      <c r="A12">
        <v>11</v>
      </c>
      <c r="B12" t="s">
        <v>164</v>
      </c>
      <c r="C12" t="str">
        <f t="array" ref="C12">_xlfn.IFS(ISNUMBER(SEARCH("M",kmudhaliyar[[#This Row],[JANUARY]])),"M",kmudhaliyar[[#This Row],[JANUARY]]="A","A",kmudhaliyar[[#This Row],[JANUARY]]="","",kmudhaliyar[[#This Row],[JANUARY]]&gt;=100,"P")</f>
        <v>P</v>
      </c>
      <c r="D12" t="s">
        <v>23</v>
      </c>
      <c r="E12" s="85" t="s">
        <v>1216</v>
      </c>
      <c r="F12" t="s">
        <v>1217</v>
      </c>
      <c r="H12" s="61" t="s">
        <v>2589</v>
      </c>
      <c r="I12" s="83">
        <v>100</v>
      </c>
      <c r="J12" s="83">
        <v>500</v>
      </c>
      <c r="M12" s="61"/>
      <c r="N12" s="62"/>
      <c r="S12" s="86"/>
      <c r="T12" s="86"/>
      <c r="U12" s="86"/>
      <c r="V12" s="85"/>
    </row>
    <row r="13" spans="1:22" x14ac:dyDescent="0.25">
      <c r="A13">
        <v>12</v>
      </c>
      <c r="B13" t="s">
        <v>1218</v>
      </c>
      <c r="C13" t="str">
        <f t="array" ref="C13">_xlfn.IFS(ISNUMBER(SEARCH("M",kmudhaliyar[[#This Row],[JANUARY]])),"M",kmudhaliyar[[#This Row],[JANUARY]]="A","A",kmudhaliyar[[#This Row],[JANUARY]]="","",kmudhaliyar[[#This Row],[JANUARY]]&gt;=100,"P")</f>
        <v>P</v>
      </c>
      <c r="D13" t="s">
        <v>30</v>
      </c>
      <c r="E13" s="85" t="s">
        <v>1219</v>
      </c>
      <c r="F13" t="s">
        <v>1220</v>
      </c>
      <c r="H13" s="86">
        <v>220</v>
      </c>
      <c r="I13" s="83"/>
      <c r="J13" s="83">
        <v>230</v>
      </c>
      <c r="M13" s="61"/>
      <c r="N13" s="62"/>
      <c r="S13" s="86"/>
      <c r="T13" s="86"/>
      <c r="U13" s="86"/>
      <c r="V13" s="85"/>
    </row>
    <row r="14" spans="1:22" x14ac:dyDescent="0.25">
      <c r="A14">
        <v>13</v>
      </c>
      <c r="B14" t="s">
        <v>1221</v>
      </c>
      <c r="C14" t="str">
        <f t="array" ref="C14">_xlfn.IFS(ISNUMBER(SEARCH("M",kmudhaliyar[[#This Row],[JANUARY]])),"M",kmudhaliyar[[#This Row],[JANUARY]]="A","A",kmudhaliyar[[#This Row],[JANUARY]]="","",kmudhaliyar[[#This Row],[JANUARY]]&gt;=100,"P")</f>
        <v>P</v>
      </c>
      <c r="D14" t="s">
        <v>30</v>
      </c>
      <c r="E14" s="85" t="s">
        <v>1222</v>
      </c>
      <c r="F14" t="s">
        <v>1223</v>
      </c>
      <c r="H14" s="86">
        <v>220</v>
      </c>
      <c r="I14" s="83"/>
      <c r="J14" s="83">
        <v>230</v>
      </c>
      <c r="M14" s="61"/>
      <c r="N14" s="62"/>
      <c r="S14" s="86"/>
      <c r="T14" s="86"/>
      <c r="U14" s="86"/>
      <c r="V14" s="85"/>
    </row>
    <row r="15" spans="1:22" x14ac:dyDescent="0.25">
      <c r="A15">
        <v>14</v>
      </c>
      <c r="B15" t="s">
        <v>1143</v>
      </c>
      <c r="C15" t="str">
        <f t="array" ref="C15">_xlfn.IFS(ISNUMBER(SEARCH("M",kmudhaliyar[[#This Row],[JANUARY]])),"M",kmudhaliyar[[#This Row],[JANUARY]]="A","A",kmudhaliyar[[#This Row],[JANUARY]]="","",kmudhaliyar[[#This Row],[JANUARY]]&gt;=100,"P")</f>
        <v>P</v>
      </c>
      <c r="D15" t="s">
        <v>30</v>
      </c>
      <c r="E15" s="85" t="s">
        <v>1224</v>
      </c>
      <c r="F15" t="s">
        <v>1225</v>
      </c>
      <c r="H15" s="86">
        <v>220</v>
      </c>
      <c r="I15" s="83"/>
      <c r="J15" s="83">
        <v>200</v>
      </c>
      <c r="M15" s="61"/>
      <c r="N15" s="62"/>
      <c r="S15" s="86"/>
      <c r="T15" s="86"/>
      <c r="U15" s="86"/>
      <c r="V15" s="85"/>
    </row>
    <row r="16" spans="1:22" x14ac:dyDescent="0.25">
      <c r="A16">
        <v>15</v>
      </c>
      <c r="B16" t="s">
        <v>1226</v>
      </c>
      <c r="C16" t="str">
        <f t="array" ref="C16">_xlfn.IFS(ISNUMBER(SEARCH("M",kmudhaliyar[[#This Row],[JANUARY]])),"M",kmudhaliyar[[#This Row],[JANUARY]]="A","A",kmudhaliyar[[#This Row],[JANUARY]]="","",kmudhaliyar[[#This Row],[JANUARY]]&gt;=100,"P")</f>
        <v>P</v>
      </c>
      <c r="D16" t="s">
        <v>36</v>
      </c>
      <c r="E16" s="85" t="s">
        <v>1227</v>
      </c>
      <c r="F16" t="s">
        <v>1228</v>
      </c>
      <c r="H16" s="86">
        <v>230</v>
      </c>
      <c r="I16" s="83"/>
      <c r="J16" s="83">
        <v>230</v>
      </c>
      <c r="M16" s="61"/>
      <c r="N16" s="62"/>
      <c r="S16" s="86"/>
      <c r="T16" s="86"/>
      <c r="U16" s="86"/>
      <c r="V16" s="85"/>
    </row>
    <row r="17" spans="1:22" x14ac:dyDescent="0.25">
      <c r="A17">
        <v>16</v>
      </c>
      <c r="B17" t="s">
        <v>1229</v>
      </c>
      <c r="C17" t="str">
        <f t="array" ref="C17">_xlfn.IFS(ISNUMBER(SEARCH("M",kmudhaliyar[[#This Row],[JANUARY]])),"M",kmudhaliyar[[#This Row],[JANUARY]]="A","A",kmudhaliyar[[#This Row],[JANUARY]]="","",kmudhaliyar[[#This Row],[JANUARY]]&gt;=100,"P")</f>
        <v/>
      </c>
      <c r="E17" s="85" t="s">
        <v>1230</v>
      </c>
      <c r="H17" s="44"/>
      <c r="I17" s="83"/>
      <c r="J17" s="83"/>
      <c r="M17" s="61"/>
      <c r="N17" s="62"/>
      <c r="S17" s="86"/>
      <c r="T17" s="86"/>
      <c r="U17" s="86"/>
      <c r="V17" s="85" t="s">
        <v>1231</v>
      </c>
    </row>
    <row r="18" spans="1:22" x14ac:dyDescent="0.25">
      <c r="A18">
        <v>17</v>
      </c>
      <c r="B18" t="s">
        <v>1232</v>
      </c>
      <c r="C18" t="str">
        <f t="array" ref="C18">_xlfn.IFS(ISNUMBER(SEARCH("M",kmudhaliyar[[#This Row],[JANUARY]])),"M",kmudhaliyar[[#This Row],[JANUARY]]="A","A",kmudhaliyar[[#This Row],[JANUARY]]="","",kmudhaliyar[[#This Row],[JANUARY]]&gt;=100,"P")</f>
        <v>P</v>
      </c>
      <c r="D18" t="s">
        <v>88</v>
      </c>
      <c r="E18" s="85" t="s">
        <v>1233</v>
      </c>
      <c r="F18" s="85" t="s">
        <v>1234</v>
      </c>
      <c r="H18" s="86">
        <v>200</v>
      </c>
      <c r="I18" s="83"/>
      <c r="J18" s="83">
        <v>200</v>
      </c>
      <c r="M18" s="61"/>
      <c r="N18" s="62"/>
      <c r="S18" s="86"/>
      <c r="T18" s="86"/>
      <c r="U18" s="86"/>
      <c r="V18" s="85"/>
    </row>
    <row r="19" spans="1:22" x14ac:dyDescent="0.25">
      <c r="A19">
        <v>18</v>
      </c>
      <c r="B19" t="s">
        <v>1235</v>
      </c>
      <c r="C19" t="str">
        <f t="array" ref="C19">_xlfn.IFS(ISNUMBER(SEARCH("M",kmudhaliyar[[#This Row],[JANUARY]])),"M",kmudhaliyar[[#This Row],[JANUARY]]="A","A",kmudhaliyar[[#This Row],[JANUARY]]="","",kmudhaliyar[[#This Row],[JANUARY]]&gt;=100,"P")</f>
        <v>P</v>
      </c>
      <c r="D19" t="s">
        <v>23</v>
      </c>
      <c r="E19" s="85" t="s">
        <v>1236</v>
      </c>
      <c r="F19" t="s">
        <v>1237</v>
      </c>
      <c r="H19" s="86">
        <v>200</v>
      </c>
      <c r="I19" s="83"/>
      <c r="J19" s="83">
        <v>200</v>
      </c>
      <c r="M19" s="61"/>
      <c r="N19" s="62"/>
      <c r="S19" s="86"/>
      <c r="T19" s="86"/>
      <c r="U19" s="86"/>
      <c r="V19" s="85"/>
    </row>
    <row r="20" spans="1:22" s="22" customFormat="1" x14ac:dyDescent="0.25">
      <c r="A20" s="22">
        <v>19</v>
      </c>
      <c r="B20" s="22" t="s">
        <v>1238</v>
      </c>
      <c r="C20" s="22" t="str">
        <f t="array" ref="C20">_xlfn.IFS(ISNUMBER(SEARCH("M",kmudhaliyar[[#This Row],[JANUARY]])),"M",kmudhaliyar[[#This Row],[JANUARY]]="A","A",kmudhaliyar[[#This Row],[JANUARY]]="","",kmudhaliyar[[#This Row],[JANUARY]]&gt;=100,"P")</f>
        <v/>
      </c>
      <c r="E20" s="22" t="s">
        <v>1239</v>
      </c>
      <c r="F20" s="22" t="s">
        <v>1240</v>
      </c>
      <c r="V20" s="22" t="s">
        <v>1241</v>
      </c>
    </row>
    <row r="21" spans="1:22" x14ac:dyDescent="0.25">
      <c r="A21">
        <v>20</v>
      </c>
      <c r="B21" t="s">
        <v>1242</v>
      </c>
      <c r="C21" t="str">
        <f t="array" ref="C21">_xlfn.IFS(ISNUMBER(SEARCH("M",kmudhaliyar[[#This Row],[JANUARY]])),"M",kmudhaliyar[[#This Row],[JANUARY]]="A","A",kmudhaliyar[[#This Row],[JANUARY]]="","",kmudhaliyar[[#This Row],[JANUARY]]&gt;=100,"P")</f>
        <v>P</v>
      </c>
      <c r="D21" t="s">
        <v>51</v>
      </c>
      <c r="E21" s="85" t="s">
        <v>1243</v>
      </c>
      <c r="F21" t="s">
        <v>1244</v>
      </c>
      <c r="H21" s="86">
        <v>200</v>
      </c>
      <c r="I21" s="83"/>
      <c r="J21" s="83">
        <v>200</v>
      </c>
      <c r="M21" s="61"/>
      <c r="N21" s="62"/>
      <c r="S21" s="86"/>
      <c r="T21" s="86"/>
      <c r="U21" s="86"/>
      <c r="V21" s="85"/>
    </row>
    <row r="22" spans="1:22" x14ac:dyDescent="0.25">
      <c r="A22">
        <v>21</v>
      </c>
      <c r="B22" t="s">
        <v>1245</v>
      </c>
      <c r="C22" t="str">
        <f t="array" ref="C22">_xlfn.IFS(ISNUMBER(SEARCH("M",kmudhaliyar[[#This Row],[JANUARY]])),"M",kmudhaliyar[[#This Row],[JANUARY]]="A","A",kmudhaliyar[[#This Row],[JANUARY]]="","",kmudhaliyar[[#This Row],[JANUARY]]&gt;=100,"P")</f>
        <v>P</v>
      </c>
      <c r="D22" t="s">
        <v>23</v>
      </c>
      <c r="E22" s="85" t="s">
        <v>1246</v>
      </c>
      <c r="F22" t="s">
        <v>1247</v>
      </c>
      <c r="H22" s="86">
        <v>200</v>
      </c>
      <c r="I22" s="83"/>
      <c r="J22" s="83">
        <v>200</v>
      </c>
      <c r="M22" s="61"/>
      <c r="N22" s="62"/>
      <c r="S22" s="86"/>
      <c r="T22" s="86"/>
      <c r="U22" s="86"/>
      <c r="V22" s="85"/>
    </row>
    <row r="23" spans="1:22" s="22" customFormat="1" x14ac:dyDescent="0.25">
      <c r="A23" s="22">
        <v>22</v>
      </c>
      <c r="B23" s="22" t="s">
        <v>1248</v>
      </c>
      <c r="C23" s="22" t="str">
        <f t="array" ref="C23">_xlfn.IFS(ISNUMBER(SEARCH("M",kmudhaliyar[[#This Row],[JANUARY]])),"M",kmudhaliyar[[#This Row],[JANUARY]]="A","A",kmudhaliyar[[#This Row],[JANUARY]]="","",kmudhaliyar[[#This Row],[JANUARY]]&gt;=100,"P")</f>
        <v/>
      </c>
      <c r="E23" s="22" t="s">
        <v>1249</v>
      </c>
      <c r="F23" s="22" t="s">
        <v>1250</v>
      </c>
    </row>
    <row r="24" spans="1:22" x14ac:dyDescent="0.25">
      <c r="A24">
        <v>23</v>
      </c>
      <c r="B24" t="s">
        <v>366</v>
      </c>
      <c r="C24" t="str">
        <f t="array" ref="C24">_xlfn.IFS(ISNUMBER(SEARCH("M",kmudhaliyar[[#This Row],[JANUARY]])),"M",kmudhaliyar[[#This Row],[JANUARY]]="A","A",kmudhaliyar[[#This Row],[JANUARY]]="","",kmudhaliyar[[#This Row],[JANUARY]]&gt;=100,"P")</f>
        <v>P</v>
      </c>
      <c r="D24" t="s">
        <v>51</v>
      </c>
      <c r="E24" s="85" t="s">
        <v>1251</v>
      </c>
      <c r="F24" s="85" t="s">
        <v>1252</v>
      </c>
      <c r="H24" s="86">
        <v>200</v>
      </c>
      <c r="I24" s="83">
        <v>90</v>
      </c>
      <c r="J24" s="83">
        <v>200</v>
      </c>
      <c r="M24" s="61"/>
      <c r="N24" s="62"/>
      <c r="S24" s="86"/>
      <c r="T24" s="86"/>
      <c r="U24" s="86"/>
      <c r="V24" s="85"/>
    </row>
    <row r="25" spans="1:22" x14ac:dyDescent="0.25">
      <c r="A25">
        <v>24</v>
      </c>
      <c r="B25" t="s">
        <v>682</v>
      </c>
      <c r="C25" t="str">
        <f t="array" ref="C25">_xlfn.IFS(ISNUMBER(SEARCH("M",kmudhaliyar[[#This Row],[JANUARY]])),"M",kmudhaliyar[[#This Row],[JANUARY]]="A","A",kmudhaliyar[[#This Row],[JANUARY]]="","",kmudhaliyar[[#This Row],[JANUARY]]&gt;=100,"P")</f>
        <v>A</v>
      </c>
      <c r="D25" t="s">
        <v>36</v>
      </c>
      <c r="E25" s="85" t="s">
        <v>1253</v>
      </c>
      <c r="F25" s="85" t="s">
        <v>1254</v>
      </c>
      <c r="H25" s="86" t="s">
        <v>45</v>
      </c>
      <c r="I25" s="83"/>
      <c r="J25" s="83" t="s">
        <v>45</v>
      </c>
      <c r="M25" s="61"/>
      <c r="N25" s="62"/>
      <c r="S25" s="86"/>
      <c r="T25" s="86"/>
      <c r="U25" s="86"/>
      <c r="V25" s="85"/>
    </row>
    <row r="26" spans="1:22" x14ac:dyDescent="0.25">
      <c r="A26">
        <v>25</v>
      </c>
      <c r="B26" t="s">
        <v>1255</v>
      </c>
      <c r="C26" t="str">
        <f t="array" ref="C26">_xlfn.IFS(ISNUMBER(SEARCH("M",kmudhaliyar[[#This Row],[JANUARY]])),"M",kmudhaliyar[[#This Row],[JANUARY]]="A","A",kmudhaliyar[[#This Row],[JANUARY]]="","",kmudhaliyar[[#This Row],[JANUARY]]&gt;=100,"P")</f>
        <v>P</v>
      </c>
      <c r="D26" t="s">
        <v>36</v>
      </c>
      <c r="E26" s="85" t="s">
        <v>1256</v>
      </c>
      <c r="F26" s="85" t="s">
        <v>1257</v>
      </c>
      <c r="H26" s="86" t="s">
        <v>1258</v>
      </c>
      <c r="I26" s="83"/>
      <c r="J26" s="83" t="s">
        <v>1258</v>
      </c>
      <c r="M26" s="61"/>
      <c r="N26" s="62"/>
      <c r="S26" s="86"/>
      <c r="T26" s="86"/>
      <c r="U26" s="86"/>
      <c r="V26" s="85"/>
    </row>
    <row r="27" spans="1:22" x14ac:dyDescent="0.25">
      <c r="A27">
        <v>26</v>
      </c>
      <c r="B27" t="s">
        <v>1259</v>
      </c>
      <c r="C27" t="str">
        <f t="array" ref="C27">_xlfn.IFS(ISNUMBER(SEARCH("M",kmudhaliyar[[#This Row],[JANUARY]])),"M",kmudhaliyar[[#This Row],[JANUARY]]="A","A",kmudhaliyar[[#This Row],[JANUARY]]="","",kmudhaliyar[[#This Row],[JANUARY]]&gt;=100,"P")</f>
        <v>P</v>
      </c>
      <c r="D27" t="s">
        <v>51</v>
      </c>
      <c r="E27" s="85" t="s">
        <v>1260</v>
      </c>
      <c r="F27" s="85" t="s">
        <v>1261</v>
      </c>
      <c r="H27" s="86" t="s">
        <v>1262</v>
      </c>
      <c r="I27" s="83"/>
      <c r="J27" s="83" t="s">
        <v>1258</v>
      </c>
      <c r="M27" s="61"/>
      <c r="N27" s="62"/>
      <c r="S27" s="86"/>
      <c r="T27" s="86"/>
      <c r="U27" s="86"/>
      <c r="V27" s="85"/>
    </row>
    <row r="28" spans="1:22" x14ac:dyDescent="0.25">
      <c r="A28">
        <v>27</v>
      </c>
      <c r="B28" s="60" t="s">
        <v>1263</v>
      </c>
      <c r="C28" t="str">
        <f t="array" ref="C28">_xlfn.IFS(ISNUMBER(SEARCH("M",kmudhaliyar[[#This Row],[JANUARY]])),"M",kmudhaliyar[[#This Row],[JANUARY]]="A","A",kmudhaliyar[[#This Row],[JANUARY]]="","",kmudhaliyar[[#This Row],[JANUARY]]&gt;=100,"P")</f>
        <v>P</v>
      </c>
      <c r="D28" t="s">
        <v>23</v>
      </c>
      <c r="E28" s="85" t="s">
        <v>1264</v>
      </c>
      <c r="F28" s="85" t="s">
        <v>1265</v>
      </c>
      <c r="H28" s="86"/>
      <c r="I28" s="83"/>
      <c r="J28" s="83">
        <v>1200</v>
      </c>
      <c r="K28" s="61" t="s">
        <v>170</v>
      </c>
      <c r="L28" s="61" t="s">
        <v>170</v>
      </c>
      <c r="M28" s="61" t="s">
        <v>170</v>
      </c>
      <c r="N28" s="62" t="s">
        <v>170</v>
      </c>
      <c r="O28" s="86" t="s">
        <v>170</v>
      </c>
      <c r="S28" s="86"/>
      <c r="T28" s="86"/>
      <c r="U28" s="86"/>
      <c r="V28" s="85"/>
    </row>
    <row r="29" spans="1:22" x14ac:dyDescent="0.25">
      <c r="A29" s="8" t="s">
        <v>246</v>
      </c>
      <c r="B29" s="8"/>
      <c r="C29" s="8">
        <f>COUNTIF(C2:C28, "&gt;=a")</f>
        <v>24</v>
      </c>
      <c r="D29" s="8">
        <f>SUBTOTAL(103,kmudhaliyar[Package])</f>
        <v>24</v>
      </c>
      <c r="E29" s="8">
        <f>SUBTOTAL(103,kmudhaliyar[Box No])</f>
        <v>27</v>
      </c>
      <c r="F29" s="8">
        <f>SUBTOTAL(103,kmudhaliyar[CAF_ID])</f>
        <v>26</v>
      </c>
      <c r="G29" s="8"/>
      <c r="H29" s="56">
        <f>SUBTOTAL(109,kmudhaliyar[Dec-20])</f>
        <v>3570</v>
      </c>
      <c r="I29" s="56">
        <f>SUBTOTAL(109,kmudhaliyar[BALANCE])</f>
        <v>190</v>
      </c>
      <c r="J29" s="56">
        <f>SUBTOTAL(109,kmudhaliyar[JANUARY])</f>
        <v>5300</v>
      </c>
      <c r="K29" s="56">
        <f>SUBTOTAL(109,kmudhaliyar[FEBEUARY])</f>
        <v>0</v>
      </c>
      <c r="L29" s="56">
        <f>SUBTOTAL(109,kmudhaliyar[MARCH])</f>
        <v>0</v>
      </c>
      <c r="M29" s="56">
        <f>SUBTOTAL(109,kmudhaliyar[APRIL])</f>
        <v>0</v>
      </c>
      <c r="N29" s="56">
        <f>SUBTOTAL(109,kmudhaliyar[MAY])</f>
        <v>0</v>
      </c>
      <c r="O29" s="56">
        <f>SUBTOTAL(109,kmudhaliyar[JUNE])</f>
        <v>0</v>
      </c>
      <c r="P29" s="56">
        <f>SUBTOTAL(109,kmudhaliyar[JULY])</f>
        <v>0</v>
      </c>
      <c r="Q29" s="56">
        <f>SUBTOTAL(109,kmudhaliyar[AUGUST])</f>
        <v>0</v>
      </c>
      <c r="R29" s="56">
        <f>SUBTOTAL(109,kmudhaliyar[SEPTEMBER])</f>
        <v>0</v>
      </c>
      <c r="S29" s="56">
        <f>SUBTOTAL(109,kmudhaliyar[OCTOBER])</f>
        <v>0</v>
      </c>
      <c r="T29" s="56">
        <f>SUBTOTAL(109,kmudhaliyar[NOVEMBER])</f>
        <v>0</v>
      </c>
      <c r="U29" s="56"/>
      <c r="V29" s="92"/>
    </row>
    <row r="30" spans="1:22" s="8" customFormat="1" x14ac:dyDescent="0.25">
      <c r="E30" s="85"/>
      <c r="F30" s="85"/>
      <c r="G30" s="85"/>
      <c r="H30" s="83"/>
      <c r="I30" s="40"/>
      <c r="J30" s="40"/>
      <c r="K30" s="40"/>
      <c r="L30" s="40"/>
      <c r="M30" s="62"/>
      <c r="N30" s="86"/>
      <c r="O30" s="86"/>
      <c r="P30" s="86"/>
      <c r="Q30" s="86"/>
      <c r="R30" s="86"/>
      <c r="S30" s="40"/>
      <c r="T30" s="40"/>
      <c r="U30" s="61"/>
    </row>
    <row r="31" spans="1:22" x14ac:dyDescent="0.25">
      <c r="A31" s="8"/>
      <c r="B31" s="9" t="s">
        <v>247</v>
      </c>
      <c r="C31" s="19">
        <f>COUNTIF(C2:C28,"P")</f>
        <v>21</v>
      </c>
      <c r="D31" s="8"/>
      <c r="E31" s="8"/>
      <c r="F31" s="8"/>
      <c r="V31" s="8"/>
    </row>
    <row r="32" spans="1:22" x14ac:dyDescent="0.25">
      <c r="B32" s="18" t="s">
        <v>248</v>
      </c>
      <c r="C32" s="23">
        <f>COUNTIF(C2:C28,"M")</f>
        <v>1</v>
      </c>
    </row>
    <row r="33" spans="2:5" ht="15.75" customHeight="1" x14ac:dyDescent="0.25">
      <c r="B33" s="10" t="s">
        <v>249</v>
      </c>
      <c r="C33" s="21">
        <f>COUNTIF(C2:C28,"A")</f>
        <v>2</v>
      </c>
    </row>
    <row r="34" spans="2:5" ht="15.75" customHeight="1" thickBot="1" x14ac:dyDescent="0.3">
      <c r="B34" s="17" t="s">
        <v>250</v>
      </c>
      <c r="C34" s="17">
        <f>SUM(C31:C33)</f>
        <v>24</v>
      </c>
    </row>
    <row r="35" spans="2:5" ht="15.75" customHeight="1" thickTop="1" x14ac:dyDescent="0.25"/>
    <row r="36" spans="2:5" ht="15.75" customHeight="1" x14ac:dyDescent="0.25">
      <c r="E36" s="88"/>
    </row>
  </sheetData>
  <phoneticPr fontId="35" type="noConversion"/>
  <conditionalFormatting sqref="B31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rgb="FF92D050"/>
  </sheetPr>
  <dimension ref="A1:V46"/>
  <sheetViews>
    <sheetView zoomScale="115" zoomScaleNormal="115" workbookViewId="0">
      <selection activeCell="I9" sqref="I9"/>
    </sheetView>
  </sheetViews>
  <sheetFormatPr defaultRowHeight="15" x14ac:dyDescent="0.25"/>
  <cols>
    <col min="1" max="1" width="6.140625" style="87" customWidth="1"/>
    <col min="2" max="2" width="20.85546875" style="87" customWidth="1"/>
    <col min="3" max="3" width="7.28515625" style="87" customWidth="1"/>
    <col min="4" max="4" width="30.85546875" style="87" customWidth="1"/>
    <col min="5" max="5" width="20.28515625" style="87" customWidth="1"/>
    <col min="6" max="6" width="11.7109375" style="87" customWidth="1"/>
    <col min="7" max="7" width="11.7109375" style="85" customWidth="1"/>
    <col min="8" max="18" width="11.85546875" style="83" customWidth="1"/>
    <col min="19" max="20" width="11.85546875" style="61" customWidth="1"/>
    <col min="21" max="21" width="12.28515625" style="87" customWidth="1"/>
    <col min="22" max="22" width="37" style="87" customWidth="1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5" t="s">
        <v>8</v>
      </c>
      <c r="I1" s="84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85" t="s">
        <v>21</v>
      </c>
    </row>
    <row r="2" spans="1:22" x14ac:dyDescent="0.25">
      <c r="A2">
        <v>1</v>
      </c>
      <c r="B2" t="s">
        <v>1266</v>
      </c>
      <c r="C2" t="str">
        <f t="array" ref="C2">_xlfn.IFS(ISNUMBER(SEARCH("M",mariamman[[#This Row],[JANUARY]])),"M",mariamman[[#This Row],[JANUARY]]="A","A",mariamman[[#This Row],[JANUARY]]="","",mariamman[[#This Row],[JANUARY]]&gt;=100,"P")</f>
        <v>M</v>
      </c>
      <c r="D2" t="s">
        <v>51</v>
      </c>
      <c r="E2" s="85" t="s">
        <v>1267</v>
      </c>
      <c r="F2" s="85" t="s">
        <v>1268</v>
      </c>
      <c r="H2" s="83">
        <v>200</v>
      </c>
      <c r="I2" s="84">
        <v>400</v>
      </c>
      <c r="J2" s="83" t="s">
        <v>49</v>
      </c>
      <c r="S2" s="83"/>
      <c r="T2" s="83"/>
      <c r="U2" s="83"/>
      <c r="V2" s="85"/>
    </row>
    <row r="3" spans="1:22" x14ac:dyDescent="0.25">
      <c r="A3">
        <v>2</v>
      </c>
      <c r="B3" t="s">
        <v>1269</v>
      </c>
      <c r="C3" t="str">
        <f t="array" ref="C3">_xlfn.IFS(ISNUMBER(SEARCH("M",mariamman[[#This Row],[JANUARY]])),"M",mariamman[[#This Row],[JANUARY]]="A","A",mariamman[[#This Row],[JANUARY]]="","",mariamman[[#This Row],[JANUARY]]&gt;=100,"P")</f>
        <v>P</v>
      </c>
      <c r="D3" t="s">
        <v>51</v>
      </c>
      <c r="E3" s="85" t="s">
        <v>1270</v>
      </c>
      <c r="F3" s="85" t="s">
        <v>1271</v>
      </c>
      <c r="H3" s="83">
        <v>200</v>
      </c>
      <c r="I3" s="84"/>
      <c r="J3" s="83">
        <v>200</v>
      </c>
      <c r="S3" s="83"/>
      <c r="T3" s="83"/>
      <c r="U3" s="83"/>
      <c r="V3" s="85"/>
    </row>
    <row r="4" spans="1:22" x14ac:dyDescent="0.25">
      <c r="A4">
        <v>3</v>
      </c>
      <c r="B4" t="s">
        <v>1272</v>
      </c>
      <c r="C4" t="str">
        <f t="array" ref="C4">_xlfn.IFS(ISNUMBER(SEARCH("M",mariamman[[#This Row],[JANUARY]])),"M",mariamman[[#This Row],[JANUARY]]="A","A",mariamman[[#This Row],[JANUARY]]="","",mariamman[[#This Row],[JANUARY]]&gt;=100,"P")</f>
        <v>P</v>
      </c>
      <c r="D4" t="s">
        <v>36</v>
      </c>
      <c r="E4" s="85" t="s">
        <v>1273</v>
      </c>
      <c r="F4" t="s">
        <v>1274</v>
      </c>
      <c r="H4" s="83">
        <v>220</v>
      </c>
      <c r="I4" s="84"/>
      <c r="J4" s="83">
        <v>220</v>
      </c>
      <c r="S4" s="83"/>
      <c r="T4" s="83"/>
      <c r="U4" s="83"/>
      <c r="V4" s="85"/>
    </row>
    <row r="5" spans="1:22" x14ac:dyDescent="0.25">
      <c r="A5">
        <v>4</v>
      </c>
      <c r="B5" t="s">
        <v>301</v>
      </c>
      <c r="C5" t="str">
        <f t="array" ref="C5">_xlfn.IFS(ISNUMBER(SEARCH("M",mariamman[[#This Row],[JANUARY]])),"M",mariamman[[#This Row],[JANUARY]]="A","A",mariamman[[#This Row],[JANUARY]]="","",mariamman[[#This Row],[JANUARY]]&gt;=100,"P")</f>
        <v>P</v>
      </c>
      <c r="D5" t="s">
        <v>51</v>
      </c>
      <c r="E5" s="85" t="s">
        <v>1275</v>
      </c>
      <c r="F5" t="s">
        <v>1276</v>
      </c>
      <c r="H5" s="83">
        <v>200</v>
      </c>
      <c r="I5" s="84"/>
      <c r="J5" s="83">
        <v>200</v>
      </c>
      <c r="S5" s="83"/>
      <c r="T5" s="83"/>
      <c r="U5" s="83"/>
      <c r="V5" s="85"/>
    </row>
    <row r="6" spans="1:22" x14ac:dyDescent="0.25">
      <c r="A6">
        <v>5</v>
      </c>
      <c r="B6" t="s">
        <v>1277</v>
      </c>
      <c r="C6" t="str">
        <f t="array" ref="C6">_xlfn.IFS(ISNUMBER(SEARCH("M",mariamman[[#This Row],[JANUARY]])),"M",mariamman[[#This Row],[JANUARY]]="A","A",mariamman[[#This Row],[JANUARY]]="","",mariamman[[#This Row],[JANUARY]]&gt;=100,"P")</f>
        <v>P</v>
      </c>
      <c r="D6" t="s">
        <v>36</v>
      </c>
      <c r="E6" s="85" t="s">
        <v>1278</v>
      </c>
      <c r="F6" t="s">
        <v>1279</v>
      </c>
      <c r="H6" s="83">
        <v>250</v>
      </c>
      <c r="I6" s="84"/>
      <c r="J6" s="83">
        <v>250</v>
      </c>
      <c r="S6" s="83"/>
      <c r="T6" s="83"/>
      <c r="U6" s="83"/>
      <c r="V6" s="85"/>
    </row>
    <row r="7" spans="1:22" x14ac:dyDescent="0.25">
      <c r="A7">
        <v>6</v>
      </c>
      <c r="B7" t="s">
        <v>1280</v>
      </c>
      <c r="C7" t="str">
        <f t="array" ref="C7">_xlfn.IFS(ISNUMBER(SEARCH("M",mariamman[[#This Row],[JANUARY]])),"M",mariamman[[#This Row],[JANUARY]]="A","A",mariamman[[#This Row],[JANUARY]]="","",mariamman[[#This Row],[JANUARY]]&gt;=100,"P")</f>
        <v>P</v>
      </c>
      <c r="D7" t="s">
        <v>30</v>
      </c>
      <c r="E7" s="85" t="s">
        <v>1281</v>
      </c>
      <c r="F7" s="85" t="s">
        <v>1282</v>
      </c>
      <c r="H7" s="83">
        <v>200</v>
      </c>
      <c r="I7" s="84"/>
      <c r="J7" s="83">
        <v>200</v>
      </c>
      <c r="S7" s="83"/>
      <c r="T7" s="83"/>
      <c r="U7" s="83"/>
      <c r="V7" s="85"/>
    </row>
    <row r="8" spans="1:22" x14ac:dyDescent="0.25">
      <c r="A8">
        <v>7</v>
      </c>
      <c r="B8" t="s">
        <v>1283</v>
      </c>
      <c r="C8" t="str">
        <f t="array" ref="C8">_xlfn.IFS(ISNUMBER(SEARCH("M",mariamman[[#This Row],[JANUARY]])),"M",mariamman[[#This Row],[JANUARY]]="A","A",mariamman[[#This Row],[JANUARY]]="","",mariamman[[#This Row],[JANUARY]]&gt;=100,"P")</f>
        <v>P</v>
      </c>
      <c r="D8" t="s">
        <v>51</v>
      </c>
      <c r="E8" s="85" t="s">
        <v>1284</v>
      </c>
      <c r="F8" t="s">
        <v>1285</v>
      </c>
      <c r="H8" s="83">
        <v>200</v>
      </c>
      <c r="I8" s="84"/>
      <c r="J8" s="83">
        <v>200</v>
      </c>
      <c r="S8" s="83"/>
      <c r="T8" s="83"/>
      <c r="U8" s="83"/>
      <c r="V8" s="85"/>
    </row>
    <row r="9" spans="1:22" x14ac:dyDescent="0.25">
      <c r="A9">
        <v>8</v>
      </c>
      <c r="B9" t="s">
        <v>1286</v>
      </c>
      <c r="C9" t="str">
        <f t="array" ref="C9">_xlfn.IFS(ISNUMBER(SEARCH("M",mariamman[[#This Row],[JANUARY]])),"M",mariamman[[#This Row],[JANUARY]]="A","A",mariamman[[#This Row],[JANUARY]]="","",mariamman[[#This Row],[JANUARY]]&gt;=100,"P")</f>
        <v>P</v>
      </c>
      <c r="D9" t="s">
        <v>30</v>
      </c>
      <c r="E9" s="85" t="s">
        <v>1287</v>
      </c>
      <c r="F9" t="s">
        <v>1288</v>
      </c>
      <c r="H9" s="83">
        <v>200</v>
      </c>
      <c r="I9" s="84"/>
      <c r="J9" s="83">
        <v>200</v>
      </c>
      <c r="S9" s="83"/>
      <c r="T9" s="83"/>
      <c r="U9" s="83"/>
      <c r="V9" s="85" t="s">
        <v>1289</v>
      </c>
    </row>
    <row r="10" spans="1:22" x14ac:dyDescent="0.25">
      <c r="A10">
        <v>9</v>
      </c>
      <c r="B10" t="s">
        <v>838</v>
      </c>
      <c r="C10" t="str">
        <f t="array" ref="C10">_xlfn.IFS(ISNUMBER(SEARCH("M",mariamman[[#This Row],[JANUARY]])),"M",mariamman[[#This Row],[JANUARY]]="A","A",mariamman[[#This Row],[JANUARY]]="","",mariamman[[#This Row],[JANUARY]]&gt;=100,"P")</f>
        <v>P</v>
      </c>
      <c r="D10" t="s">
        <v>23</v>
      </c>
      <c r="E10" s="85" t="s">
        <v>1290</v>
      </c>
      <c r="F10" t="s">
        <v>1291</v>
      </c>
      <c r="H10" s="83">
        <v>200</v>
      </c>
      <c r="I10" s="84"/>
      <c r="J10" s="83">
        <v>200</v>
      </c>
      <c r="S10" s="83"/>
      <c r="T10" s="83"/>
      <c r="U10" s="83"/>
      <c r="V10" s="85"/>
    </row>
    <row r="11" spans="1:22" x14ac:dyDescent="0.25">
      <c r="A11">
        <v>10</v>
      </c>
      <c r="B11" t="s">
        <v>1292</v>
      </c>
      <c r="E11" s="85" t="s">
        <v>1293</v>
      </c>
      <c r="F11" t="s">
        <v>1294</v>
      </c>
      <c r="H11" s="83">
        <v>200</v>
      </c>
      <c r="I11" s="84"/>
      <c r="J11" s="44" t="s">
        <v>1295</v>
      </c>
      <c r="S11" s="83"/>
      <c r="T11" s="83"/>
      <c r="U11" s="83"/>
      <c r="V11" s="85"/>
    </row>
    <row r="12" spans="1:22" x14ac:dyDescent="0.25">
      <c r="A12">
        <v>11</v>
      </c>
      <c r="B12" t="s">
        <v>1296</v>
      </c>
      <c r="C12" t="str">
        <f t="array" ref="C12">_xlfn.IFS(ISNUMBER(SEARCH("M",mariamman[[#This Row],[JANUARY]])),"M",mariamman[[#This Row],[JANUARY]]="A","A",mariamman[[#This Row],[JANUARY]]="","",mariamman[[#This Row],[JANUARY]]&gt;=100,"P")</f>
        <v>A</v>
      </c>
      <c r="D12" t="s">
        <v>30</v>
      </c>
      <c r="E12" s="85" t="s">
        <v>1297</v>
      </c>
      <c r="F12" t="s">
        <v>1298</v>
      </c>
      <c r="H12" s="83" t="s">
        <v>45</v>
      </c>
      <c r="I12" s="84"/>
      <c r="J12" s="83" t="s">
        <v>45</v>
      </c>
      <c r="S12" s="83"/>
      <c r="T12" s="83"/>
      <c r="U12" s="83"/>
      <c r="V12" s="85"/>
    </row>
    <row r="13" spans="1:22" x14ac:dyDescent="0.25">
      <c r="A13">
        <v>12</v>
      </c>
      <c r="B13" t="s">
        <v>1299</v>
      </c>
      <c r="C13" t="str">
        <f t="array" ref="C13">_xlfn.IFS(ISNUMBER(SEARCH("M",mariamman[[#This Row],[JANUARY]])),"M",mariamman[[#This Row],[JANUARY]]="A","A",mariamman[[#This Row],[JANUARY]]="","",mariamman[[#This Row],[JANUARY]]&gt;=100,"P")</f>
        <v>A</v>
      </c>
      <c r="D13" t="s">
        <v>131</v>
      </c>
      <c r="E13" s="85" t="s">
        <v>1300</v>
      </c>
      <c r="F13" t="s">
        <v>1301</v>
      </c>
      <c r="H13" s="83" t="s">
        <v>45</v>
      </c>
      <c r="I13" s="84"/>
      <c r="J13" s="83" t="s">
        <v>45</v>
      </c>
      <c r="S13" s="83"/>
      <c r="T13" s="83"/>
      <c r="U13" s="83"/>
      <c r="V13" s="85"/>
    </row>
    <row r="14" spans="1:22" x14ac:dyDescent="0.25">
      <c r="A14">
        <v>13</v>
      </c>
      <c r="B14" t="s">
        <v>1302</v>
      </c>
      <c r="C14" t="str">
        <f t="array" ref="C14">_xlfn.IFS(ISNUMBER(SEARCH("M",mariamman[[#This Row],[JANUARY]])),"M",mariamman[[#This Row],[JANUARY]]="A","A",mariamman[[#This Row],[JANUARY]]="","",mariamman[[#This Row],[JANUARY]]&gt;=100,"P")</f>
        <v>P</v>
      </c>
      <c r="D14" t="s">
        <v>30</v>
      </c>
      <c r="E14" s="85" t="s">
        <v>1303</v>
      </c>
      <c r="F14" t="s">
        <v>1304</v>
      </c>
      <c r="H14" s="83">
        <v>220</v>
      </c>
      <c r="I14" s="84"/>
      <c r="J14" s="83">
        <v>220</v>
      </c>
      <c r="S14" s="83"/>
      <c r="T14" s="83"/>
      <c r="U14" s="83"/>
      <c r="V14" s="85"/>
    </row>
    <row r="15" spans="1:22" x14ac:dyDescent="0.25">
      <c r="A15">
        <v>14</v>
      </c>
      <c r="B15" t="s">
        <v>1305</v>
      </c>
      <c r="C15" t="str">
        <f t="array" ref="C15">_xlfn.IFS(ISNUMBER(SEARCH("M",mariamman[[#This Row],[JANUARY]])),"M",mariamman[[#This Row],[JANUARY]]="A","A",mariamman[[#This Row],[JANUARY]]="","",mariamman[[#This Row],[JANUARY]]&gt;=100,"P")</f>
        <v>M</v>
      </c>
      <c r="D15" t="s">
        <v>30</v>
      </c>
      <c r="E15" s="85" t="s">
        <v>1306</v>
      </c>
      <c r="F15" t="s">
        <v>1307</v>
      </c>
      <c r="H15" s="83" t="s">
        <v>1308</v>
      </c>
      <c r="I15" s="84">
        <f>SUM(8*230)</f>
        <v>1840</v>
      </c>
      <c r="J15" s="83" t="s">
        <v>2562</v>
      </c>
      <c r="S15" s="83"/>
      <c r="T15" s="83"/>
      <c r="U15" s="83"/>
      <c r="V15" s="85"/>
    </row>
    <row r="16" spans="1:22" x14ac:dyDescent="0.25">
      <c r="A16">
        <v>15</v>
      </c>
      <c r="B16" t="s">
        <v>1309</v>
      </c>
      <c r="C16" t="str">
        <f t="array" ref="C16">_xlfn.IFS(ISNUMBER(SEARCH("M",mariamman[[#This Row],[JANUARY]])),"M",mariamman[[#This Row],[JANUARY]]="A","A",mariamman[[#This Row],[JANUARY]]="","",mariamman[[#This Row],[JANUARY]]&gt;=100,"P")</f>
        <v>P</v>
      </c>
      <c r="D16" t="s">
        <v>51</v>
      </c>
      <c r="E16" s="85" t="s">
        <v>1310</v>
      </c>
      <c r="F16" s="85" t="s">
        <v>1311</v>
      </c>
      <c r="H16" s="83">
        <v>200</v>
      </c>
      <c r="I16" s="84"/>
      <c r="J16" s="83">
        <v>200</v>
      </c>
      <c r="S16" s="83"/>
      <c r="T16" s="83"/>
      <c r="U16" s="83"/>
      <c r="V16" s="85"/>
    </row>
    <row r="17" spans="1:22" x14ac:dyDescent="0.25">
      <c r="A17">
        <v>16</v>
      </c>
      <c r="B17" t="s">
        <v>1312</v>
      </c>
      <c r="C17" t="str">
        <f t="array" ref="C17">_xlfn.IFS(ISNUMBER(SEARCH("M",mariamman[[#This Row],[JANUARY]])),"M",mariamman[[#This Row],[JANUARY]]="A","A",mariamman[[#This Row],[JANUARY]]="","",mariamman[[#This Row],[JANUARY]]&gt;=100,"P")</f>
        <v>P</v>
      </c>
      <c r="D17" t="s">
        <v>30</v>
      </c>
      <c r="E17" s="85" t="s">
        <v>1313</v>
      </c>
      <c r="F17" t="s">
        <v>1314</v>
      </c>
      <c r="H17" s="83" t="s">
        <v>1315</v>
      </c>
      <c r="I17" s="84"/>
      <c r="J17" s="83" t="s">
        <v>1316</v>
      </c>
      <c r="S17" s="83"/>
      <c r="T17" s="83"/>
      <c r="U17" s="83"/>
      <c r="V17" s="85"/>
    </row>
    <row r="18" spans="1:22" x14ac:dyDescent="0.25">
      <c r="A18">
        <v>17</v>
      </c>
      <c r="B18" t="s">
        <v>1317</v>
      </c>
      <c r="C18" t="str">
        <f t="array" ref="C18">_xlfn.IFS(ISNUMBER(SEARCH("M",mariamman[[#This Row],[JANUARY]])),"M",mariamman[[#This Row],[JANUARY]]="A","A",mariamman[[#This Row],[JANUARY]]="","",mariamman[[#This Row],[JANUARY]]&gt;=100,"P")</f>
        <v>P</v>
      </c>
      <c r="D18" t="s">
        <v>30</v>
      </c>
      <c r="E18" s="85" t="s">
        <v>1318</v>
      </c>
      <c r="F18" t="s">
        <v>1314</v>
      </c>
      <c r="H18" s="83" t="s">
        <v>1315</v>
      </c>
      <c r="I18" s="84"/>
      <c r="J18" s="83" t="s">
        <v>1316</v>
      </c>
      <c r="S18" s="83"/>
      <c r="T18" s="83"/>
      <c r="U18" s="83"/>
      <c r="V18" s="85"/>
    </row>
    <row r="19" spans="1:22" x14ac:dyDescent="0.25">
      <c r="A19">
        <v>18</v>
      </c>
      <c r="B19" t="s">
        <v>816</v>
      </c>
      <c r="C19" t="str">
        <f t="array" ref="C19">_xlfn.IFS(ISNUMBER(SEARCH("M",mariamman[[#This Row],[JANUARY]])),"M",mariamman[[#This Row],[JANUARY]]="A","A",mariamman[[#This Row],[JANUARY]]="","",mariamman[[#This Row],[JANUARY]]&gt;=100,"P")</f>
        <v>P</v>
      </c>
      <c r="D19" t="s">
        <v>30</v>
      </c>
      <c r="E19" s="85" t="s">
        <v>1319</v>
      </c>
      <c r="F19" t="s">
        <v>1320</v>
      </c>
      <c r="H19" s="83">
        <v>230</v>
      </c>
      <c r="I19" s="84"/>
      <c r="J19" s="83">
        <v>230</v>
      </c>
      <c r="S19" s="83"/>
      <c r="T19" s="83"/>
      <c r="U19" s="83"/>
      <c r="V19" s="85"/>
    </row>
    <row r="20" spans="1:22" x14ac:dyDescent="0.25">
      <c r="A20">
        <v>19</v>
      </c>
      <c r="B20" t="s">
        <v>1321</v>
      </c>
      <c r="C20" t="str">
        <f t="array" ref="C20">_xlfn.IFS(ISNUMBER(SEARCH("M",mariamman[[#This Row],[JANUARY]])),"M",mariamman[[#This Row],[JANUARY]]="A","A",mariamman[[#This Row],[JANUARY]]="","",mariamman[[#This Row],[JANUARY]]&gt;=100,"P")</f>
        <v>P</v>
      </c>
      <c r="D20" t="s">
        <v>51</v>
      </c>
      <c r="E20" s="85" t="s">
        <v>1322</v>
      </c>
      <c r="F20" t="s">
        <v>1323</v>
      </c>
      <c r="H20" s="83">
        <v>200</v>
      </c>
      <c r="I20" s="84"/>
      <c r="J20" s="83">
        <v>200</v>
      </c>
      <c r="S20" s="83"/>
      <c r="T20" s="83"/>
      <c r="U20" s="83"/>
      <c r="V20" s="85"/>
    </row>
    <row r="21" spans="1:22" x14ac:dyDescent="0.25">
      <c r="A21">
        <v>20</v>
      </c>
      <c r="B21" t="s">
        <v>1324</v>
      </c>
      <c r="C21" t="str">
        <f t="array" ref="C21">_xlfn.IFS(ISNUMBER(SEARCH("M",mariamman[[#This Row],[JANUARY]])),"M",mariamman[[#This Row],[JANUARY]]="A","A",mariamman[[#This Row],[JANUARY]]="","",mariamman[[#This Row],[JANUARY]]&gt;=100,"P")</f>
        <v>P</v>
      </c>
      <c r="D21" t="s">
        <v>30</v>
      </c>
      <c r="E21" s="85" t="s">
        <v>1325</v>
      </c>
      <c r="F21" t="s">
        <v>1326</v>
      </c>
      <c r="H21" s="83">
        <v>200</v>
      </c>
      <c r="I21" s="84"/>
      <c r="J21" s="83">
        <v>200</v>
      </c>
      <c r="S21" s="83"/>
      <c r="T21" s="83"/>
      <c r="U21" s="83"/>
      <c r="V21" s="85"/>
    </row>
    <row r="22" spans="1:22" x14ac:dyDescent="0.25">
      <c r="A22">
        <v>21</v>
      </c>
      <c r="B22" t="s">
        <v>648</v>
      </c>
      <c r="C22" t="str">
        <f t="array" ref="C22">_xlfn.IFS(ISNUMBER(SEARCH("M",mariamman[[#This Row],[JANUARY]])),"M",mariamman[[#This Row],[JANUARY]]="A","A",mariamman[[#This Row],[JANUARY]]="","",mariamman[[#This Row],[JANUARY]]&gt;=100,"P")</f>
        <v>P</v>
      </c>
      <c r="D22" t="s">
        <v>23</v>
      </c>
      <c r="E22" s="85" t="s">
        <v>1327</v>
      </c>
      <c r="F22" t="s">
        <v>1328</v>
      </c>
      <c r="H22" s="83">
        <v>200</v>
      </c>
      <c r="I22" s="84"/>
      <c r="J22" s="83">
        <v>200</v>
      </c>
      <c r="S22" s="83"/>
      <c r="T22" s="83"/>
      <c r="U22" s="83"/>
      <c r="V22" s="85"/>
    </row>
    <row r="23" spans="1:22" x14ac:dyDescent="0.25">
      <c r="A23">
        <v>22</v>
      </c>
      <c r="B23" t="s">
        <v>1329</v>
      </c>
      <c r="C23" t="str">
        <f t="array" ref="C23">_xlfn.IFS(ISNUMBER(SEARCH("M",mariamman[[#This Row],[JANUARY]])),"M",mariamman[[#This Row],[JANUARY]]="A","A",mariamman[[#This Row],[JANUARY]]="","",mariamman[[#This Row],[JANUARY]]&gt;=100,"P")</f>
        <v>M</v>
      </c>
      <c r="D23" t="s">
        <v>36</v>
      </c>
      <c r="E23" s="85" t="s">
        <v>1330</v>
      </c>
      <c r="F23" t="s">
        <v>1331</v>
      </c>
      <c r="H23" s="83">
        <v>200</v>
      </c>
      <c r="I23" s="84"/>
      <c r="J23" s="83" t="s">
        <v>49</v>
      </c>
      <c r="S23" s="83"/>
      <c r="T23" s="83"/>
      <c r="U23" s="83"/>
      <c r="V23" s="85"/>
    </row>
    <row r="24" spans="1:22" x14ac:dyDescent="0.25">
      <c r="A24">
        <v>23</v>
      </c>
      <c r="B24" t="s">
        <v>1332</v>
      </c>
      <c r="C24" t="str">
        <f t="array" ref="C24">_xlfn.IFS(ISNUMBER(SEARCH("M",mariamman[[#This Row],[JANUARY]])),"M",mariamman[[#This Row],[JANUARY]]="A","A",mariamman[[#This Row],[JANUARY]]="","",mariamman[[#This Row],[JANUARY]]&gt;=100,"P")</f>
        <v>A</v>
      </c>
      <c r="D24" t="s">
        <v>30</v>
      </c>
      <c r="E24" s="85" t="s">
        <v>1333</v>
      </c>
      <c r="F24" t="s">
        <v>1334</v>
      </c>
      <c r="H24" s="83" t="s">
        <v>1012</v>
      </c>
      <c r="I24" s="84"/>
      <c r="J24" s="83" t="s">
        <v>45</v>
      </c>
      <c r="S24" s="83"/>
      <c r="T24" s="83"/>
      <c r="U24" s="83"/>
      <c r="V24" s="85"/>
    </row>
    <row r="25" spans="1:22" x14ac:dyDescent="0.25">
      <c r="A25">
        <v>24</v>
      </c>
      <c r="B25" t="s">
        <v>963</v>
      </c>
      <c r="C25" t="str">
        <f t="array" ref="C25">_xlfn.IFS(ISNUMBER(SEARCH("M",mariamman[[#This Row],[JANUARY]])),"M",mariamman[[#This Row],[JANUARY]]="A","A",mariamman[[#This Row],[JANUARY]]="","",mariamman[[#This Row],[JANUARY]]&gt;=100,"P")</f>
        <v>P</v>
      </c>
      <c r="D25" t="s">
        <v>23</v>
      </c>
      <c r="E25" s="85" t="s">
        <v>1335</v>
      </c>
      <c r="F25" t="s">
        <v>1336</v>
      </c>
      <c r="H25" s="83">
        <v>200</v>
      </c>
      <c r="I25" s="84"/>
      <c r="J25" s="83">
        <v>200</v>
      </c>
      <c r="S25" s="83"/>
      <c r="T25" s="83"/>
      <c r="U25" s="83"/>
      <c r="V25" s="85"/>
    </row>
    <row r="26" spans="1:22" x14ac:dyDescent="0.25">
      <c r="A26">
        <v>25</v>
      </c>
      <c r="B26" t="s">
        <v>1337</v>
      </c>
      <c r="C26" t="str">
        <f t="array" ref="C26">_xlfn.IFS(ISNUMBER(SEARCH("M",mariamman[[#This Row],[JANUARY]])),"M",mariamman[[#This Row],[JANUARY]]="A","A",mariamman[[#This Row],[JANUARY]]="","",mariamman[[#This Row],[JANUARY]]&gt;=100,"P")</f>
        <v>P</v>
      </c>
      <c r="D26" t="s">
        <v>36</v>
      </c>
      <c r="E26" s="85" t="s">
        <v>1338</v>
      </c>
      <c r="F26" t="s">
        <v>1339</v>
      </c>
      <c r="H26" s="83">
        <v>200</v>
      </c>
      <c r="I26" s="84"/>
      <c r="J26" s="83">
        <v>200</v>
      </c>
      <c r="S26" s="83"/>
      <c r="T26" s="83"/>
      <c r="U26" s="83"/>
      <c r="V26" s="85"/>
    </row>
    <row r="27" spans="1:22" x14ac:dyDescent="0.25">
      <c r="A27">
        <v>26</v>
      </c>
      <c r="B27" t="s">
        <v>46</v>
      </c>
      <c r="C27" t="str">
        <f t="array" ref="C27">_xlfn.IFS(ISNUMBER(SEARCH("M",mariamman[[#This Row],[JANUARY]])),"M",mariamman[[#This Row],[JANUARY]]="A","A",mariamman[[#This Row],[JANUARY]]="","",mariamman[[#This Row],[JANUARY]]&gt;=100,"P")</f>
        <v>P</v>
      </c>
      <c r="D27" t="s">
        <v>36</v>
      </c>
      <c r="E27" s="85" t="s">
        <v>1340</v>
      </c>
      <c r="F27" t="s">
        <v>1341</v>
      </c>
      <c r="H27" s="83">
        <v>230</v>
      </c>
      <c r="I27" s="84"/>
      <c r="J27" s="83">
        <v>220</v>
      </c>
      <c r="S27" s="83"/>
      <c r="T27" s="83"/>
      <c r="U27" s="83"/>
      <c r="V27" s="85"/>
    </row>
    <row r="28" spans="1:22" x14ac:dyDescent="0.25">
      <c r="A28">
        <v>27</v>
      </c>
      <c r="B28" t="s">
        <v>1342</v>
      </c>
      <c r="C28" t="str">
        <f t="array" ref="C28">_xlfn.IFS(ISNUMBER(SEARCH("M",mariamman[[#This Row],[JANUARY]])),"M",mariamman[[#This Row],[JANUARY]]="A","A",mariamman[[#This Row],[JANUARY]]="","",mariamman[[#This Row],[JANUARY]]&gt;=100,"P")</f>
        <v>P</v>
      </c>
      <c r="D28" t="s">
        <v>23</v>
      </c>
      <c r="E28" s="85" t="s">
        <v>1343</v>
      </c>
      <c r="F28" t="s">
        <v>1344</v>
      </c>
      <c r="H28" s="83">
        <v>200</v>
      </c>
      <c r="I28" s="84"/>
      <c r="J28" s="83">
        <v>200</v>
      </c>
      <c r="S28" s="83"/>
      <c r="T28" s="83"/>
      <c r="U28" s="83"/>
      <c r="V28" s="85"/>
    </row>
    <row r="29" spans="1:22" x14ac:dyDescent="0.25">
      <c r="A29">
        <v>28</v>
      </c>
      <c r="B29" t="s">
        <v>706</v>
      </c>
      <c r="C29" t="str">
        <f t="array" ref="C29">_xlfn.IFS(ISNUMBER(SEARCH("M",mariamman[[#This Row],[JANUARY]])),"M",mariamman[[#This Row],[JANUARY]]="A","A",mariamman[[#This Row],[JANUARY]]="","",mariamman[[#This Row],[JANUARY]]&gt;=100,"P")</f>
        <v>P</v>
      </c>
      <c r="D29" t="s">
        <v>51</v>
      </c>
      <c r="E29" s="85" t="s">
        <v>1345</v>
      </c>
      <c r="F29" s="85" t="s">
        <v>1346</v>
      </c>
      <c r="H29" s="83">
        <v>200</v>
      </c>
      <c r="I29" s="84"/>
      <c r="J29" s="83">
        <v>200</v>
      </c>
      <c r="S29" s="83"/>
      <c r="T29" s="83"/>
      <c r="U29" s="83"/>
      <c r="V29" s="85"/>
    </row>
    <row r="30" spans="1:22" x14ac:dyDescent="0.25">
      <c r="A30">
        <v>29</v>
      </c>
      <c r="B30" t="s">
        <v>1347</v>
      </c>
      <c r="C30" t="str">
        <f t="array" ref="C30">_xlfn.IFS(ISNUMBER(SEARCH("M",mariamman[[#This Row],[JANUARY]])),"M",mariamman[[#This Row],[JANUARY]]="A","A",mariamman[[#This Row],[JANUARY]]="","",mariamman[[#This Row],[JANUARY]]&gt;=100,"P")</f>
        <v>P</v>
      </c>
      <c r="D30" t="s">
        <v>51</v>
      </c>
      <c r="E30" s="85" t="s">
        <v>1348</v>
      </c>
      <c r="F30" t="s">
        <v>1349</v>
      </c>
      <c r="H30" s="83">
        <v>200</v>
      </c>
      <c r="I30" s="84"/>
      <c r="J30" s="83">
        <v>200</v>
      </c>
      <c r="S30" s="83"/>
      <c r="T30" s="83"/>
      <c r="U30" s="83"/>
      <c r="V30" s="85"/>
    </row>
    <row r="31" spans="1:22" x14ac:dyDescent="0.25">
      <c r="A31">
        <v>30</v>
      </c>
      <c r="B31" t="s">
        <v>164</v>
      </c>
      <c r="C31" t="str">
        <f t="array" ref="C31">_xlfn.IFS(ISNUMBER(SEARCH("M",mariamman[[#This Row],[JANUARY]])),"M",mariamman[[#This Row],[JANUARY]]="A","A",mariamman[[#This Row],[JANUARY]]="","",mariamman[[#This Row],[JANUARY]]&gt;=100,"P")</f>
        <v>P</v>
      </c>
      <c r="D31" t="s">
        <v>51</v>
      </c>
      <c r="E31" s="85" t="s">
        <v>1350</v>
      </c>
      <c r="F31" t="s">
        <v>1351</v>
      </c>
      <c r="H31" s="83">
        <v>200</v>
      </c>
      <c r="I31" s="84"/>
      <c r="J31" s="83">
        <v>200</v>
      </c>
      <c r="S31" s="83"/>
      <c r="T31" s="83"/>
      <c r="U31" s="83"/>
      <c r="V31" s="85"/>
    </row>
    <row r="32" spans="1:22" x14ac:dyDescent="0.25">
      <c r="A32">
        <v>31</v>
      </c>
      <c r="B32" t="s">
        <v>46</v>
      </c>
      <c r="C32" t="str">
        <f t="array" ref="C32">_xlfn.IFS(ISNUMBER(SEARCH("M",mariamman[[#This Row],[JANUARY]])),"M",mariamman[[#This Row],[JANUARY]]="A","A",mariamman[[#This Row],[JANUARY]]="","",mariamman[[#This Row],[JANUARY]]&gt;=100,"P")</f>
        <v>P</v>
      </c>
      <c r="D32" t="s">
        <v>36</v>
      </c>
      <c r="E32" s="85" t="s">
        <v>1352</v>
      </c>
      <c r="F32" s="85" t="s">
        <v>1353</v>
      </c>
      <c r="H32" s="83">
        <v>200</v>
      </c>
      <c r="I32" s="84"/>
      <c r="J32" s="83">
        <v>200</v>
      </c>
      <c r="S32" s="83"/>
      <c r="T32" s="83"/>
      <c r="U32" s="83"/>
      <c r="V32" s="85"/>
    </row>
    <row r="33" spans="1:22" x14ac:dyDescent="0.25">
      <c r="A33">
        <v>32</v>
      </c>
      <c r="B33" t="s">
        <v>1354</v>
      </c>
      <c r="C33" t="str">
        <f t="array" ref="C33">_xlfn.IFS(ISNUMBER(SEARCH("M",mariamman[[#This Row],[JANUARY]])),"M",mariamman[[#This Row],[JANUARY]]="A","A",mariamman[[#This Row],[JANUARY]]="","",mariamman[[#This Row],[JANUARY]]&gt;=100,"P")</f>
        <v>P</v>
      </c>
      <c r="D33" t="s">
        <v>51</v>
      </c>
      <c r="E33" s="85" t="s">
        <v>1355</v>
      </c>
      <c r="F33" t="s">
        <v>1356</v>
      </c>
      <c r="H33" s="83">
        <v>200</v>
      </c>
      <c r="I33" s="84"/>
      <c r="J33" s="83">
        <v>200</v>
      </c>
      <c r="S33" s="83"/>
      <c r="T33" s="83"/>
      <c r="U33" s="83"/>
      <c r="V33" s="85"/>
    </row>
    <row r="34" spans="1:22" x14ac:dyDescent="0.25">
      <c r="A34">
        <v>33</v>
      </c>
      <c r="B34" t="s">
        <v>1357</v>
      </c>
      <c r="C34" t="str">
        <f t="array" ref="C34">_xlfn.IFS(ISNUMBER(SEARCH("M",mariamman[[#This Row],[JANUARY]])),"M",mariamman[[#This Row],[JANUARY]]="A","A",mariamman[[#This Row],[JANUARY]]="","",mariamman[[#This Row],[JANUARY]]&gt;=100,"P")</f>
        <v>M</v>
      </c>
      <c r="D34" t="s">
        <v>23</v>
      </c>
      <c r="E34" s="85" t="s">
        <v>1358</v>
      </c>
      <c r="F34" t="s">
        <v>1359</v>
      </c>
      <c r="H34" s="83">
        <v>175</v>
      </c>
      <c r="I34" s="84">
        <v>175</v>
      </c>
      <c r="J34" s="83" t="s">
        <v>49</v>
      </c>
      <c r="S34" s="83"/>
      <c r="T34" s="83"/>
      <c r="U34" s="83"/>
      <c r="V34" s="85"/>
    </row>
    <row r="35" spans="1:22" x14ac:dyDescent="0.25">
      <c r="A35">
        <v>34</v>
      </c>
      <c r="B35" t="s">
        <v>486</v>
      </c>
      <c r="C35" t="str">
        <f t="array" ref="C35">_xlfn.IFS(ISNUMBER(SEARCH("M",mariamman[[#This Row],[JANUARY]])),"M",mariamman[[#This Row],[JANUARY]]="A","A",mariamman[[#This Row],[JANUARY]]="","",mariamman[[#This Row],[JANUARY]]&gt;=100,"P")</f>
        <v>P</v>
      </c>
      <c r="D35" t="s">
        <v>51</v>
      </c>
      <c r="E35" s="85" t="s">
        <v>1360</v>
      </c>
      <c r="F35" t="s">
        <v>1361</v>
      </c>
      <c r="H35" s="83">
        <v>175</v>
      </c>
      <c r="I35" s="84"/>
      <c r="J35" s="83">
        <v>350</v>
      </c>
      <c r="S35" s="83"/>
      <c r="T35" s="83"/>
      <c r="U35" s="83"/>
      <c r="V35" s="85"/>
    </row>
    <row r="36" spans="1:22" x14ac:dyDescent="0.25">
      <c r="A36">
        <v>35</v>
      </c>
      <c r="B36" t="s">
        <v>724</v>
      </c>
      <c r="C36" t="str">
        <f t="array" ref="C36">_xlfn.IFS(ISNUMBER(SEARCH("M",mariamman[[#This Row],[JANUARY]])),"M",mariamman[[#This Row],[JANUARY]]="A","A",mariamman[[#This Row],[JANUARY]]="","",mariamman[[#This Row],[JANUARY]]&gt;=100,"P")</f>
        <v>P</v>
      </c>
      <c r="D36" t="s">
        <v>576</v>
      </c>
      <c r="E36" s="85" t="s">
        <v>1362</v>
      </c>
      <c r="F36" s="85" t="s">
        <v>1363</v>
      </c>
      <c r="H36" s="83" t="s">
        <v>2588</v>
      </c>
      <c r="I36" s="84"/>
      <c r="J36" s="83">
        <v>440</v>
      </c>
      <c r="S36" s="83"/>
      <c r="T36" s="83"/>
      <c r="U36" s="83"/>
      <c r="V36" s="85" t="s">
        <v>1364</v>
      </c>
    </row>
    <row r="37" spans="1:22" x14ac:dyDescent="0.25">
      <c r="A37">
        <v>36</v>
      </c>
      <c r="B37" t="s">
        <v>1365</v>
      </c>
      <c r="C37" t="str">
        <f t="array" ref="C37">_xlfn.IFS(ISNUMBER(SEARCH("M",mariamman[[#This Row],[JANUARY]])),"M",mariamman[[#This Row],[JANUARY]]="A","A",mariamman[[#This Row],[JANUARY]]="","",mariamman[[#This Row],[JANUARY]]&gt;=100,"P")</f>
        <v>P</v>
      </c>
      <c r="D37" t="s">
        <v>30</v>
      </c>
      <c r="E37" s="85" t="s">
        <v>1366</v>
      </c>
      <c r="F37" s="85" t="s">
        <v>1367</v>
      </c>
      <c r="H37" s="83" t="s">
        <v>806</v>
      </c>
      <c r="I37" s="84"/>
      <c r="J37" s="83" t="s">
        <v>806</v>
      </c>
      <c r="S37" s="83"/>
      <c r="T37" s="83"/>
      <c r="U37" s="83"/>
      <c r="V37" s="85"/>
    </row>
    <row r="38" spans="1:22" x14ac:dyDescent="0.25">
      <c r="A38">
        <v>37</v>
      </c>
      <c r="B38" t="s">
        <v>1368</v>
      </c>
      <c r="C38" t="str">
        <f t="array" ref="C38">_xlfn.IFS(ISNUMBER(SEARCH("M",mariamman[[#This Row],[JANUARY]])),"M",mariamman[[#This Row],[JANUARY]]="A","A",mariamman[[#This Row],[JANUARY]]="","",mariamman[[#This Row],[JANUARY]]&gt;=100,"P")</f>
        <v>P</v>
      </c>
      <c r="D38" t="s">
        <v>30</v>
      </c>
      <c r="E38" s="85" t="s">
        <v>1369</v>
      </c>
      <c r="F38" s="85" t="s">
        <v>1370</v>
      </c>
      <c r="H38" s="83">
        <v>230</v>
      </c>
      <c r="I38" s="84"/>
      <c r="J38" s="83">
        <v>230</v>
      </c>
      <c r="S38" s="83"/>
      <c r="T38" s="83"/>
      <c r="U38" s="83"/>
      <c r="V38" s="85" t="s">
        <v>1371</v>
      </c>
    </row>
    <row r="39" spans="1:22" s="8" customFormat="1" x14ac:dyDescent="0.25">
      <c r="A39">
        <v>38</v>
      </c>
      <c r="B39" t="s">
        <v>1372</v>
      </c>
      <c r="C39" t="str">
        <f t="array" ref="C39">_xlfn.IFS(ISNUMBER(SEARCH("M",mariamman[[#This Row],[JANUARY]])),"M",mariamman[[#This Row],[JANUARY]]="A","A",mariamman[[#This Row],[JANUARY]]="","",mariamman[[#This Row],[JANUARY]]&gt;=100,"P")</f>
        <v>P</v>
      </c>
      <c r="D39" t="s">
        <v>88</v>
      </c>
      <c r="E39" s="85" t="s">
        <v>1373</v>
      </c>
      <c r="F39" s="85" t="s">
        <v>1374</v>
      </c>
      <c r="G39" s="85"/>
      <c r="H39" s="83"/>
      <c r="I39" s="84"/>
      <c r="J39" s="83" t="s">
        <v>593</v>
      </c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5"/>
    </row>
    <row r="40" spans="1:22" x14ac:dyDescent="0.25">
      <c r="A40" s="8" t="s">
        <v>246</v>
      </c>
      <c r="B40" s="8"/>
      <c r="C40" s="8">
        <f>COUNTIF(C2:C39, "&gt;=a")</f>
        <v>37</v>
      </c>
      <c r="D40" s="8">
        <f>SUBTOTAL(103,mariamman[Package])</f>
        <v>37</v>
      </c>
      <c r="E40" s="8">
        <f>SUBTOTAL(103,mariamman[Box No])</f>
        <v>38</v>
      </c>
      <c r="F40" s="8">
        <f>SUBTOTAL(103,mariamman[CAF_ID])</f>
        <v>38</v>
      </c>
      <c r="G40" s="8"/>
      <c r="H40" s="56">
        <f>SUBTOTAL(109,mariamman[Dec-20])</f>
        <v>5930</v>
      </c>
      <c r="I40" s="28">
        <f>SUBTOTAL(109,mariamman[BALANCE])</f>
        <v>2415</v>
      </c>
      <c r="J40" s="56">
        <f>SUBTOTAL(109,mariamman[JANUARY])</f>
        <v>5760</v>
      </c>
      <c r="K40" s="56">
        <f>SUBTOTAL(109,mariamman[FEBEUARY])</f>
        <v>0</v>
      </c>
      <c r="L40" s="56">
        <f>SUBTOTAL(109,mariamman[MARCH])</f>
        <v>0</v>
      </c>
      <c r="M40" s="56">
        <f>SUBTOTAL(109,mariamman[APRIL])</f>
        <v>0</v>
      </c>
      <c r="N40" s="56">
        <f>SUBTOTAL(109,mariamman[MAY])</f>
        <v>0</v>
      </c>
      <c r="O40" s="56">
        <f>SUBTOTAL(109,mariamman[JUNE])</f>
        <v>0</v>
      </c>
      <c r="P40" s="56">
        <f>SUBTOTAL(109,mariamman[JULY])</f>
        <v>0</v>
      </c>
      <c r="Q40" s="56">
        <f>SUBTOTAL(109,mariamman[AUGUST])</f>
        <v>0</v>
      </c>
      <c r="R40" s="56">
        <f>SUBTOTAL(109,mariamman[SEPTEMBER])</f>
        <v>0</v>
      </c>
      <c r="S40" s="56">
        <f>SUBTOTAL(109,mariamman[OCTOBER])</f>
        <v>0</v>
      </c>
      <c r="T40" s="56">
        <f>SUBTOTAL(109,mariamman[NOVEMBER])</f>
        <v>0</v>
      </c>
      <c r="U40" s="56"/>
      <c r="V40" s="92"/>
    </row>
    <row r="42" spans="1:22" x14ac:dyDescent="0.25">
      <c r="B42" s="9" t="s">
        <v>247</v>
      </c>
      <c r="C42" s="19">
        <f>COUNTIF(C2:C39,"P")</f>
        <v>30</v>
      </c>
    </row>
    <row r="43" spans="1:22" x14ac:dyDescent="0.25">
      <c r="B43" s="18" t="s">
        <v>248</v>
      </c>
      <c r="C43" s="23">
        <f>COUNTIF(C2:C39,"M")</f>
        <v>4</v>
      </c>
    </row>
    <row r="44" spans="1:22" ht="15.75" customHeight="1" x14ac:dyDescent="0.25">
      <c r="B44" s="10" t="s">
        <v>249</v>
      </c>
      <c r="C44" s="21">
        <f>COUNTIF(C2:C39,"A")</f>
        <v>3</v>
      </c>
    </row>
    <row r="45" spans="1:22" ht="15.75" customHeight="1" thickBot="1" x14ac:dyDescent="0.3">
      <c r="B45" s="17" t="s">
        <v>250</v>
      </c>
      <c r="C45" s="17">
        <f>SUM(C42:C44)</f>
        <v>37</v>
      </c>
    </row>
    <row r="46" spans="1:22" ht="15.75" customHeight="1" thickTop="1" x14ac:dyDescent="0.25"/>
  </sheetData>
  <phoneticPr fontId="35" type="noConversion"/>
  <conditionalFormatting sqref="B4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2">
    <tabColor rgb="FF92D050"/>
  </sheetPr>
  <dimension ref="A1:V72"/>
  <sheetViews>
    <sheetView topLeftCell="A36" zoomScale="115" zoomScaleNormal="115" workbookViewId="0">
      <selection activeCell="I10" sqref="I10"/>
    </sheetView>
  </sheetViews>
  <sheetFormatPr defaultRowHeight="15" x14ac:dyDescent="0.25"/>
  <cols>
    <col min="1" max="1" width="6" style="87" customWidth="1"/>
    <col min="2" max="2" width="20.7109375" style="87" customWidth="1"/>
    <col min="3" max="3" width="6.7109375" style="87" customWidth="1"/>
    <col min="4" max="4" width="29" style="87" customWidth="1"/>
    <col min="5" max="5" width="21" style="87" customWidth="1"/>
    <col min="7" max="7" width="10.140625" style="84" customWidth="1"/>
    <col min="8" max="8" width="11.5703125" style="84" customWidth="1"/>
    <col min="9" max="18" width="11.85546875" style="83" customWidth="1"/>
    <col min="19" max="21" width="11.85546875" style="61" customWidth="1"/>
    <col min="22" max="22" width="27.85546875" style="87" customWidth="1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45" t="s">
        <v>8</v>
      </c>
      <c r="I1" s="83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85" t="s">
        <v>21</v>
      </c>
    </row>
    <row r="2" spans="1:22" x14ac:dyDescent="0.25">
      <c r="A2">
        <v>1</v>
      </c>
      <c r="B2" t="s">
        <v>164</v>
      </c>
      <c r="C2" t="str">
        <f t="array" ref="C2">_xlfn.IFS(ISNUMBER(SEARCH("M",acolony[[#This Row],[JANUARY]])),"M",acolony[[#This Row],[JANUARY]]="A","A",acolony[[#This Row],[JANUARY]]="","",acolony[[#This Row],[JANUARY]]&gt;=100,"P")</f>
        <v>P</v>
      </c>
      <c r="D2" t="s">
        <v>30</v>
      </c>
      <c r="E2" s="85" t="s">
        <v>1375</v>
      </c>
      <c r="F2" s="85" t="s">
        <v>1376</v>
      </c>
      <c r="G2" s="85"/>
      <c r="H2" s="83">
        <v>200</v>
      </c>
      <c r="J2" s="83">
        <v>200</v>
      </c>
      <c r="S2" s="83"/>
      <c r="T2" s="83"/>
      <c r="U2" s="83"/>
      <c r="V2" s="85"/>
    </row>
    <row r="3" spans="1:22" x14ac:dyDescent="0.25">
      <c r="A3">
        <v>2</v>
      </c>
      <c r="B3" t="s">
        <v>1377</v>
      </c>
      <c r="C3" t="str">
        <f t="array" ref="C3">_xlfn.IFS(ISNUMBER(SEARCH("M",acolony[[#This Row],[JANUARY]])),"M",acolony[[#This Row],[JANUARY]]="A","A",acolony[[#This Row],[JANUARY]]="","",acolony[[#This Row],[JANUARY]]&gt;=100,"P")</f>
        <v>P</v>
      </c>
      <c r="D3" t="s">
        <v>30</v>
      </c>
      <c r="E3" s="85" t="s">
        <v>1378</v>
      </c>
      <c r="F3" s="85" t="s">
        <v>1379</v>
      </c>
      <c r="G3" s="85"/>
      <c r="H3" s="83">
        <v>300</v>
      </c>
      <c r="J3" s="83">
        <v>400</v>
      </c>
      <c r="K3" s="83" t="s">
        <v>170</v>
      </c>
      <c r="S3" s="83"/>
      <c r="T3" s="83"/>
      <c r="U3" s="83"/>
      <c r="V3" s="85"/>
    </row>
    <row r="4" spans="1:22" x14ac:dyDescent="0.25">
      <c r="A4">
        <v>3</v>
      </c>
      <c r="B4" t="s">
        <v>1380</v>
      </c>
      <c r="C4" t="str">
        <f t="array" ref="C4">_xlfn.IFS(ISNUMBER(SEARCH("M",acolony[[#This Row],[JANUARY]])),"M",acolony[[#This Row],[JANUARY]]="A","A",acolony[[#This Row],[JANUARY]]="","",acolony[[#This Row],[JANUARY]]&gt;=100,"P")</f>
        <v>P</v>
      </c>
      <c r="D4" t="s">
        <v>36</v>
      </c>
      <c r="E4" s="85" t="s">
        <v>1381</v>
      </c>
      <c r="F4" s="85" t="s">
        <v>1382</v>
      </c>
      <c r="G4" s="85"/>
      <c r="H4" s="83">
        <v>220</v>
      </c>
      <c r="J4" s="83">
        <v>220</v>
      </c>
      <c r="S4" s="83"/>
      <c r="T4" s="83"/>
      <c r="U4" s="83"/>
      <c r="V4" s="85"/>
    </row>
    <row r="5" spans="1:22" x14ac:dyDescent="0.25">
      <c r="A5">
        <v>4</v>
      </c>
      <c r="B5" t="s">
        <v>1383</v>
      </c>
      <c r="C5" t="str">
        <f t="array" ref="C5">_xlfn.IFS(ISNUMBER(SEARCH("M",acolony[[#This Row],[JANUARY]])),"M",acolony[[#This Row],[JANUARY]]="A","A",acolony[[#This Row],[JANUARY]]="","",acolony[[#This Row],[JANUARY]]&gt;=100,"P")</f>
        <v>P</v>
      </c>
      <c r="D5" t="s">
        <v>36</v>
      </c>
      <c r="E5" s="85" t="s">
        <v>1384</v>
      </c>
      <c r="F5" s="85" t="s">
        <v>1385</v>
      </c>
      <c r="G5" s="85"/>
      <c r="H5" s="83">
        <v>200</v>
      </c>
      <c r="J5" s="83">
        <v>200</v>
      </c>
      <c r="S5" s="83"/>
      <c r="T5" s="83"/>
      <c r="U5" s="83"/>
      <c r="V5" s="85"/>
    </row>
    <row r="6" spans="1:22" x14ac:dyDescent="0.25">
      <c r="A6">
        <v>5</v>
      </c>
      <c r="B6" t="s">
        <v>1386</v>
      </c>
      <c r="C6" t="str">
        <f t="array" ref="C6">_xlfn.IFS(ISNUMBER(SEARCH("M",acolony[[#This Row],[JANUARY]])),"M",acolony[[#This Row],[JANUARY]]="A","A",acolony[[#This Row],[JANUARY]]="","",acolony[[#This Row],[JANUARY]]&gt;=100,"P")</f>
        <v>P</v>
      </c>
      <c r="D6" t="s">
        <v>30</v>
      </c>
      <c r="E6" s="85" t="s">
        <v>1387</v>
      </c>
      <c r="F6" s="85" t="s">
        <v>1388</v>
      </c>
      <c r="G6" s="85"/>
      <c r="H6" s="83">
        <v>220</v>
      </c>
      <c r="J6" s="83">
        <v>210</v>
      </c>
      <c r="S6" s="83"/>
      <c r="T6" s="83"/>
      <c r="U6" s="83"/>
      <c r="V6" s="85"/>
    </row>
    <row r="7" spans="1:22" x14ac:dyDescent="0.25">
      <c r="A7">
        <v>6</v>
      </c>
      <c r="B7" t="s">
        <v>1389</v>
      </c>
      <c r="C7" t="str">
        <f t="array" ref="C7">_xlfn.IFS(ISNUMBER(SEARCH("M",acolony[[#This Row],[JANUARY]])),"M",acolony[[#This Row],[JANUARY]]="A","A",acolony[[#This Row],[JANUARY]]="","",acolony[[#This Row],[JANUARY]]&gt;=100,"P")</f>
        <v>P</v>
      </c>
      <c r="D7" t="s">
        <v>51</v>
      </c>
      <c r="E7" s="85" t="s">
        <v>1390</v>
      </c>
      <c r="F7" s="85" t="s">
        <v>1391</v>
      </c>
      <c r="G7" s="85"/>
      <c r="H7" s="83">
        <v>200</v>
      </c>
      <c r="J7" s="83">
        <v>200</v>
      </c>
      <c r="S7" s="83"/>
      <c r="T7" s="83"/>
      <c r="U7" s="83"/>
      <c r="V7" s="85"/>
    </row>
    <row r="8" spans="1:22" x14ac:dyDescent="0.25">
      <c r="A8">
        <v>7</v>
      </c>
      <c r="B8" t="s">
        <v>46</v>
      </c>
      <c r="C8" t="str">
        <f t="array" ref="C8">_xlfn.IFS(ISNUMBER(SEARCH("M",acolony[[#This Row],[JANUARY]])),"M",acolony[[#This Row],[JANUARY]]="A","A",acolony[[#This Row],[JANUARY]]="","",acolony[[#This Row],[JANUARY]]&gt;=100,"P")</f>
        <v>P</v>
      </c>
      <c r="D8" t="s">
        <v>30</v>
      </c>
      <c r="E8" s="85" t="s">
        <v>1392</v>
      </c>
      <c r="F8" s="85" t="s">
        <v>1393</v>
      </c>
      <c r="G8" s="85"/>
      <c r="H8" s="83">
        <v>200</v>
      </c>
      <c r="J8" s="83">
        <v>200</v>
      </c>
      <c r="S8" s="83"/>
      <c r="T8" s="83"/>
      <c r="U8" s="83"/>
      <c r="V8" s="85"/>
    </row>
    <row r="9" spans="1:22" x14ac:dyDescent="0.25">
      <c r="A9">
        <v>8</v>
      </c>
      <c r="B9" t="s">
        <v>1394</v>
      </c>
      <c r="C9" t="str">
        <f t="array" ref="C9">_xlfn.IFS(ISNUMBER(SEARCH("M",acolony[[#This Row],[JANUARY]])),"M",acolony[[#This Row],[JANUARY]]="A","A",acolony[[#This Row],[JANUARY]]="","",acolony[[#This Row],[JANUARY]]&gt;=100,"P")</f>
        <v>P</v>
      </c>
      <c r="D9" t="s">
        <v>30</v>
      </c>
      <c r="E9" s="85" t="s">
        <v>1395</v>
      </c>
      <c r="F9" s="85" t="s">
        <v>1396</v>
      </c>
      <c r="G9" s="85"/>
      <c r="H9" s="83">
        <v>220</v>
      </c>
      <c r="J9" s="83">
        <v>200</v>
      </c>
      <c r="S9" s="83"/>
      <c r="T9" s="83"/>
      <c r="U9" s="83"/>
      <c r="V9" s="85"/>
    </row>
    <row r="10" spans="1:22" x14ac:dyDescent="0.25">
      <c r="A10">
        <v>9</v>
      </c>
      <c r="B10" t="s">
        <v>1111</v>
      </c>
      <c r="C10" t="str">
        <f t="array" ref="C10">_xlfn.IFS(ISNUMBER(SEARCH("M",acolony[[#This Row],[JANUARY]])),"M",acolony[[#This Row],[JANUARY]]="A","A",acolony[[#This Row],[JANUARY]]="","",acolony[[#This Row],[JANUARY]]&gt;=100,"P")</f>
        <v>P</v>
      </c>
      <c r="D10" t="s">
        <v>51</v>
      </c>
      <c r="E10" s="85" t="s">
        <v>1397</v>
      </c>
      <c r="F10" s="85" t="s">
        <v>1398</v>
      </c>
      <c r="G10" s="85"/>
      <c r="H10" s="83">
        <v>200</v>
      </c>
      <c r="J10" s="83">
        <v>200</v>
      </c>
      <c r="S10" s="83"/>
      <c r="T10" s="83"/>
      <c r="U10" s="83"/>
      <c r="V10" s="85"/>
    </row>
    <row r="11" spans="1:22" x14ac:dyDescent="0.25">
      <c r="A11">
        <v>10</v>
      </c>
      <c r="B11" t="s">
        <v>1399</v>
      </c>
      <c r="C11" t="str">
        <f t="array" ref="C11">_xlfn.IFS(ISNUMBER(SEARCH("M",acolony[[#This Row],[JANUARY]])),"M",acolony[[#This Row],[JANUARY]]="A","A",acolony[[#This Row],[JANUARY]]="","",acolony[[#This Row],[JANUARY]]&gt;=100,"P")</f>
        <v>M</v>
      </c>
      <c r="D11" s="93" t="s">
        <v>30</v>
      </c>
      <c r="E11" s="85" t="s">
        <v>1400</v>
      </c>
      <c r="F11" s="85" t="s">
        <v>1401</v>
      </c>
      <c r="G11" s="85"/>
      <c r="H11" s="83">
        <v>200</v>
      </c>
      <c r="I11" s="83">
        <v>230</v>
      </c>
      <c r="J11" s="83" t="s">
        <v>49</v>
      </c>
      <c r="K11" s="83" t="s">
        <v>2566</v>
      </c>
      <c r="S11" s="83"/>
      <c r="T11" s="83"/>
      <c r="U11" s="83"/>
      <c r="V11" s="85"/>
    </row>
    <row r="12" spans="1:22" x14ac:dyDescent="0.25">
      <c r="A12">
        <v>11</v>
      </c>
      <c r="B12" t="s">
        <v>146</v>
      </c>
      <c r="C12" t="str">
        <f t="array" ref="C12">_xlfn.IFS(ISNUMBER(SEARCH("M",acolony[[#This Row],[JANUARY]])),"M",acolony[[#This Row],[JANUARY]]="A","A",acolony[[#This Row],[JANUARY]]="","",acolony[[#This Row],[JANUARY]]&gt;=100,"P")</f>
        <v>P</v>
      </c>
      <c r="D12" t="s">
        <v>30</v>
      </c>
      <c r="E12" s="85" t="s">
        <v>1402</v>
      </c>
      <c r="F12" s="85" t="s">
        <v>1403</v>
      </c>
      <c r="G12" s="85"/>
      <c r="H12" s="83">
        <v>200</v>
      </c>
      <c r="J12" s="83">
        <v>220</v>
      </c>
      <c r="S12" s="83"/>
      <c r="T12" s="83"/>
      <c r="U12" s="83"/>
      <c r="V12" s="85"/>
    </row>
    <row r="13" spans="1:22" x14ac:dyDescent="0.25">
      <c r="A13">
        <v>12</v>
      </c>
      <c r="B13" t="s">
        <v>1404</v>
      </c>
      <c r="C13" t="str">
        <f t="array" ref="C13">_xlfn.IFS(ISNUMBER(SEARCH("M",acolony[[#This Row],[JANUARY]])),"M",acolony[[#This Row],[JANUARY]]="A","A",acolony[[#This Row],[JANUARY]]="","",acolony[[#This Row],[JANUARY]]&gt;=100,"P")</f>
        <v>P</v>
      </c>
      <c r="D13" t="s">
        <v>30</v>
      </c>
      <c r="E13" s="85" t="s">
        <v>1405</v>
      </c>
      <c r="F13" s="85" t="s">
        <v>1406</v>
      </c>
      <c r="G13" s="85"/>
      <c r="H13" s="83" t="s">
        <v>2588</v>
      </c>
      <c r="J13" s="83">
        <v>400</v>
      </c>
      <c r="S13" s="83"/>
      <c r="T13" s="83"/>
      <c r="U13" s="83"/>
      <c r="V13" s="85"/>
    </row>
    <row r="14" spans="1:22" x14ac:dyDescent="0.25">
      <c r="A14">
        <v>13</v>
      </c>
      <c r="B14" t="s">
        <v>1407</v>
      </c>
      <c r="C14" t="str">
        <f t="array" ref="C14">_xlfn.IFS(ISNUMBER(SEARCH("M",acolony[[#This Row],[JANUARY]])),"M",acolony[[#This Row],[JANUARY]]="A","A",acolony[[#This Row],[JANUARY]]="","",acolony[[#This Row],[JANUARY]]&gt;=100,"P")</f>
        <v>M</v>
      </c>
      <c r="D14" t="s">
        <v>51</v>
      </c>
      <c r="E14" s="85" t="s">
        <v>1408</v>
      </c>
      <c r="F14" s="85" t="s">
        <v>1409</v>
      </c>
      <c r="G14" s="85"/>
      <c r="H14" s="83">
        <v>200</v>
      </c>
      <c r="I14" s="83">
        <v>200</v>
      </c>
      <c r="J14" s="83" t="s">
        <v>49</v>
      </c>
      <c r="S14" s="83"/>
      <c r="T14" s="83"/>
      <c r="U14" s="83"/>
      <c r="V14" s="85"/>
    </row>
    <row r="15" spans="1:22" x14ac:dyDescent="0.25">
      <c r="A15">
        <v>14</v>
      </c>
      <c r="B15" t="s">
        <v>1410</v>
      </c>
      <c r="C15" t="str">
        <f t="array" ref="C15">_xlfn.IFS(ISNUMBER(SEARCH("M",acolony[[#This Row],[JANUARY]])),"M",acolony[[#This Row],[JANUARY]]="A","A",acolony[[#This Row],[JANUARY]]="","",acolony[[#This Row],[JANUARY]]&gt;=100,"P")</f>
        <v>P</v>
      </c>
      <c r="D15" t="s">
        <v>131</v>
      </c>
      <c r="E15" s="85" t="s">
        <v>1411</v>
      </c>
      <c r="F15" s="85" t="s">
        <v>1412</v>
      </c>
      <c r="G15" s="85"/>
      <c r="H15" s="83">
        <v>200</v>
      </c>
      <c r="I15" s="83">
        <v>200</v>
      </c>
      <c r="J15" s="83">
        <v>200</v>
      </c>
      <c r="S15" s="83"/>
      <c r="T15" s="83"/>
      <c r="U15" s="83"/>
      <c r="V15" s="85"/>
    </row>
    <row r="16" spans="1:22" x14ac:dyDescent="0.25">
      <c r="A16">
        <v>15</v>
      </c>
      <c r="B16" t="s">
        <v>1413</v>
      </c>
      <c r="C16" t="str">
        <f t="array" ref="C16">_xlfn.IFS(ISNUMBER(SEARCH("M",acolony[[#This Row],[JANUARY]])),"M",acolony[[#This Row],[JANUARY]]="A","A",acolony[[#This Row],[JANUARY]]="","",acolony[[#This Row],[JANUARY]]&gt;=100,"P")</f>
        <v>M</v>
      </c>
      <c r="D16" t="s">
        <v>30</v>
      </c>
      <c r="E16" s="85" t="s">
        <v>1414</v>
      </c>
      <c r="F16" s="85" t="s">
        <v>1415</v>
      </c>
      <c r="G16" s="85"/>
      <c r="H16" s="83">
        <v>200</v>
      </c>
      <c r="I16" s="83">
        <v>230</v>
      </c>
      <c r="J16" s="83" t="s">
        <v>49</v>
      </c>
      <c r="S16" s="83"/>
      <c r="T16" s="83"/>
      <c r="U16" s="83"/>
      <c r="V16" s="85" t="s">
        <v>1416</v>
      </c>
    </row>
    <row r="17" spans="1:22" x14ac:dyDescent="0.25">
      <c r="A17">
        <v>16</v>
      </c>
      <c r="B17" t="s">
        <v>1417</v>
      </c>
      <c r="C17" t="str">
        <f t="array" ref="C17">_xlfn.IFS(ISNUMBER(SEARCH("M",acolony[[#This Row],[JANUARY]])),"M",acolony[[#This Row],[JANUARY]]="A","A",acolony[[#This Row],[JANUARY]]="","",acolony[[#This Row],[JANUARY]]&gt;=100,"P")</f>
        <v>P</v>
      </c>
      <c r="D17" t="s">
        <v>36</v>
      </c>
      <c r="E17" s="85" t="s">
        <v>1418</v>
      </c>
      <c r="F17" s="85" t="s">
        <v>1419</v>
      </c>
      <c r="G17" s="85"/>
      <c r="H17" s="83">
        <v>240</v>
      </c>
      <c r="J17" s="83">
        <v>200</v>
      </c>
      <c r="S17" s="83"/>
      <c r="T17" s="83"/>
      <c r="U17" s="83"/>
      <c r="V17" s="85"/>
    </row>
    <row r="18" spans="1:22" x14ac:dyDescent="0.25">
      <c r="A18">
        <v>17</v>
      </c>
      <c r="B18" t="s">
        <v>579</v>
      </c>
      <c r="C18" t="str">
        <f t="array" ref="C18">_xlfn.IFS(ISNUMBER(SEARCH("M",acolony[[#This Row],[JANUARY]])),"M",acolony[[#This Row],[JANUARY]]="A","A",acolony[[#This Row],[JANUARY]]="","",acolony[[#This Row],[JANUARY]]&gt;=100,"P")</f>
        <v>P</v>
      </c>
      <c r="D18" t="s">
        <v>30</v>
      </c>
      <c r="E18" s="85" t="s">
        <v>1420</v>
      </c>
      <c r="F18" s="85" t="s">
        <v>1421</v>
      </c>
      <c r="G18" s="85"/>
      <c r="H18" s="83">
        <v>220</v>
      </c>
      <c r="J18" s="83">
        <v>220</v>
      </c>
      <c r="S18" s="83"/>
      <c r="T18" s="83"/>
      <c r="U18" s="83"/>
      <c r="V18" s="85"/>
    </row>
    <row r="19" spans="1:22" x14ac:dyDescent="0.25">
      <c r="A19">
        <v>18</v>
      </c>
      <c r="B19" t="s">
        <v>1422</v>
      </c>
      <c r="C19" t="str">
        <f t="array" ref="C19">_xlfn.IFS(ISNUMBER(SEARCH("M",acolony[[#This Row],[JANUARY]])),"M",acolony[[#This Row],[JANUARY]]="A","A",acolony[[#This Row],[JANUARY]]="","",acolony[[#This Row],[JANUARY]]&gt;=100,"P")</f>
        <v>P</v>
      </c>
      <c r="D19" t="s">
        <v>36</v>
      </c>
      <c r="E19" s="85" t="s">
        <v>1423</v>
      </c>
      <c r="F19" s="85" t="s">
        <v>1424</v>
      </c>
      <c r="G19" s="85"/>
      <c r="H19" s="83">
        <v>230</v>
      </c>
      <c r="J19" s="83">
        <v>230</v>
      </c>
      <c r="S19" s="83"/>
      <c r="T19" s="83"/>
      <c r="U19" s="83"/>
      <c r="V19" s="83" t="s">
        <v>1425</v>
      </c>
    </row>
    <row r="20" spans="1:22" x14ac:dyDescent="0.25">
      <c r="A20">
        <v>19</v>
      </c>
      <c r="B20" t="s">
        <v>1426</v>
      </c>
      <c r="C20" t="str">
        <f t="array" ref="C20">_xlfn.IFS(ISNUMBER(SEARCH("M",acolony[[#This Row],[JANUARY]])),"M",acolony[[#This Row],[JANUARY]]="A","A",acolony[[#This Row],[JANUARY]]="","",acolony[[#This Row],[JANUARY]]&gt;=100,"P")</f>
        <v>P</v>
      </c>
      <c r="D20" t="s">
        <v>30</v>
      </c>
      <c r="E20" s="85" t="s">
        <v>1427</v>
      </c>
      <c r="F20" s="85" t="s">
        <v>1428</v>
      </c>
      <c r="G20" s="85"/>
      <c r="H20" s="83">
        <v>200</v>
      </c>
      <c r="J20" s="83">
        <v>200</v>
      </c>
      <c r="S20" s="83"/>
      <c r="T20" s="83"/>
      <c r="U20" s="83"/>
      <c r="V20" s="85"/>
    </row>
    <row r="21" spans="1:22" x14ac:dyDescent="0.25">
      <c r="A21">
        <v>20</v>
      </c>
      <c r="B21" t="s">
        <v>695</v>
      </c>
      <c r="C21" t="str">
        <f t="array" ref="C21">_xlfn.IFS(ISNUMBER(SEARCH("M",acolony[[#This Row],[JANUARY]])),"M",acolony[[#This Row],[JANUARY]]="A","A",acolony[[#This Row],[JANUARY]]="","",acolony[[#This Row],[JANUARY]]&gt;=100,"P")</f>
        <v>P</v>
      </c>
      <c r="D21" t="s">
        <v>30</v>
      </c>
      <c r="E21" s="85" t="s">
        <v>1429</v>
      </c>
      <c r="F21" s="85" t="s">
        <v>1430</v>
      </c>
      <c r="G21" s="85"/>
      <c r="H21" s="83">
        <v>200</v>
      </c>
      <c r="J21" s="83">
        <v>200</v>
      </c>
      <c r="S21" s="83"/>
      <c r="T21" s="83"/>
      <c r="U21" s="83"/>
      <c r="V21" s="85"/>
    </row>
    <row r="22" spans="1:22" x14ac:dyDescent="0.25">
      <c r="A22">
        <v>21</v>
      </c>
      <c r="B22" t="s">
        <v>1431</v>
      </c>
      <c r="C22" t="str">
        <f t="array" ref="C22">_xlfn.IFS(ISNUMBER(SEARCH("M",acolony[[#This Row],[JANUARY]])),"M",acolony[[#This Row],[JANUARY]]="A","A",acolony[[#This Row],[JANUARY]]="","",acolony[[#This Row],[JANUARY]]&gt;=100,"P")</f>
        <v>P</v>
      </c>
      <c r="D22" t="s">
        <v>23</v>
      </c>
      <c r="E22" s="85" t="s">
        <v>1432</v>
      </c>
      <c r="F22" s="85" t="s">
        <v>1433</v>
      </c>
      <c r="G22" s="85"/>
      <c r="H22" s="83">
        <v>200</v>
      </c>
      <c r="J22" s="83">
        <v>200</v>
      </c>
      <c r="S22" s="83"/>
      <c r="T22" s="83"/>
      <c r="U22" s="83"/>
      <c r="V22" s="85"/>
    </row>
    <row r="23" spans="1:22" x14ac:dyDescent="0.25">
      <c r="A23">
        <v>22</v>
      </c>
      <c r="B23" t="s">
        <v>673</v>
      </c>
      <c r="C23" t="str">
        <f t="array" ref="C23">_xlfn.IFS(ISNUMBER(SEARCH("M",acolony[[#This Row],[JANUARY]])),"M",acolony[[#This Row],[JANUARY]]="A","A",acolony[[#This Row],[JANUARY]]="","",acolony[[#This Row],[JANUARY]]&gt;=100,"P")</f>
        <v>P</v>
      </c>
      <c r="D23" t="s">
        <v>23</v>
      </c>
      <c r="E23" s="85" t="s">
        <v>1434</v>
      </c>
      <c r="F23" s="85" t="s">
        <v>1435</v>
      </c>
      <c r="G23" s="85"/>
      <c r="H23" s="83">
        <v>200</v>
      </c>
      <c r="J23" s="83">
        <v>200</v>
      </c>
      <c r="S23" s="83"/>
      <c r="T23" s="83"/>
      <c r="U23" s="83"/>
      <c r="V23" s="85"/>
    </row>
    <row r="24" spans="1:22" x14ac:dyDescent="0.25">
      <c r="A24">
        <v>23</v>
      </c>
      <c r="B24" t="s">
        <v>42</v>
      </c>
      <c r="C24" t="str">
        <f t="array" ref="C24">_xlfn.IFS(ISNUMBER(SEARCH("M",acolony[[#This Row],[JANUARY]])),"M",acolony[[#This Row],[JANUARY]]="A","A",acolony[[#This Row],[JANUARY]]="","",acolony[[#This Row],[JANUARY]]&gt;=100,"P")</f>
        <v/>
      </c>
      <c r="E24" s="85" t="s">
        <v>1436</v>
      </c>
      <c r="F24" s="85" t="s">
        <v>1437</v>
      </c>
      <c r="G24" s="85"/>
      <c r="H24" s="83">
        <v>200</v>
      </c>
      <c r="S24" s="83"/>
      <c r="T24" s="83"/>
      <c r="U24" s="83"/>
      <c r="V24" s="85"/>
    </row>
    <row r="25" spans="1:22" x14ac:dyDescent="0.25">
      <c r="A25">
        <v>24</v>
      </c>
      <c r="B25" t="s">
        <v>1438</v>
      </c>
      <c r="C25" t="str">
        <f t="array" ref="C25">_xlfn.IFS(ISNUMBER(SEARCH("M",acolony[[#This Row],[JANUARY]])),"M",acolony[[#This Row],[JANUARY]]="A","A",acolony[[#This Row],[JANUARY]]="","",acolony[[#This Row],[JANUARY]]&gt;=100,"P")</f>
        <v/>
      </c>
      <c r="E25" s="85" t="s">
        <v>1439</v>
      </c>
      <c r="F25" s="85" t="s">
        <v>1440</v>
      </c>
      <c r="G25" s="85"/>
      <c r="H25" s="83"/>
      <c r="I25" s="83">
        <v>200</v>
      </c>
      <c r="S25" s="83"/>
      <c r="T25" s="83"/>
      <c r="U25" s="83"/>
      <c r="V25" s="85"/>
    </row>
    <row r="26" spans="1:22" x14ac:dyDescent="0.25">
      <c r="A26">
        <v>25</v>
      </c>
      <c r="B26" t="s">
        <v>1441</v>
      </c>
      <c r="C26" t="str">
        <f t="array" ref="C26">_xlfn.IFS(ISNUMBER(SEARCH("M",acolony[[#This Row],[JANUARY]])),"M",acolony[[#This Row],[JANUARY]]="A","A",acolony[[#This Row],[JANUARY]]="","",acolony[[#This Row],[JANUARY]]&gt;=100,"P")</f>
        <v>M</v>
      </c>
      <c r="D26" t="s">
        <v>30</v>
      </c>
      <c r="E26" s="85" t="s">
        <v>1442</v>
      </c>
      <c r="F26" s="85" t="s">
        <v>1443</v>
      </c>
      <c r="G26" s="85"/>
      <c r="H26" s="83">
        <v>220</v>
      </c>
      <c r="I26" s="83">
        <v>230</v>
      </c>
      <c r="J26" s="83" t="s">
        <v>49</v>
      </c>
      <c r="S26" s="83"/>
      <c r="T26" s="83"/>
      <c r="U26" s="83"/>
      <c r="V26" s="85"/>
    </row>
    <row r="27" spans="1:22" x14ac:dyDescent="0.25">
      <c r="A27">
        <v>26</v>
      </c>
      <c r="B27" t="s">
        <v>1444</v>
      </c>
      <c r="C27" t="str">
        <f t="array" ref="C27">_xlfn.IFS(ISNUMBER(SEARCH("M",acolony[[#This Row],[JANUARY]])),"M",acolony[[#This Row],[JANUARY]]="A","A",acolony[[#This Row],[JANUARY]]="","",acolony[[#This Row],[JANUARY]]&gt;=100,"P")</f>
        <v>P</v>
      </c>
      <c r="D27" t="s">
        <v>30</v>
      </c>
      <c r="E27" s="85" t="s">
        <v>1445</v>
      </c>
      <c r="F27" s="85" t="s">
        <v>1446</v>
      </c>
      <c r="G27" s="85"/>
      <c r="H27" s="83">
        <v>200</v>
      </c>
      <c r="J27" s="83">
        <v>200</v>
      </c>
      <c r="K27" s="83" t="s">
        <v>192</v>
      </c>
      <c r="S27" s="83"/>
      <c r="T27" s="83"/>
      <c r="U27" s="83"/>
      <c r="V27" s="85"/>
    </row>
    <row r="28" spans="1:22" x14ac:dyDescent="0.25">
      <c r="A28">
        <v>27</v>
      </c>
      <c r="B28" t="s">
        <v>73</v>
      </c>
      <c r="C28" t="str">
        <f t="array" ref="C28">_xlfn.IFS(ISNUMBER(SEARCH("M",acolony[[#This Row],[JANUARY]])),"M",acolony[[#This Row],[JANUARY]]="A","A",acolony[[#This Row],[JANUARY]]="","",acolony[[#This Row],[JANUARY]]&gt;=100,"P")</f>
        <v>P</v>
      </c>
      <c r="D28" t="s">
        <v>23</v>
      </c>
      <c r="E28" s="85" t="s">
        <v>1447</v>
      </c>
      <c r="F28" s="85" t="s">
        <v>1448</v>
      </c>
      <c r="G28" s="85"/>
      <c r="H28" s="83" t="s">
        <v>2588</v>
      </c>
      <c r="J28" s="83">
        <v>400</v>
      </c>
      <c r="S28" s="83"/>
      <c r="T28" s="83"/>
      <c r="U28" s="83"/>
      <c r="V28" s="85"/>
    </row>
    <row r="29" spans="1:22" x14ac:dyDescent="0.25">
      <c r="A29">
        <v>28</v>
      </c>
      <c r="B29" t="s">
        <v>1449</v>
      </c>
      <c r="C29" t="str">
        <f t="array" ref="C29">_xlfn.IFS(ISNUMBER(SEARCH("M",acolony[[#This Row],[JANUARY]])),"M",acolony[[#This Row],[JANUARY]]="A","A",acolony[[#This Row],[JANUARY]]="","",acolony[[#This Row],[JANUARY]]&gt;=100,"P")</f>
        <v>P</v>
      </c>
      <c r="D29" t="s">
        <v>30</v>
      </c>
      <c r="E29" s="85" t="s">
        <v>1450</v>
      </c>
      <c r="F29" s="85" t="s">
        <v>1451</v>
      </c>
      <c r="G29" s="85"/>
      <c r="H29" s="83">
        <v>200</v>
      </c>
      <c r="J29" s="83">
        <v>200</v>
      </c>
      <c r="S29" s="83"/>
      <c r="T29" s="83"/>
      <c r="U29" s="83"/>
      <c r="V29" s="85"/>
    </row>
    <row r="30" spans="1:22" x14ac:dyDescent="0.25">
      <c r="A30">
        <v>29</v>
      </c>
      <c r="B30" t="s">
        <v>1452</v>
      </c>
      <c r="C30" t="str">
        <f t="array" ref="C30">_xlfn.IFS(ISNUMBER(SEARCH("M",acolony[[#This Row],[JANUARY]])),"M",acolony[[#This Row],[JANUARY]]="A","A",acolony[[#This Row],[JANUARY]]="","",acolony[[#This Row],[JANUARY]]&gt;=100,"P")</f>
        <v>P</v>
      </c>
      <c r="D30" t="s">
        <v>36</v>
      </c>
      <c r="E30" s="85" t="s">
        <v>1453</v>
      </c>
      <c r="F30" s="85" t="s">
        <v>1454</v>
      </c>
      <c r="G30" s="85"/>
      <c r="H30" s="83">
        <v>200</v>
      </c>
      <c r="J30" s="83">
        <v>200</v>
      </c>
      <c r="S30" s="83"/>
      <c r="T30" s="83"/>
      <c r="U30" s="83"/>
      <c r="V30" s="85"/>
    </row>
    <row r="31" spans="1:22" x14ac:dyDescent="0.25">
      <c r="A31">
        <v>30</v>
      </c>
      <c r="B31" t="s">
        <v>201</v>
      </c>
      <c r="C31" t="str">
        <f t="array" ref="C31">_xlfn.IFS(ISNUMBER(SEARCH("M",acolony[[#This Row],[JANUARY]])),"M",acolony[[#This Row],[JANUARY]]="A","A",acolony[[#This Row],[JANUARY]]="","",acolony[[#This Row],[JANUARY]]&gt;=100,"P")</f>
        <v>P</v>
      </c>
      <c r="D31" t="s">
        <v>51</v>
      </c>
      <c r="E31" s="85" t="s">
        <v>1455</v>
      </c>
      <c r="F31" s="85" t="s">
        <v>1456</v>
      </c>
      <c r="G31" s="85"/>
      <c r="H31" s="83"/>
      <c r="J31" s="83" t="s">
        <v>1457</v>
      </c>
      <c r="S31" s="83"/>
      <c r="T31" s="83"/>
      <c r="U31" s="83"/>
      <c r="V31" s="85"/>
    </row>
    <row r="32" spans="1:22" x14ac:dyDescent="0.25">
      <c r="A32">
        <v>31</v>
      </c>
      <c r="B32" t="s">
        <v>1458</v>
      </c>
      <c r="C32" t="str">
        <f t="array" ref="C32">_xlfn.IFS(ISNUMBER(SEARCH("M",acolony[[#This Row],[JANUARY]])),"M",acolony[[#This Row],[JANUARY]]="A","A",acolony[[#This Row],[JANUARY]]="","",acolony[[#This Row],[JANUARY]]&gt;=100,"P")</f>
        <v>P</v>
      </c>
      <c r="D32" t="s">
        <v>51</v>
      </c>
      <c r="E32" s="85" t="s">
        <v>1459</v>
      </c>
      <c r="F32" s="85" t="s">
        <v>1460</v>
      </c>
      <c r="G32" s="85"/>
      <c r="H32" s="83">
        <v>200</v>
      </c>
      <c r="J32" s="83">
        <v>200</v>
      </c>
      <c r="S32" s="83"/>
      <c r="T32" s="83"/>
      <c r="U32" s="83"/>
      <c r="V32" s="85"/>
    </row>
    <row r="33" spans="1:22" x14ac:dyDescent="0.25">
      <c r="A33">
        <v>32</v>
      </c>
      <c r="B33" t="s">
        <v>507</v>
      </c>
      <c r="C33" t="str">
        <f t="array" ref="C33">_xlfn.IFS(ISNUMBER(SEARCH("M",acolony[[#This Row],[JANUARY]])),"M",acolony[[#This Row],[JANUARY]]="A","A",acolony[[#This Row],[JANUARY]]="","",acolony[[#This Row],[JANUARY]]&gt;=100,"P")</f>
        <v>P</v>
      </c>
      <c r="D33" t="s">
        <v>23</v>
      </c>
      <c r="E33" s="85" t="s">
        <v>1461</v>
      </c>
      <c r="F33" s="85" t="s">
        <v>1462</v>
      </c>
      <c r="G33" s="85"/>
      <c r="H33" s="83">
        <v>200</v>
      </c>
      <c r="J33" s="83">
        <v>200</v>
      </c>
      <c r="S33" s="83"/>
      <c r="T33" s="83"/>
      <c r="U33" s="83"/>
      <c r="V33" s="85"/>
    </row>
    <row r="34" spans="1:22" x14ac:dyDescent="0.25">
      <c r="A34">
        <v>33</v>
      </c>
      <c r="B34" t="s">
        <v>1463</v>
      </c>
      <c r="C34" t="str">
        <f t="array" ref="C34">_xlfn.IFS(ISNUMBER(SEARCH("M",acolony[[#This Row],[JANUARY]])),"M",acolony[[#This Row],[JANUARY]]="A","A",acolony[[#This Row],[JANUARY]]="","",acolony[[#This Row],[JANUARY]]&gt;=100,"P")</f>
        <v>P</v>
      </c>
      <c r="D34" t="s">
        <v>23</v>
      </c>
      <c r="E34" s="85" t="s">
        <v>1464</v>
      </c>
      <c r="F34" s="85" t="s">
        <v>1465</v>
      </c>
      <c r="G34" s="85"/>
      <c r="H34" s="83">
        <v>180</v>
      </c>
      <c r="J34" s="83">
        <v>200</v>
      </c>
      <c r="S34" s="83"/>
      <c r="T34" s="83"/>
      <c r="U34" s="83"/>
      <c r="V34" s="85" t="s">
        <v>1466</v>
      </c>
    </row>
    <row r="35" spans="1:22" x14ac:dyDescent="0.25">
      <c r="A35">
        <v>34</v>
      </c>
      <c r="B35" t="s">
        <v>1467</v>
      </c>
      <c r="C35" t="str">
        <f t="array" ref="C35">_xlfn.IFS(ISNUMBER(SEARCH("M",acolony[[#This Row],[JANUARY]])),"M",acolony[[#This Row],[JANUARY]]="A","A",acolony[[#This Row],[JANUARY]]="","",acolony[[#This Row],[JANUARY]]&gt;=100,"P")</f>
        <v>P</v>
      </c>
      <c r="D35" t="s">
        <v>36</v>
      </c>
      <c r="E35" s="85" t="s">
        <v>1468</v>
      </c>
      <c r="F35" s="85" t="s">
        <v>1469</v>
      </c>
      <c r="G35" s="85"/>
      <c r="H35" s="83">
        <v>230</v>
      </c>
      <c r="J35" s="83">
        <v>220</v>
      </c>
      <c r="S35" s="83"/>
      <c r="T35" s="83"/>
      <c r="U35" s="83"/>
      <c r="V35" s="85"/>
    </row>
    <row r="36" spans="1:22" x14ac:dyDescent="0.25">
      <c r="A36">
        <v>35</v>
      </c>
      <c r="B36" t="s">
        <v>1470</v>
      </c>
      <c r="C36" t="str">
        <f t="array" ref="C36">_xlfn.IFS(ISNUMBER(SEARCH("M",acolony[[#This Row],[JANUARY]])),"M",acolony[[#This Row],[JANUARY]]="A","A",acolony[[#This Row],[JANUARY]]="","",acolony[[#This Row],[JANUARY]]&gt;=100,"P")</f>
        <v>P</v>
      </c>
      <c r="D36" t="s">
        <v>36</v>
      </c>
      <c r="E36" s="85" t="s">
        <v>1471</v>
      </c>
      <c r="F36" s="85" t="s">
        <v>1472</v>
      </c>
      <c r="G36" s="85"/>
      <c r="H36" s="83">
        <v>220</v>
      </c>
      <c r="J36" s="83">
        <v>220</v>
      </c>
      <c r="S36" s="83"/>
      <c r="T36" s="83"/>
      <c r="U36" s="83"/>
      <c r="V36" s="85"/>
    </row>
    <row r="37" spans="1:22" x14ac:dyDescent="0.25">
      <c r="A37">
        <v>36</v>
      </c>
      <c r="B37" t="s">
        <v>1473</v>
      </c>
      <c r="C37" t="str">
        <f t="array" ref="C37">_xlfn.IFS(ISNUMBER(SEARCH("M",acolony[[#This Row],[JANUARY]])),"M",acolony[[#This Row],[JANUARY]]="A","A",acolony[[#This Row],[JANUARY]]="","",acolony[[#This Row],[JANUARY]]&gt;=100,"P")</f>
        <v>P</v>
      </c>
      <c r="D37" t="s">
        <v>51</v>
      </c>
      <c r="E37" s="85" t="s">
        <v>1474</v>
      </c>
      <c r="F37" s="85" t="s">
        <v>1475</v>
      </c>
      <c r="G37" s="85"/>
      <c r="H37" s="83">
        <v>200</v>
      </c>
      <c r="J37" s="83">
        <v>200</v>
      </c>
      <c r="S37" s="83"/>
      <c r="T37" s="83"/>
      <c r="U37" s="83"/>
      <c r="V37" s="85"/>
    </row>
    <row r="38" spans="1:22" x14ac:dyDescent="0.25">
      <c r="A38">
        <v>37</v>
      </c>
      <c r="B38" t="s">
        <v>1476</v>
      </c>
      <c r="C38" t="str">
        <f t="array" ref="C38">_xlfn.IFS(ISNUMBER(SEARCH("M",acolony[[#This Row],[JANUARY]])),"M",acolony[[#This Row],[JANUARY]]="A","A",acolony[[#This Row],[JANUARY]]="","",acolony[[#This Row],[JANUARY]]&gt;=100,"P")</f>
        <v>P</v>
      </c>
      <c r="D38" t="s">
        <v>30</v>
      </c>
      <c r="E38" s="85" t="s">
        <v>1477</v>
      </c>
      <c r="F38" s="85" t="s">
        <v>1478</v>
      </c>
      <c r="G38" s="85"/>
      <c r="H38" s="83">
        <v>200</v>
      </c>
      <c r="J38" s="83">
        <v>200</v>
      </c>
      <c r="S38" s="83"/>
      <c r="T38" s="83"/>
      <c r="U38" s="83"/>
      <c r="V38" s="85"/>
    </row>
    <row r="39" spans="1:22" x14ac:dyDescent="0.25">
      <c r="A39">
        <v>38</v>
      </c>
      <c r="B39" t="s">
        <v>1479</v>
      </c>
      <c r="C39" t="str">
        <f t="array" ref="C39">_xlfn.IFS(ISNUMBER(SEARCH("M",acolony[[#This Row],[JANUARY]])),"M",acolony[[#This Row],[JANUARY]]="A","A",acolony[[#This Row],[JANUARY]]="","",acolony[[#This Row],[JANUARY]]&gt;=100,"P")</f>
        <v>P</v>
      </c>
      <c r="D39" t="s">
        <v>51</v>
      </c>
      <c r="E39" s="85" t="s">
        <v>1480</v>
      </c>
      <c r="F39" s="85" t="s">
        <v>1481</v>
      </c>
      <c r="G39" s="85"/>
      <c r="H39" s="83"/>
      <c r="J39" s="83" t="s">
        <v>1457</v>
      </c>
      <c r="S39" s="83"/>
      <c r="T39" s="83"/>
      <c r="U39" s="83"/>
      <c r="V39" s="85"/>
    </row>
    <row r="40" spans="1:22" s="22" customFormat="1" x14ac:dyDescent="0.25">
      <c r="A40" s="22">
        <v>39</v>
      </c>
      <c r="B40" s="22" t="s">
        <v>653</v>
      </c>
      <c r="C40" s="22" t="str">
        <f t="array" ref="C40">_xlfn.IFS(ISNUMBER(SEARCH("M",acolony[[#This Row],[JANUARY]])),"M",acolony[[#This Row],[JANUARY]]="A","A",acolony[[#This Row],[JANUARY]]="","",acolony[[#This Row],[JANUARY]]&gt;=100,"P")</f>
        <v/>
      </c>
      <c r="E40" s="22" t="s">
        <v>1482</v>
      </c>
    </row>
    <row r="41" spans="1:22" s="22" customFormat="1" x14ac:dyDescent="0.25">
      <c r="A41" s="22">
        <v>40</v>
      </c>
      <c r="B41" s="22" t="s">
        <v>1483</v>
      </c>
      <c r="C41" s="22" t="str">
        <f t="array" ref="C41">_xlfn.IFS(ISNUMBER(SEARCH("M",acolony[[#This Row],[JANUARY]])),"M",acolony[[#This Row],[JANUARY]]="A","A",acolony[[#This Row],[JANUARY]]="","",acolony[[#This Row],[JANUARY]]&gt;=100,"P")</f>
        <v/>
      </c>
      <c r="E41" s="22" t="s">
        <v>1484</v>
      </c>
      <c r="V41" s="22" t="s">
        <v>1485</v>
      </c>
    </row>
    <row r="42" spans="1:22" x14ac:dyDescent="0.25">
      <c r="A42">
        <v>41</v>
      </c>
      <c r="B42" t="s">
        <v>665</v>
      </c>
      <c r="C42" t="str">
        <f t="array" ref="C42">_xlfn.IFS(ISNUMBER(SEARCH("M",acolony[[#This Row],[JANUARY]])),"M",acolony[[#This Row],[JANUARY]]="A","A",acolony[[#This Row],[JANUARY]]="","",acolony[[#This Row],[JANUARY]]&gt;=100,"P")</f>
        <v>P</v>
      </c>
      <c r="D42" t="s">
        <v>36</v>
      </c>
      <c r="E42" s="85" t="s">
        <v>1486</v>
      </c>
      <c r="F42" s="85" t="s">
        <v>1487</v>
      </c>
      <c r="G42" s="85"/>
      <c r="H42" s="83"/>
      <c r="J42" s="83">
        <v>500</v>
      </c>
      <c r="S42" s="83"/>
      <c r="T42" s="83"/>
      <c r="U42" s="83"/>
      <c r="V42" s="85" t="s">
        <v>1488</v>
      </c>
    </row>
    <row r="43" spans="1:22" x14ac:dyDescent="0.25">
      <c r="A43">
        <v>42</v>
      </c>
      <c r="B43" t="s">
        <v>1149</v>
      </c>
      <c r="C43" t="str">
        <f t="array" ref="C43">_xlfn.IFS(ISNUMBER(SEARCH("M",acolony[[#This Row],[JANUARY]])),"M",acolony[[#This Row],[JANUARY]]="A","A",acolony[[#This Row],[JANUARY]]="","",acolony[[#This Row],[JANUARY]]&gt;=100,"P")</f>
        <v>P</v>
      </c>
      <c r="D43" t="s">
        <v>23</v>
      </c>
      <c r="E43" s="85" t="s">
        <v>1489</v>
      </c>
      <c r="F43" s="85" t="s">
        <v>1490</v>
      </c>
      <c r="G43" s="85"/>
      <c r="H43" s="83"/>
      <c r="J43" s="83" t="s">
        <v>2572</v>
      </c>
      <c r="K43" s="83" t="s">
        <v>1491</v>
      </c>
      <c r="S43" s="83"/>
      <c r="T43" s="83"/>
      <c r="U43" s="83"/>
      <c r="V43" s="85"/>
    </row>
    <row r="44" spans="1:22" x14ac:dyDescent="0.25">
      <c r="A44" s="93">
        <v>43</v>
      </c>
      <c r="B44" s="93" t="s">
        <v>908</v>
      </c>
      <c r="C44" s="93" t="str" cm="1">
        <f t="array" ref="C44">_xlfn.IFS(ISNUMBER(SEARCH("M",acolony[[#This Row],[JANUARY]])),"M",acolony[[#This Row],[JANUARY]]="A","A",acolony[[#This Row],[JANUARY]]="","",acolony[[#This Row],[JANUARY]]&gt;=100,"P")</f>
        <v>P</v>
      </c>
      <c r="D44" s="93" t="s">
        <v>2571</v>
      </c>
      <c r="E44" s="85" t="s">
        <v>2569</v>
      </c>
      <c r="F44" s="85" t="s">
        <v>2568</v>
      </c>
      <c r="G44" s="85"/>
      <c r="H44" s="83"/>
      <c r="J44" s="83" t="s">
        <v>2572</v>
      </c>
      <c r="K44" s="83" t="s">
        <v>2570</v>
      </c>
      <c r="S44" s="83"/>
      <c r="T44" s="83"/>
      <c r="U44" s="83"/>
      <c r="V44" s="85"/>
    </row>
    <row r="45" spans="1:22" x14ac:dyDescent="0.25">
      <c r="A45" s="8" t="s">
        <v>246</v>
      </c>
      <c r="B45" s="8"/>
      <c r="C45" s="8">
        <f>COUNTIF(C2:C44, "&gt;=a")</f>
        <v>39</v>
      </c>
      <c r="D45" s="8">
        <f>SUBTOTAL(103,acolony[Package])</f>
        <v>39</v>
      </c>
      <c r="E45" s="8">
        <f>SUBTOTAL(103,acolony[Box No])</f>
        <v>43</v>
      </c>
      <c r="F45" s="8">
        <f>SUBTOTAL(103,acolony[CAF_ID])</f>
        <v>41</v>
      </c>
      <c r="G45" s="8"/>
      <c r="H45" s="28">
        <f>SUBTOTAL(109,acolony[Dec-20])</f>
        <v>6900</v>
      </c>
      <c r="I45" s="56">
        <f>SUBTOTAL(109,acolony[BALANCE])</f>
        <v>1290</v>
      </c>
      <c r="J45" s="56">
        <f>SUBTOTAL(109,acolony[JANUARY])</f>
        <v>7240</v>
      </c>
      <c r="K45" s="56">
        <f>SUBTOTAL(109,acolony[FEBEUARY])</f>
        <v>0</v>
      </c>
      <c r="L45" s="56">
        <f>SUBTOTAL(109,acolony[MARCH])</f>
        <v>0</v>
      </c>
      <c r="M45" s="56">
        <f>SUBTOTAL(109,acolony[APRIL])</f>
        <v>0</v>
      </c>
      <c r="N45" s="56">
        <f>SUBTOTAL(109,acolony[MAY])</f>
        <v>0</v>
      </c>
      <c r="O45" s="56">
        <f>SUBTOTAL(109,acolony[JUNE])</f>
        <v>0</v>
      </c>
      <c r="P45" s="56">
        <f>SUBTOTAL(109,acolony[JULY])</f>
        <v>0</v>
      </c>
      <c r="Q45" s="56">
        <f>SUBTOTAL(109,acolony[AUGUST])</f>
        <v>0</v>
      </c>
      <c r="R45" s="56">
        <f>SUBTOTAL(109,acolony[SEPTEMBER])</f>
        <v>0</v>
      </c>
      <c r="S45" s="56">
        <f>SUBTOTAL(109,acolony[OCTOBER])</f>
        <v>0</v>
      </c>
      <c r="T45" s="56">
        <f>SUBTOTAL(109,acolony[NOVEMBER])</f>
        <v>0</v>
      </c>
      <c r="U45" s="56"/>
      <c r="V45" s="28"/>
    </row>
    <row r="47" spans="1:22" ht="15.75" customHeight="1" x14ac:dyDescent="0.25">
      <c r="B47" s="9" t="s">
        <v>247</v>
      </c>
      <c r="C47" s="19">
        <f>COUNTIF(C2:C44,"P")</f>
        <v>35</v>
      </c>
    </row>
    <row r="48" spans="1:22" ht="15.75" customHeight="1" x14ac:dyDescent="0.25">
      <c r="B48" s="18" t="s">
        <v>248</v>
      </c>
      <c r="C48" s="23">
        <f>COUNTIF(C2:C44,"M")</f>
        <v>4</v>
      </c>
    </row>
    <row r="49" spans="2:3" ht="15.75" customHeight="1" x14ac:dyDescent="0.25">
      <c r="B49" s="10" t="s">
        <v>249</v>
      </c>
      <c r="C49" s="21">
        <f>COUNTIF(C2:C44,"A")</f>
        <v>0</v>
      </c>
    </row>
    <row r="50" spans="2:3" ht="15.75" customHeight="1" thickBot="1" x14ac:dyDescent="0.3">
      <c r="B50" s="17" t="s">
        <v>250</v>
      </c>
      <c r="C50" s="17">
        <f>SUM(C47:C49)</f>
        <v>39</v>
      </c>
    </row>
    <row r="51" spans="2:3" ht="15.75" thickTop="1" x14ac:dyDescent="0.25"/>
    <row r="66" spans="1:22" s="8" customFormat="1" x14ac:dyDescent="0.25">
      <c r="A66" s="87"/>
      <c r="B66" s="87"/>
      <c r="C66" s="87"/>
      <c r="D66" s="87"/>
      <c r="E66" s="87"/>
      <c r="F66"/>
      <c r="G66" s="84"/>
      <c r="H66" s="84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61"/>
      <c r="T66" s="61"/>
      <c r="U66" s="61"/>
      <c r="V66" s="87"/>
    </row>
    <row r="67" spans="1:22" x14ac:dyDescent="0.25">
      <c r="A67" s="8"/>
      <c r="B67" s="8"/>
      <c r="C67" s="8"/>
      <c r="D67" s="8"/>
      <c r="E67" s="8"/>
      <c r="F67" s="8"/>
      <c r="V67" s="8"/>
    </row>
    <row r="68" spans="1:22" x14ac:dyDescent="0.25">
      <c r="A68" s="8"/>
      <c r="B68" s="8"/>
      <c r="C68" s="8"/>
      <c r="D68" s="8"/>
      <c r="E68" s="8"/>
      <c r="F68" s="8"/>
      <c r="V68" s="8"/>
    </row>
    <row r="69" spans="1:22" x14ac:dyDescent="0.25">
      <c r="A69" s="8"/>
      <c r="B69" s="8"/>
      <c r="C69" s="8"/>
      <c r="D69" s="8"/>
      <c r="E69" s="8"/>
      <c r="F69" s="8"/>
      <c r="V69" s="8"/>
    </row>
    <row r="71" spans="1:22" ht="15.75" customHeight="1" x14ac:dyDescent="0.25"/>
    <row r="72" spans="1:22" ht="15.75" customHeight="1" x14ac:dyDescent="0.25"/>
  </sheetData>
  <phoneticPr fontId="35" type="noConversion"/>
  <conditionalFormatting sqref="B47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AC53"/>
  <sheetViews>
    <sheetView zoomScale="130" zoomScaleNormal="130" workbookViewId="0">
      <pane ySplit="1" topLeftCell="A30" activePane="bottomLeft" state="frozen"/>
      <selection pane="bottomLeft" activeCell="D8" sqref="D8"/>
    </sheetView>
  </sheetViews>
  <sheetFormatPr defaultRowHeight="15" x14ac:dyDescent="0.25"/>
  <cols>
    <col min="1" max="1" width="6.85546875" style="87" customWidth="1"/>
    <col min="2" max="2" width="28.140625" style="87" bestFit="1" customWidth="1"/>
    <col min="4" max="4" width="32" style="85" customWidth="1"/>
    <col min="5" max="5" width="20.42578125" style="85" customWidth="1"/>
    <col min="6" max="6" width="11.28515625" style="87" customWidth="1"/>
    <col min="7" max="8" width="12" style="87" customWidth="1"/>
    <col min="9" max="9" width="11.7109375" style="87" customWidth="1"/>
    <col min="10" max="10" width="9.7109375" style="87" customWidth="1"/>
    <col min="11" max="11" width="15.140625" style="87" customWidth="1"/>
    <col min="13" max="13" width="13.5703125" style="87" customWidth="1"/>
    <col min="15" max="15" width="12.5703125" style="87" customWidth="1"/>
    <col min="17" max="17" width="13" style="87" customWidth="1"/>
    <col min="19" max="19" width="12.42578125" style="87" customWidth="1"/>
    <col min="20" max="20" width="10.28515625" style="87" customWidth="1"/>
    <col min="21" max="21" width="12.42578125" style="87" customWidth="1"/>
    <col min="22" max="22" width="11.42578125" style="87" customWidth="1"/>
    <col min="23" max="23" width="12.140625" style="87" customWidth="1"/>
    <col min="24" max="24" width="13.28515625" style="87" customWidth="1"/>
    <col min="25" max="25" width="12.7109375" style="87" customWidth="1"/>
    <col min="26" max="26" width="12.5703125" style="87" customWidth="1"/>
    <col min="27" max="27" width="12" style="87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t="s">
        <v>9</v>
      </c>
      <c r="H1" t="s">
        <v>1492</v>
      </c>
      <c r="I1" t="s">
        <v>10</v>
      </c>
      <c r="J1" t="s">
        <v>1493</v>
      </c>
      <c r="K1" t="s">
        <v>11</v>
      </c>
      <c r="L1" t="s">
        <v>1494</v>
      </c>
      <c r="M1" t="s">
        <v>12</v>
      </c>
      <c r="N1" t="s">
        <v>1495</v>
      </c>
      <c r="O1" t="s">
        <v>13</v>
      </c>
      <c r="P1" t="s">
        <v>1496</v>
      </c>
      <c r="Q1" t="s">
        <v>14</v>
      </c>
      <c r="R1" t="s">
        <v>1497</v>
      </c>
      <c r="S1" t="s">
        <v>15</v>
      </c>
      <c r="T1" t="s">
        <v>1498</v>
      </c>
      <c r="U1" t="s">
        <v>16</v>
      </c>
      <c r="V1" t="s">
        <v>1499</v>
      </c>
      <c r="W1" t="s">
        <v>18</v>
      </c>
      <c r="X1" t="s">
        <v>1500</v>
      </c>
      <c r="Y1" t="s">
        <v>19</v>
      </c>
      <c r="Z1" t="s">
        <v>1501</v>
      </c>
      <c r="AA1" t="s">
        <v>20</v>
      </c>
      <c r="AB1" t="s">
        <v>1502</v>
      </c>
      <c r="AC1" t="s">
        <v>1503</v>
      </c>
    </row>
    <row r="2" spans="1:29" x14ac:dyDescent="0.25">
      <c r="A2">
        <v>1</v>
      </c>
      <c r="B2" t="s">
        <v>1504</v>
      </c>
      <c r="E2" s="85" t="s">
        <v>1505</v>
      </c>
      <c r="F2" s="85" t="s">
        <v>1506</v>
      </c>
    </row>
    <row r="3" spans="1:29" x14ac:dyDescent="0.25">
      <c r="A3">
        <v>2</v>
      </c>
      <c r="B3" t="s">
        <v>1507</v>
      </c>
      <c r="E3" s="85" t="s">
        <v>1375</v>
      </c>
      <c r="F3" s="85" t="s">
        <v>1376</v>
      </c>
    </row>
    <row r="4" spans="1:29" x14ac:dyDescent="0.25">
      <c r="A4">
        <v>3</v>
      </c>
      <c r="B4" t="s">
        <v>1508</v>
      </c>
      <c r="E4" s="85" t="s">
        <v>1378</v>
      </c>
      <c r="F4" s="85" t="s">
        <v>1379</v>
      </c>
    </row>
    <row r="5" spans="1:29" x14ac:dyDescent="0.25">
      <c r="A5">
        <v>4</v>
      </c>
      <c r="B5" t="s">
        <v>1509</v>
      </c>
      <c r="E5" s="85" t="s">
        <v>1381</v>
      </c>
      <c r="F5" s="85" t="s">
        <v>1382</v>
      </c>
    </row>
    <row r="6" spans="1:29" x14ac:dyDescent="0.25">
      <c r="A6">
        <v>5</v>
      </c>
      <c r="B6" t="s">
        <v>1510</v>
      </c>
      <c r="E6" s="85" t="s">
        <v>1418</v>
      </c>
      <c r="F6" s="85" t="s">
        <v>1419</v>
      </c>
    </row>
    <row r="7" spans="1:29" x14ac:dyDescent="0.25">
      <c r="A7">
        <v>6</v>
      </c>
      <c r="B7" t="s">
        <v>1511</v>
      </c>
      <c r="E7" s="85" t="s">
        <v>1387</v>
      </c>
      <c r="F7" s="85" t="s">
        <v>1388</v>
      </c>
    </row>
    <row r="8" spans="1:29" x14ac:dyDescent="0.25">
      <c r="A8">
        <v>7</v>
      </c>
      <c r="B8" t="s">
        <v>1512</v>
      </c>
      <c r="E8" s="85" t="s">
        <v>1384</v>
      </c>
      <c r="F8" s="85" t="s">
        <v>1385</v>
      </c>
    </row>
    <row r="9" spans="1:29" x14ac:dyDescent="0.25">
      <c r="A9">
        <v>8</v>
      </c>
      <c r="B9" t="s">
        <v>1513</v>
      </c>
      <c r="E9" s="85" t="s">
        <v>591</v>
      </c>
      <c r="F9" s="85" t="s">
        <v>592</v>
      </c>
    </row>
    <row r="10" spans="1:29" x14ac:dyDescent="0.25">
      <c r="A10">
        <v>9</v>
      </c>
      <c r="B10" t="s">
        <v>1514</v>
      </c>
      <c r="E10" s="85" t="s">
        <v>1392</v>
      </c>
      <c r="F10" s="85" t="s">
        <v>1393</v>
      </c>
    </row>
    <row r="11" spans="1:29" x14ac:dyDescent="0.25">
      <c r="A11">
        <v>10</v>
      </c>
      <c r="B11" t="s">
        <v>1515</v>
      </c>
      <c r="E11" s="85" t="s">
        <v>1395</v>
      </c>
      <c r="F11" s="85" t="s">
        <v>1396</v>
      </c>
    </row>
    <row r="12" spans="1:29" x14ac:dyDescent="0.25">
      <c r="A12">
        <v>11</v>
      </c>
      <c r="B12" t="s">
        <v>1516</v>
      </c>
      <c r="E12" s="85" t="s">
        <v>1400</v>
      </c>
      <c r="F12" s="85" t="s">
        <v>1401</v>
      </c>
    </row>
    <row r="13" spans="1:29" x14ac:dyDescent="0.25">
      <c r="A13">
        <v>12</v>
      </c>
      <c r="B13" t="s">
        <v>1517</v>
      </c>
      <c r="E13" s="85" t="s">
        <v>1402</v>
      </c>
      <c r="F13" s="85" t="s">
        <v>1403</v>
      </c>
    </row>
    <row r="14" spans="1:29" x14ac:dyDescent="0.25">
      <c r="A14">
        <v>13</v>
      </c>
      <c r="B14" t="s">
        <v>1518</v>
      </c>
      <c r="E14" s="85" t="s">
        <v>1408</v>
      </c>
      <c r="F14" s="85" t="s">
        <v>1409</v>
      </c>
    </row>
    <row r="15" spans="1:29" x14ac:dyDescent="0.25">
      <c r="A15">
        <v>14</v>
      </c>
      <c r="B15" t="s">
        <v>1519</v>
      </c>
      <c r="E15" s="85" t="s">
        <v>1414</v>
      </c>
      <c r="F15" s="85" t="s">
        <v>1415</v>
      </c>
    </row>
    <row r="16" spans="1:29" x14ac:dyDescent="0.25">
      <c r="A16">
        <v>15</v>
      </c>
      <c r="B16" t="s">
        <v>1520</v>
      </c>
      <c r="E16" s="85" t="s">
        <v>1420</v>
      </c>
      <c r="F16" s="85" t="s">
        <v>1421</v>
      </c>
    </row>
    <row r="17" spans="1:6" x14ac:dyDescent="0.25">
      <c r="A17">
        <v>16</v>
      </c>
      <c r="B17" t="s">
        <v>1521</v>
      </c>
      <c r="E17" s="85" t="s">
        <v>1427</v>
      </c>
      <c r="F17" s="85" t="s">
        <v>1428</v>
      </c>
    </row>
    <row r="18" spans="1:6" x14ac:dyDescent="0.25">
      <c r="A18">
        <v>17</v>
      </c>
      <c r="B18" t="s">
        <v>1522</v>
      </c>
      <c r="E18" s="85" t="s">
        <v>1486</v>
      </c>
      <c r="F18" s="85" t="s">
        <v>1487</v>
      </c>
    </row>
    <row r="19" spans="1:6" x14ac:dyDescent="0.25">
      <c r="A19">
        <v>18</v>
      </c>
      <c r="B19" t="s">
        <v>1523</v>
      </c>
      <c r="E19" s="85" t="s">
        <v>1429</v>
      </c>
      <c r="F19" s="85" t="s">
        <v>1430</v>
      </c>
    </row>
    <row r="20" spans="1:6" x14ac:dyDescent="0.25">
      <c r="A20">
        <v>19</v>
      </c>
      <c r="B20" t="s">
        <v>1524</v>
      </c>
      <c r="E20" s="85" t="s">
        <v>1436</v>
      </c>
      <c r="F20" s="85" t="s">
        <v>1437</v>
      </c>
    </row>
    <row r="21" spans="1:6" x14ac:dyDescent="0.25">
      <c r="A21">
        <v>20</v>
      </c>
      <c r="B21" t="s">
        <v>1525</v>
      </c>
      <c r="E21" s="85" t="s">
        <v>1434</v>
      </c>
      <c r="F21" s="85" t="s">
        <v>1435</v>
      </c>
    </row>
    <row r="22" spans="1:6" x14ac:dyDescent="0.25">
      <c r="A22">
        <v>21</v>
      </c>
      <c r="B22" t="s">
        <v>1526</v>
      </c>
      <c r="E22" s="85" t="s">
        <v>1439</v>
      </c>
      <c r="F22" s="85" t="s">
        <v>1440</v>
      </c>
    </row>
    <row r="23" spans="1:6" x14ac:dyDescent="0.25">
      <c r="A23">
        <v>22</v>
      </c>
      <c r="B23" t="s">
        <v>1527</v>
      </c>
      <c r="E23" s="85" t="s">
        <v>1442</v>
      </c>
      <c r="F23" s="85" t="s">
        <v>1443</v>
      </c>
    </row>
    <row r="24" spans="1:6" x14ac:dyDescent="0.25">
      <c r="A24">
        <v>23</v>
      </c>
      <c r="B24" t="s">
        <v>1528</v>
      </c>
      <c r="E24" s="85" t="s">
        <v>1529</v>
      </c>
      <c r="F24" s="85" t="s">
        <v>1530</v>
      </c>
    </row>
    <row r="25" spans="1:6" x14ac:dyDescent="0.25">
      <c r="A25">
        <v>24</v>
      </c>
      <c r="B25" t="s">
        <v>1531</v>
      </c>
      <c r="E25" s="85" t="s">
        <v>1445</v>
      </c>
      <c r="F25" s="85" t="s">
        <v>1446</v>
      </c>
    </row>
    <row r="26" spans="1:6" x14ac:dyDescent="0.25">
      <c r="A26">
        <v>25</v>
      </c>
      <c r="B26" t="s">
        <v>1532</v>
      </c>
      <c r="E26" s="85" t="s">
        <v>1447</v>
      </c>
      <c r="F26" s="85" t="s">
        <v>1448</v>
      </c>
    </row>
    <row r="27" spans="1:6" x14ac:dyDescent="0.25">
      <c r="A27">
        <v>26</v>
      </c>
      <c r="B27" t="s">
        <v>1533</v>
      </c>
      <c r="E27" s="85" t="s">
        <v>1534</v>
      </c>
      <c r="F27" s="85" t="s">
        <v>1451</v>
      </c>
    </row>
    <row r="28" spans="1:6" x14ac:dyDescent="0.25">
      <c r="A28">
        <v>27</v>
      </c>
      <c r="B28" t="s">
        <v>1535</v>
      </c>
      <c r="E28" s="85" t="s">
        <v>1536</v>
      </c>
      <c r="F28" s="85" t="s">
        <v>1537</v>
      </c>
    </row>
    <row r="29" spans="1:6" x14ac:dyDescent="0.25">
      <c r="A29">
        <v>28</v>
      </c>
      <c r="B29" t="s">
        <v>1538</v>
      </c>
      <c r="E29" s="85" t="s">
        <v>1539</v>
      </c>
      <c r="F29" s="85" t="s">
        <v>1540</v>
      </c>
    </row>
    <row r="30" spans="1:6" x14ac:dyDescent="0.25">
      <c r="A30">
        <v>29</v>
      </c>
      <c r="B30" t="s">
        <v>1541</v>
      </c>
      <c r="E30" s="85" t="s">
        <v>771</v>
      </c>
      <c r="F30" s="85" t="s">
        <v>772</v>
      </c>
    </row>
    <row r="31" spans="1:6" x14ac:dyDescent="0.25">
      <c r="A31">
        <v>30</v>
      </c>
      <c r="B31" t="s">
        <v>1542</v>
      </c>
      <c r="E31" s="85" t="s">
        <v>1459</v>
      </c>
      <c r="F31" s="85" t="s">
        <v>1460</v>
      </c>
    </row>
    <row r="32" spans="1:6" x14ac:dyDescent="0.25">
      <c r="A32">
        <v>31</v>
      </c>
      <c r="B32" t="s">
        <v>1543</v>
      </c>
      <c r="E32" s="85" t="s">
        <v>1423</v>
      </c>
      <c r="F32" s="85" t="s">
        <v>1424</v>
      </c>
    </row>
    <row r="33" spans="1:6" x14ac:dyDescent="0.25">
      <c r="A33">
        <v>32</v>
      </c>
      <c r="B33" t="s">
        <v>1544</v>
      </c>
      <c r="E33" s="85" t="s">
        <v>1545</v>
      </c>
      <c r="F33" s="85" t="s">
        <v>1546</v>
      </c>
    </row>
    <row r="34" spans="1:6" x14ac:dyDescent="0.25">
      <c r="A34">
        <v>33</v>
      </c>
      <c r="B34" t="s">
        <v>1547</v>
      </c>
      <c r="E34" s="85" t="s">
        <v>1468</v>
      </c>
      <c r="F34" s="85" t="s">
        <v>1469</v>
      </c>
    </row>
    <row r="35" spans="1:6" x14ac:dyDescent="0.25">
      <c r="A35">
        <v>34</v>
      </c>
      <c r="B35" t="s">
        <v>1548</v>
      </c>
      <c r="E35" s="85" t="s">
        <v>1405</v>
      </c>
      <c r="F35" s="85" t="s">
        <v>1406</v>
      </c>
    </row>
    <row r="36" spans="1:6" x14ac:dyDescent="0.25">
      <c r="A36">
        <v>35</v>
      </c>
      <c r="B36" t="s">
        <v>1549</v>
      </c>
      <c r="E36" s="85" t="s">
        <v>1411</v>
      </c>
      <c r="F36" s="85" t="s">
        <v>1412</v>
      </c>
    </row>
    <row r="37" spans="1:6" x14ac:dyDescent="0.25">
      <c r="A37">
        <v>36</v>
      </c>
      <c r="B37" t="s">
        <v>1550</v>
      </c>
      <c r="E37" s="85" t="s">
        <v>1484</v>
      </c>
      <c r="F37" s="85" t="s">
        <v>1551</v>
      </c>
    </row>
    <row r="38" spans="1:6" x14ac:dyDescent="0.25">
      <c r="A38">
        <v>37</v>
      </c>
      <c r="B38" t="s">
        <v>1552</v>
      </c>
      <c r="E38" s="85" t="s">
        <v>1471</v>
      </c>
      <c r="F38" s="85" t="s">
        <v>1472</v>
      </c>
    </row>
    <row r="39" spans="1:6" x14ac:dyDescent="0.25">
      <c r="A39">
        <v>38</v>
      </c>
      <c r="B39" t="s">
        <v>1553</v>
      </c>
      <c r="E39" s="85" t="s">
        <v>1453</v>
      </c>
      <c r="F39" s="85" t="s">
        <v>1454</v>
      </c>
    </row>
    <row r="40" spans="1:6" x14ac:dyDescent="0.25">
      <c r="A40">
        <v>39</v>
      </c>
      <c r="B40" t="s">
        <v>1554</v>
      </c>
      <c r="E40" s="85" t="s">
        <v>1555</v>
      </c>
      <c r="F40" s="85" t="s">
        <v>1556</v>
      </c>
    </row>
    <row r="41" spans="1:6" x14ac:dyDescent="0.25">
      <c r="A41">
        <v>40</v>
      </c>
      <c r="B41" t="s">
        <v>1557</v>
      </c>
      <c r="E41" s="85" t="s">
        <v>1558</v>
      </c>
      <c r="F41" s="85" t="s">
        <v>1559</v>
      </c>
    </row>
    <row r="42" spans="1:6" x14ac:dyDescent="0.25">
      <c r="A42">
        <v>41</v>
      </c>
      <c r="B42" t="s">
        <v>1560</v>
      </c>
      <c r="E42" s="85" t="s">
        <v>1561</v>
      </c>
      <c r="F42" s="85" t="s">
        <v>1562</v>
      </c>
    </row>
    <row r="43" spans="1:6" x14ac:dyDescent="0.25">
      <c r="A43">
        <v>42</v>
      </c>
      <c r="B43" t="s">
        <v>1563</v>
      </c>
      <c r="F43" s="85"/>
    </row>
    <row r="44" spans="1:6" x14ac:dyDescent="0.25">
      <c r="A44">
        <v>43</v>
      </c>
      <c r="B44" t="s">
        <v>307</v>
      </c>
      <c r="F44" s="85"/>
    </row>
    <row r="45" spans="1:6" x14ac:dyDescent="0.25">
      <c r="A45">
        <v>44</v>
      </c>
      <c r="B45" t="s">
        <v>324</v>
      </c>
      <c r="F45" s="85"/>
    </row>
    <row r="50" spans="2:3" x14ac:dyDescent="0.25">
      <c r="B50" s="5" t="s">
        <v>247</v>
      </c>
      <c r="C50">
        <f>COUNTIF(C2:C46,"Y")</f>
        <v>0</v>
      </c>
    </row>
    <row r="51" spans="2:3" x14ac:dyDescent="0.25">
      <c r="B51" s="6" t="s">
        <v>1564</v>
      </c>
      <c r="C51">
        <f>COUNTIF(C2:C45,"AY")</f>
        <v>0</v>
      </c>
    </row>
    <row r="53" spans="2:3" x14ac:dyDescent="0.25">
      <c r="B53" s="11" t="s">
        <v>250</v>
      </c>
      <c r="C53">
        <f>C50+C51</f>
        <v>0</v>
      </c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rgb="FF92D050"/>
  </sheetPr>
  <dimension ref="A1:V51"/>
  <sheetViews>
    <sheetView zoomScale="115" zoomScaleNormal="115" workbookViewId="0">
      <selection activeCell="I10" sqref="I10"/>
    </sheetView>
  </sheetViews>
  <sheetFormatPr defaultRowHeight="15" x14ac:dyDescent="0.25"/>
  <cols>
    <col min="1" max="1" width="6" style="87" customWidth="1"/>
    <col min="2" max="2" width="22.85546875" style="87" customWidth="1"/>
    <col min="3" max="3" width="7.7109375" style="87" customWidth="1"/>
    <col min="4" max="4" width="31.5703125" style="87" customWidth="1"/>
    <col min="5" max="5" width="21.42578125" style="87" customWidth="1"/>
    <col min="6" max="6" width="9.140625" style="87" customWidth="1"/>
    <col min="7" max="7" width="11.42578125" style="61" customWidth="1"/>
    <col min="8" max="19" width="11.42578125" style="83" customWidth="1"/>
    <col min="20" max="20" width="11.5703125" style="84" customWidth="1"/>
    <col min="21" max="21" width="12.42578125" style="87" customWidth="1"/>
    <col min="22" max="53" width="9.140625" style="87" customWidth="1"/>
    <col min="54" max="16384" width="9.140625" style="87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13" t="s">
        <v>929</v>
      </c>
      <c r="I1" s="84" t="s">
        <v>7</v>
      </c>
      <c r="J1" s="83" t="s">
        <v>9</v>
      </c>
      <c r="K1" s="83" t="s">
        <v>10</v>
      </c>
      <c r="L1" s="83" t="s">
        <v>11</v>
      </c>
      <c r="M1" s="83" t="s">
        <v>12</v>
      </c>
      <c r="N1" s="83" t="s">
        <v>13</v>
      </c>
      <c r="O1" s="83" t="s">
        <v>14</v>
      </c>
      <c r="P1" s="83" t="s">
        <v>15</v>
      </c>
      <c r="Q1" s="83" t="s">
        <v>16</v>
      </c>
      <c r="R1" s="83" t="s">
        <v>17</v>
      </c>
      <c r="S1" s="83" t="s">
        <v>18</v>
      </c>
      <c r="T1" s="83" t="s">
        <v>19</v>
      </c>
      <c r="U1" s="83" t="s">
        <v>20</v>
      </c>
      <c r="V1" s="85" t="s">
        <v>21</v>
      </c>
    </row>
    <row r="2" spans="1:22" x14ac:dyDescent="0.25">
      <c r="A2">
        <v>1</v>
      </c>
      <c r="B2" t="s">
        <v>46</v>
      </c>
      <c r="C2" t="str">
        <f t="array" ref="C2">_xlfn.IFS(ISNUMBER(SEARCH("M",mainroad[[#This Row],[JANUARY]])),"M",mainroad[[#This Row],[JANUARY]]="A","A",mainroad[[#This Row],[JANUARY]]="","",mainroad[[#This Row],[JANUARY]]&gt;=100,"P")</f>
        <v>P</v>
      </c>
      <c r="D2" t="s">
        <v>30</v>
      </c>
      <c r="E2" s="85" t="s">
        <v>1565</v>
      </c>
      <c r="F2" s="85" t="s">
        <v>1566</v>
      </c>
      <c r="G2" s="85"/>
      <c r="H2" s="83">
        <v>220</v>
      </c>
      <c r="I2" s="84"/>
      <c r="J2" s="83">
        <v>200</v>
      </c>
      <c r="T2" s="83"/>
      <c r="U2" s="83"/>
      <c r="V2" s="85"/>
    </row>
    <row r="3" spans="1:22" x14ac:dyDescent="0.25">
      <c r="A3">
        <v>2</v>
      </c>
      <c r="B3" t="s">
        <v>1567</v>
      </c>
      <c r="C3" t="str">
        <f t="array" ref="C3">_xlfn.IFS(ISNUMBER(SEARCH("M",mainroad[[#This Row],[JANUARY]])),"M",mainroad[[#This Row],[JANUARY]]="A","A",mainroad[[#This Row],[JANUARY]]="","",mainroad[[#This Row],[JANUARY]]&gt;=100,"P")</f>
        <v>P</v>
      </c>
      <c r="D3" t="s">
        <v>30</v>
      </c>
      <c r="E3" s="85" t="s">
        <v>1568</v>
      </c>
      <c r="F3" s="85" t="s">
        <v>1569</v>
      </c>
      <c r="G3" s="85"/>
      <c r="H3" s="83" t="s">
        <v>2588</v>
      </c>
      <c r="I3" s="84"/>
      <c r="J3" s="83">
        <v>700</v>
      </c>
      <c r="T3" s="83"/>
      <c r="U3" s="83"/>
      <c r="V3" s="85"/>
    </row>
    <row r="4" spans="1:22" x14ac:dyDescent="0.25">
      <c r="A4">
        <v>3</v>
      </c>
      <c r="B4" t="s">
        <v>1570</v>
      </c>
      <c r="C4" t="str">
        <f t="array" ref="C4">_xlfn.IFS(ISNUMBER(SEARCH("M",mainroad[[#This Row],[JANUARY]])),"M",mainroad[[#This Row],[JANUARY]]="A","A",mainroad[[#This Row],[JANUARY]]="","",mainroad[[#This Row],[JANUARY]]&gt;=100,"P")</f>
        <v>M</v>
      </c>
      <c r="D4" t="s">
        <v>30</v>
      </c>
      <c r="E4" s="85" t="s">
        <v>1571</v>
      </c>
      <c r="F4" s="85" t="s">
        <v>1572</v>
      </c>
      <c r="G4" s="85"/>
      <c r="H4" s="83" t="s">
        <v>49</v>
      </c>
      <c r="I4" s="84">
        <v>460</v>
      </c>
      <c r="J4" s="61" t="s">
        <v>49</v>
      </c>
      <c r="T4" s="83"/>
      <c r="U4" s="83"/>
      <c r="V4" s="85"/>
    </row>
    <row r="5" spans="1:22" x14ac:dyDescent="0.25">
      <c r="A5">
        <v>4</v>
      </c>
      <c r="B5" t="s">
        <v>1573</v>
      </c>
      <c r="C5" t="str">
        <f t="array" ref="C5">_xlfn.IFS(ISNUMBER(SEARCH("M",mainroad[[#This Row],[JANUARY]])),"M",mainroad[[#This Row],[JANUARY]]="A","A",mainroad[[#This Row],[JANUARY]]="","",mainroad[[#This Row],[JANUARY]]&gt;=100,"P")</f>
        <v>P</v>
      </c>
      <c r="D5" t="s">
        <v>30</v>
      </c>
      <c r="E5" s="85" t="s">
        <v>1574</v>
      </c>
      <c r="F5" s="85" t="s">
        <v>1575</v>
      </c>
      <c r="G5" s="85"/>
      <c r="H5" s="83">
        <v>200</v>
      </c>
      <c r="I5" s="84"/>
      <c r="J5" s="83">
        <v>200</v>
      </c>
      <c r="T5" s="83"/>
      <c r="U5" s="83"/>
      <c r="V5" s="85"/>
    </row>
    <row r="6" spans="1:22" x14ac:dyDescent="0.25">
      <c r="A6">
        <v>5</v>
      </c>
      <c r="B6" t="s">
        <v>1576</v>
      </c>
      <c r="C6" t="str">
        <f t="array" ref="C6">_xlfn.IFS(ISNUMBER(SEARCH("M",mainroad[[#This Row],[JANUARY]])),"M",mainroad[[#This Row],[JANUARY]]="A","A",mainroad[[#This Row],[JANUARY]]="","",mainroad[[#This Row],[JANUARY]]&gt;=100,"P")</f>
        <v>P</v>
      </c>
      <c r="D6" t="s">
        <v>23</v>
      </c>
      <c r="E6" s="85" t="s">
        <v>1577</v>
      </c>
      <c r="F6" s="85" t="s">
        <v>1578</v>
      </c>
      <c r="G6" s="85"/>
      <c r="H6" s="83">
        <v>200</v>
      </c>
      <c r="I6" s="84"/>
      <c r="J6" s="83">
        <v>200</v>
      </c>
      <c r="T6" s="83"/>
      <c r="U6" s="83"/>
      <c r="V6" s="85"/>
    </row>
    <row r="7" spans="1:22" x14ac:dyDescent="0.25">
      <c r="A7">
        <v>6</v>
      </c>
      <c r="B7" t="s">
        <v>802</v>
      </c>
      <c r="C7" t="str">
        <f t="array" ref="C7">_xlfn.IFS(ISNUMBER(SEARCH("M",mainroad[[#This Row],[JANUARY]])),"M",mainroad[[#This Row],[JANUARY]]="A","A",mainroad[[#This Row],[JANUARY]]="","",mainroad[[#This Row],[JANUARY]]&gt;=100,"P")</f>
        <v/>
      </c>
      <c r="E7" s="85" t="s">
        <v>1579</v>
      </c>
      <c r="F7" s="85" t="s">
        <v>1580</v>
      </c>
      <c r="G7" s="85"/>
      <c r="H7" s="83">
        <v>200</v>
      </c>
      <c r="I7" s="84"/>
      <c r="T7" s="83"/>
      <c r="U7" s="83"/>
      <c r="V7" s="85"/>
    </row>
    <row r="8" spans="1:22" x14ac:dyDescent="0.25">
      <c r="A8">
        <v>7</v>
      </c>
      <c r="B8" t="s">
        <v>327</v>
      </c>
      <c r="C8" t="str">
        <f t="array" ref="C8">_xlfn.IFS(ISNUMBER(SEARCH("M",mainroad[[#This Row],[JANUARY]])),"M",mainroad[[#This Row],[JANUARY]]="A","A",mainroad[[#This Row],[JANUARY]]="","",mainroad[[#This Row],[JANUARY]]&gt;=100,"P")</f>
        <v>P</v>
      </c>
      <c r="D8" t="s">
        <v>36</v>
      </c>
      <c r="E8" s="85" t="s">
        <v>1581</v>
      </c>
      <c r="F8" s="85" t="s">
        <v>1582</v>
      </c>
      <c r="G8" s="85"/>
      <c r="H8" s="83">
        <v>220</v>
      </c>
      <c r="I8" s="84"/>
      <c r="J8" s="83">
        <v>220</v>
      </c>
      <c r="T8" s="83"/>
      <c r="U8" s="83"/>
      <c r="V8" s="85"/>
    </row>
    <row r="9" spans="1:22" x14ac:dyDescent="0.25">
      <c r="A9">
        <v>8</v>
      </c>
      <c r="B9" t="s">
        <v>1483</v>
      </c>
      <c r="C9" t="str">
        <f t="array" ref="C9">_xlfn.IFS(ISNUMBER(SEARCH("M",mainroad[[#This Row],[JANUARY]])),"M",mainroad[[#This Row],[JANUARY]]="A","A",mainroad[[#This Row],[JANUARY]]="","",mainroad[[#This Row],[JANUARY]]&gt;=100,"P")</f>
        <v>P</v>
      </c>
      <c r="D9" t="s">
        <v>36</v>
      </c>
      <c r="E9" s="85" t="s">
        <v>1583</v>
      </c>
      <c r="F9" s="85" t="s">
        <v>1584</v>
      </c>
      <c r="G9" s="85"/>
      <c r="H9" s="83">
        <v>200</v>
      </c>
      <c r="I9" s="84"/>
      <c r="J9" s="83">
        <v>220</v>
      </c>
      <c r="T9" s="83"/>
      <c r="U9" s="83"/>
      <c r="V9" s="85"/>
    </row>
    <row r="10" spans="1:22" x14ac:dyDescent="0.25">
      <c r="A10">
        <v>9</v>
      </c>
      <c r="B10" t="s">
        <v>1143</v>
      </c>
      <c r="C10" t="str">
        <f t="array" ref="C10">_xlfn.IFS(ISNUMBER(SEARCH("M",mainroad[[#This Row],[JANUARY]])),"M",mainroad[[#This Row],[JANUARY]]="A","A",mainroad[[#This Row],[JANUARY]]="","",mainroad[[#This Row],[JANUARY]]&gt;=100,"P")</f>
        <v>P</v>
      </c>
      <c r="D10" t="s">
        <v>30</v>
      </c>
      <c r="E10" s="85" t="s">
        <v>1585</v>
      </c>
      <c r="F10" s="85" t="s">
        <v>1586</v>
      </c>
      <c r="G10" s="85"/>
      <c r="H10" s="83">
        <v>200</v>
      </c>
      <c r="I10" s="84"/>
      <c r="J10" s="83">
        <v>200</v>
      </c>
      <c r="T10" s="83"/>
      <c r="U10" s="83"/>
      <c r="V10" s="85"/>
    </row>
    <row r="11" spans="1:22" x14ac:dyDescent="0.25">
      <c r="A11">
        <v>10</v>
      </c>
      <c r="B11" t="s">
        <v>751</v>
      </c>
      <c r="C11" t="str">
        <f t="array" ref="C11">_xlfn.IFS(ISNUMBER(SEARCH("M",mainroad[[#This Row],[JANUARY]])),"M",mainroad[[#This Row],[JANUARY]]="A","A",mainroad[[#This Row],[JANUARY]]="","",mainroad[[#This Row],[JANUARY]]&gt;=100,"P")</f>
        <v>P</v>
      </c>
      <c r="D11" t="s">
        <v>1587</v>
      </c>
      <c r="E11" s="85" t="s">
        <v>1588</v>
      </c>
      <c r="F11" s="85" t="s">
        <v>1589</v>
      </c>
      <c r="G11" s="85"/>
      <c r="H11" s="83" t="s">
        <v>2588</v>
      </c>
      <c r="I11" s="84"/>
      <c r="J11" s="83">
        <v>440</v>
      </c>
      <c r="T11" s="83"/>
      <c r="U11" s="83"/>
      <c r="V11" s="85"/>
    </row>
    <row r="12" spans="1:22" x14ac:dyDescent="0.25">
      <c r="A12">
        <v>11</v>
      </c>
      <c r="B12" t="s">
        <v>1590</v>
      </c>
      <c r="C12" t="str">
        <f t="array" ref="C12">_xlfn.IFS(ISNUMBER(SEARCH("M",mainroad[[#This Row],[JANUARY]])),"M",mainroad[[#This Row],[JANUARY]]="A","A",mainroad[[#This Row],[JANUARY]]="","",mainroad[[#This Row],[JANUARY]]&gt;=100,"P")</f>
        <v>P</v>
      </c>
      <c r="D12" t="s">
        <v>51</v>
      </c>
      <c r="E12" s="85" t="s">
        <v>1591</v>
      </c>
      <c r="F12" s="85" t="s">
        <v>1592</v>
      </c>
      <c r="G12" s="85"/>
      <c r="H12" s="83">
        <v>200</v>
      </c>
      <c r="I12" s="84"/>
      <c r="J12" s="83">
        <v>200</v>
      </c>
      <c r="T12" s="83"/>
      <c r="U12" s="83"/>
      <c r="V12" s="85"/>
    </row>
    <row r="13" spans="1:22" x14ac:dyDescent="0.25">
      <c r="A13">
        <v>12</v>
      </c>
      <c r="B13" t="s">
        <v>1593</v>
      </c>
      <c r="C13" t="str">
        <f t="array" ref="C13">_xlfn.IFS(ISNUMBER(SEARCH("M",mainroad[[#This Row],[JANUARY]])),"M",mainroad[[#This Row],[JANUARY]]="A","A",mainroad[[#This Row],[JANUARY]]="","",mainroad[[#This Row],[JANUARY]]&gt;=100,"P")</f>
        <v>P</v>
      </c>
      <c r="D13" t="s">
        <v>23</v>
      </c>
      <c r="E13" s="85" t="s">
        <v>1594</v>
      </c>
      <c r="F13" s="85" t="s">
        <v>1595</v>
      </c>
      <c r="G13" s="85"/>
      <c r="I13" s="84"/>
      <c r="J13" s="83" t="s">
        <v>1596</v>
      </c>
      <c r="T13" s="83"/>
      <c r="U13" s="83"/>
      <c r="V13" s="85"/>
    </row>
    <row r="14" spans="1:22" x14ac:dyDescent="0.25">
      <c r="A14">
        <v>13</v>
      </c>
      <c r="B14" t="s">
        <v>1597</v>
      </c>
      <c r="C14" t="str">
        <f t="array" ref="C14">_xlfn.IFS(ISNUMBER(SEARCH("M",mainroad[[#This Row],[JANUARY]])),"M",mainroad[[#This Row],[JANUARY]]="A","A",mainroad[[#This Row],[JANUARY]]="","",mainroad[[#This Row],[JANUARY]]&gt;=100,"P")</f>
        <v>P</v>
      </c>
      <c r="D14" t="s">
        <v>30</v>
      </c>
      <c r="E14" s="85" t="s">
        <v>1598</v>
      </c>
      <c r="F14" s="85" t="s">
        <v>1599</v>
      </c>
      <c r="G14" s="85"/>
      <c r="H14" s="83">
        <v>230</v>
      </c>
      <c r="I14" s="84"/>
      <c r="J14" s="83">
        <v>230</v>
      </c>
      <c r="T14" s="83"/>
      <c r="U14" s="83"/>
      <c r="V14" s="85"/>
    </row>
    <row r="15" spans="1:22" x14ac:dyDescent="0.25">
      <c r="A15">
        <v>14</v>
      </c>
      <c r="B15" t="s">
        <v>1600</v>
      </c>
      <c r="C15" t="str">
        <f t="array" ref="C15">_xlfn.IFS(ISNUMBER(SEARCH("M",mainroad[[#This Row],[JANUARY]])),"M",mainroad[[#This Row],[JANUARY]]="A","A",mainroad[[#This Row],[JANUARY]]="","",mainroad[[#This Row],[JANUARY]]&gt;=100,"P")</f>
        <v>P</v>
      </c>
      <c r="D15" t="s">
        <v>36</v>
      </c>
      <c r="E15" s="85" t="s">
        <v>1601</v>
      </c>
      <c r="F15" s="85" t="s">
        <v>1602</v>
      </c>
      <c r="G15" s="85"/>
      <c r="H15" s="83">
        <v>230</v>
      </c>
      <c r="I15" s="84"/>
      <c r="J15" s="83">
        <v>220</v>
      </c>
      <c r="T15" s="83"/>
      <c r="U15" s="83"/>
      <c r="V15" s="85"/>
    </row>
    <row r="16" spans="1:22" x14ac:dyDescent="0.25">
      <c r="A16">
        <v>15</v>
      </c>
      <c r="B16" t="s">
        <v>366</v>
      </c>
      <c r="C16" t="str">
        <f t="array" ref="C16">_xlfn.IFS(ISNUMBER(SEARCH("M",mainroad[[#This Row],[JANUARY]])),"M",mainroad[[#This Row],[JANUARY]]="A","A",mainroad[[#This Row],[JANUARY]]="","",mainroad[[#This Row],[JANUARY]]&gt;=100,"P")</f>
        <v>A</v>
      </c>
      <c r="D16" t="s">
        <v>30</v>
      </c>
      <c r="E16" s="85" t="s">
        <v>1603</v>
      </c>
      <c r="F16" s="85" t="s">
        <v>1604</v>
      </c>
      <c r="G16" s="85"/>
      <c r="H16" s="83" t="s">
        <v>45</v>
      </c>
      <c r="I16" s="84"/>
      <c r="J16" s="83" t="s">
        <v>45</v>
      </c>
      <c r="T16" s="83"/>
      <c r="U16" s="83"/>
      <c r="V16" s="85"/>
    </row>
    <row r="17" spans="1:22" x14ac:dyDescent="0.25">
      <c r="A17">
        <v>16</v>
      </c>
      <c r="B17" t="s">
        <v>1605</v>
      </c>
      <c r="C17" t="str">
        <f t="array" ref="C17">_xlfn.IFS(ISNUMBER(SEARCH("M",mainroad[[#This Row],[JANUARY]])),"M",mainroad[[#This Row],[JANUARY]]="A","A",mainroad[[#This Row],[JANUARY]]="","",mainroad[[#This Row],[JANUARY]]&gt;=100,"P")</f>
        <v>A</v>
      </c>
      <c r="D17" t="s">
        <v>707</v>
      </c>
      <c r="E17" s="85" t="s">
        <v>1606</v>
      </c>
      <c r="F17" s="85" t="s">
        <v>1607</v>
      </c>
      <c r="G17" s="85"/>
      <c r="H17" s="83" t="s">
        <v>45</v>
      </c>
      <c r="I17" s="84"/>
      <c r="J17" s="83" t="s">
        <v>45</v>
      </c>
      <c r="T17" s="83"/>
      <c r="U17" s="83"/>
      <c r="V17" s="85"/>
    </row>
    <row r="18" spans="1:22" x14ac:dyDescent="0.25">
      <c r="A18">
        <v>17</v>
      </c>
      <c r="B18" t="s">
        <v>1608</v>
      </c>
      <c r="C18" t="str">
        <f t="array" ref="C18">_xlfn.IFS(ISNUMBER(SEARCH("M",mainroad[[#This Row],[JANUARY]])),"M",mainroad[[#This Row],[JANUARY]]="A","A",mainroad[[#This Row],[JANUARY]]="","",mainroad[[#This Row],[JANUARY]]&gt;=100,"P")</f>
        <v>P</v>
      </c>
      <c r="D18" t="s">
        <v>30</v>
      </c>
      <c r="E18" s="85" t="s">
        <v>1609</v>
      </c>
      <c r="F18" s="85" t="s">
        <v>1610</v>
      </c>
      <c r="G18" s="85"/>
      <c r="H18" s="83">
        <v>220</v>
      </c>
      <c r="I18" s="84"/>
      <c r="J18" s="83">
        <v>220</v>
      </c>
      <c r="T18" s="83"/>
      <c r="U18" s="83"/>
      <c r="V18" s="85"/>
    </row>
    <row r="19" spans="1:22" x14ac:dyDescent="0.25">
      <c r="A19">
        <v>18</v>
      </c>
      <c r="B19" t="s">
        <v>1611</v>
      </c>
      <c r="C19" t="str">
        <f t="array" ref="C19">_xlfn.IFS(ISNUMBER(SEARCH("M",mainroad[[#This Row],[JANUARY]])),"M",mainroad[[#This Row],[JANUARY]]="A","A",mainroad[[#This Row],[JANUARY]]="","",mainroad[[#This Row],[JANUARY]]&gt;=100,"P")</f>
        <v>A</v>
      </c>
      <c r="D19" t="s">
        <v>30</v>
      </c>
      <c r="E19" s="85" t="s">
        <v>1612</v>
      </c>
      <c r="F19" s="85" t="s">
        <v>1613</v>
      </c>
      <c r="G19" s="85"/>
      <c r="H19" s="83" t="s">
        <v>45</v>
      </c>
      <c r="I19" s="84"/>
      <c r="J19" s="83" t="s">
        <v>45</v>
      </c>
      <c r="T19" s="83"/>
      <c r="U19" s="83"/>
      <c r="V19" s="85" t="s">
        <v>1614</v>
      </c>
    </row>
    <row r="20" spans="1:22" x14ac:dyDescent="0.25">
      <c r="A20">
        <v>19</v>
      </c>
      <c r="B20" t="s">
        <v>1615</v>
      </c>
      <c r="C20" t="str">
        <f t="array" ref="C20">_xlfn.IFS(ISNUMBER(SEARCH("M",mainroad[[#This Row],[JANUARY]])),"M",mainroad[[#This Row],[JANUARY]]="A","A",mainroad[[#This Row],[JANUARY]]="","",mainroad[[#This Row],[JANUARY]]&gt;=100,"P")</f>
        <v>A</v>
      </c>
      <c r="D20" t="s">
        <v>23</v>
      </c>
      <c r="E20" s="85" t="s">
        <v>1616</v>
      </c>
      <c r="F20" s="85" t="s">
        <v>1617</v>
      </c>
      <c r="G20" s="85"/>
      <c r="H20" s="83">
        <v>200</v>
      </c>
      <c r="I20" s="84"/>
      <c r="J20" s="83" t="s">
        <v>45</v>
      </c>
      <c r="T20" s="83"/>
      <c r="U20" s="83"/>
      <c r="V20" s="85"/>
    </row>
    <row r="21" spans="1:22" x14ac:dyDescent="0.25">
      <c r="A21">
        <v>20</v>
      </c>
      <c r="B21" t="s">
        <v>1618</v>
      </c>
      <c r="C21" t="str">
        <f t="array" ref="C21">_xlfn.IFS(ISNUMBER(SEARCH("M",mainroad[[#This Row],[JANUARY]])),"M",mainroad[[#This Row],[JANUARY]]="A","A",mainroad[[#This Row],[JANUARY]]="","",mainroad[[#This Row],[JANUARY]]&gt;=100,"P")</f>
        <v>P</v>
      </c>
      <c r="D21" t="s">
        <v>36</v>
      </c>
      <c r="E21" s="85" t="s">
        <v>1619</v>
      </c>
      <c r="F21" s="85" t="s">
        <v>1620</v>
      </c>
      <c r="G21" s="85"/>
      <c r="H21" s="83">
        <v>250</v>
      </c>
      <c r="I21" s="84"/>
      <c r="J21" s="83">
        <v>230</v>
      </c>
      <c r="T21" s="83"/>
      <c r="U21" s="83"/>
      <c r="V21" s="85" t="s">
        <v>400</v>
      </c>
    </row>
    <row r="22" spans="1:22" x14ac:dyDescent="0.25">
      <c r="A22">
        <v>21</v>
      </c>
      <c r="B22" t="s">
        <v>1621</v>
      </c>
      <c r="C22" t="str">
        <f t="array" ref="C22">_xlfn.IFS(ISNUMBER(SEARCH("M",mainroad[[#This Row],[JANUARY]])),"M",mainroad[[#This Row],[JANUARY]]="A","A",mainroad[[#This Row],[JANUARY]]="","",mainroad[[#This Row],[JANUARY]]&gt;=100,"P")</f>
        <v>P</v>
      </c>
      <c r="D22" t="s">
        <v>30</v>
      </c>
      <c r="E22" s="85" t="s">
        <v>1622</v>
      </c>
      <c r="F22" s="85" t="s">
        <v>1623</v>
      </c>
      <c r="G22" s="85"/>
      <c r="H22" s="83">
        <v>200</v>
      </c>
      <c r="I22" s="84"/>
      <c r="J22" s="83">
        <v>200</v>
      </c>
      <c r="T22" s="83"/>
      <c r="U22" s="83"/>
      <c r="V22" s="85"/>
    </row>
    <row r="23" spans="1:22" x14ac:dyDescent="0.25">
      <c r="A23">
        <v>22</v>
      </c>
      <c r="B23" t="s">
        <v>1624</v>
      </c>
      <c r="C23" t="str">
        <f t="array" ref="C23">_xlfn.IFS(ISNUMBER(SEARCH("M",mainroad[[#This Row],[JANUARY]])),"M",mainroad[[#This Row],[JANUARY]]="A","A",mainroad[[#This Row],[JANUARY]]="","",mainroad[[#This Row],[JANUARY]]&gt;=100,"P")</f>
        <v>P</v>
      </c>
      <c r="D23" t="s">
        <v>23</v>
      </c>
      <c r="E23" s="85" t="s">
        <v>1625</v>
      </c>
      <c r="F23" s="85" t="s">
        <v>1626</v>
      </c>
      <c r="G23" s="85"/>
      <c r="H23" s="83">
        <v>200</v>
      </c>
      <c r="I23" s="84"/>
      <c r="J23" s="83">
        <v>200</v>
      </c>
      <c r="T23" s="83"/>
      <c r="U23" s="83"/>
      <c r="V23" s="85"/>
    </row>
    <row r="24" spans="1:22" x14ac:dyDescent="0.25">
      <c r="A24">
        <v>23</v>
      </c>
      <c r="B24" t="s">
        <v>1627</v>
      </c>
      <c r="C24" t="str">
        <f t="array" ref="C24">_xlfn.IFS(ISNUMBER(SEARCH("M",mainroad[[#This Row],[JANUARY]])),"M",mainroad[[#This Row],[JANUARY]]="A","A",mainroad[[#This Row],[JANUARY]]="","",mainroad[[#This Row],[JANUARY]]&gt;=100,"P")</f>
        <v>P</v>
      </c>
      <c r="D24" t="s">
        <v>36</v>
      </c>
      <c r="E24" s="85" t="s">
        <v>1628</v>
      </c>
      <c r="F24" s="85" t="s">
        <v>1629</v>
      </c>
      <c r="G24" s="85"/>
      <c r="H24" s="83">
        <v>200</v>
      </c>
      <c r="I24" s="84"/>
      <c r="J24" s="83">
        <v>200</v>
      </c>
      <c r="T24" s="83"/>
      <c r="U24" s="83"/>
      <c r="V24" s="85"/>
    </row>
    <row r="25" spans="1:22" s="91" customFormat="1" ht="15.75" customHeight="1" x14ac:dyDescent="0.25">
      <c r="A25" s="91">
        <v>24</v>
      </c>
      <c r="B25" s="91" t="s">
        <v>1630</v>
      </c>
      <c r="C25" s="91" t="str">
        <f t="array" ref="C25">_xlfn.IFS(ISNUMBER(SEARCH("M",mainroad[[#This Row],[JANUARY]])),"M",mainroad[[#This Row],[JANUARY]]="A","A",mainroad[[#This Row],[JANUARY]]="","",mainroad[[#This Row],[JANUARY]]&gt;=100,"P")</f>
        <v>P</v>
      </c>
      <c r="D25" s="91" t="s">
        <v>23</v>
      </c>
      <c r="E25" s="91" t="s">
        <v>1631</v>
      </c>
      <c r="F25" s="91" t="s">
        <v>48</v>
      </c>
      <c r="H25" s="91">
        <v>200</v>
      </c>
      <c r="J25" s="91">
        <v>200</v>
      </c>
    </row>
    <row r="26" spans="1:22" x14ac:dyDescent="0.25">
      <c r="A26">
        <v>25</v>
      </c>
      <c r="B26" t="s">
        <v>1632</v>
      </c>
      <c r="C26" t="str">
        <f t="array" ref="C26">_xlfn.IFS(ISNUMBER(SEARCH("M",mainroad[[#This Row],[JANUARY]])),"M",mainroad[[#This Row],[JANUARY]]="A","A",mainroad[[#This Row],[JANUARY]]="","",mainroad[[#This Row],[JANUARY]]&gt;=100,"P")</f>
        <v>P</v>
      </c>
      <c r="D26" t="s">
        <v>51</v>
      </c>
      <c r="E26" s="85" t="s">
        <v>1633</v>
      </c>
      <c r="F26" s="85" t="s">
        <v>1634</v>
      </c>
      <c r="G26" s="85"/>
      <c r="H26" s="83">
        <v>200</v>
      </c>
      <c r="I26" s="84"/>
      <c r="J26" s="83">
        <v>200</v>
      </c>
      <c r="T26" s="83"/>
      <c r="U26" s="83"/>
      <c r="V26" s="85"/>
    </row>
    <row r="27" spans="1:22" x14ac:dyDescent="0.25">
      <c r="A27">
        <v>26</v>
      </c>
      <c r="B27" t="s">
        <v>1635</v>
      </c>
      <c r="C27" t="str">
        <f t="array" ref="C27">_xlfn.IFS(ISNUMBER(SEARCH("M",mainroad[[#This Row],[JANUARY]])),"M",mainroad[[#This Row],[JANUARY]]="A","A",mainroad[[#This Row],[JANUARY]]="","",mainroad[[#This Row],[JANUARY]]&gt;=100,"P")</f>
        <v>P</v>
      </c>
      <c r="D27" t="s">
        <v>30</v>
      </c>
      <c r="E27" s="85" t="s">
        <v>1636</v>
      </c>
      <c r="F27" s="85" t="s">
        <v>1637</v>
      </c>
      <c r="G27" s="85"/>
      <c r="H27" s="83" t="s">
        <v>45</v>
      </c>
      <c r="I27" s="84"/>
      <c r="J27" s="83" t="s">
        <v>1638</v>
      </c>
      <c r="T27" s="83"/>
      <c r="U27" s="83"/>
      <c r="V27" s="85"/>
    </row>
    <row r="28" spans="1:22" x14ac:dyDescent="0.25">
      <c r="A28">
        <v>27</v>
      </c>
      <c r="B28" t="s">
        <v>1639</v>
      </c>
      <c r="C28" t="str">
        <f t="array" ref="C28">_xlfn.IFS(ISNUMBER(SEARCH("M",mainroad[[#This Row],[JANUARY]])),"M",mainroad[[#This Row],[JANUARY]]="A","A",mainroad[[#This Row],[JANUARY]]="","",mainroad[[#This Row],[JANUARY]]&gt;=100,"P")</f>
        <v>P</v>
      </c>
      <c r="D28" t="s">
        <v>51</v>
      </c>
      <c r="E28" s="85" t="s">
        <v>1640</v>
      </c>
      <c r="F28" s="85" t="s">
        <v>1641</v>
      </c>
      <c r="G28" s="85"/>
      <c r="H28" s="83">
        <v>230</v>
      </c>
      <c r="I28" s="84"/>
      <c r="J28" s="83">
        <v>200</v>
      </c>
      <c r="T28" s="83"/>
      <c r="U28" s="83"/>
      <c r="V28" s="85"/>
    </row>
    <row r="29" spans="1:22" x14ac:dyDescent="0.25">
      <c r="A29">
        <v>28</v>
      </c>
      <c r="B29" t="s">
        <v>1642</v>
      </c>
      <c r="C29" t="str">
        <f t="array" ref="C29">_xlfn.IFS(ISNUMBER(SEARCH("M",mainroad[[#This Row],[JANUARY]])),"M",mainroad[[#This Row],[JANUARY]]="A","A",mainroad[[#This Row],[JANUARY]]="","",mainroad[[#This Row],[JANUARY]]&gt;=100,"P")</f>
        <v>P</v>
      </c>
      <c r="D29" t="s">
        <v>23</v>
      </c>
      <c r="E29" s="85" t="s">
        <v>1643</v>
      </c>
      <c r="F29" s="85" t="s">
        <v>1644</v>
      </c>
      <c r="G29" s="85"/>
      <c r="H29" s="83" t="s">
        <v>45</v>
      </c>
      <c r="I29" s="84"/>
      <c r="J29" s="83">
        <v>200</v>
      </c>
      <c r="T29" s="83"/>
      <c r="U29" s="83"/>
      <c r="V29" s="85"/>
    </row>
    <row r="30" spans="1:22" x14ac:dyDescent="0.25">
      <c r="A30">
        <v>29</v>
      </c>
      <c r="B30" t="s">
        <v>1645</v>
      </c>
      <c r="C30" t="str">
        <f t="array" ref="C30">_xlfn.IFS(ISNUMBER(SEARCH("M",mainroad[[#This Row],[JANUARY]])),"M",mainroad[[#This Row],[JANUARY]]="A","A",mainroad[[#This Row],[JANUARY]]="","",mainroad[[#This Row],[JANUARY]]&gt;=100,"P")</f>
        <v/>
      </c>
      <c r="E30" s="85" t="s">
        <v>1646</v>
      </c>
      <c r="F30" s="85" t="s">
        <v>1647</v>
      </c>
      <c r="G30" s="85"/>
      <c r="I30" s="84"/>
      <c r="T30" s="83"/>
      <c r="U30" s="83"/>
      <c r="V30" s="85" t="s">
        <v>1648</v>
      </c>
    </row>
    <row r="31" spans="1:22" x14ac:dyDescent="0.25">
      <c r="A31">
        <v>30</v>
      </c>
      <c r="B31" t="s">
        <v>1649</v>
      </c>
      <c r="C31" t="str">
        <f t="array" ref="C31">_xlfn.IFS(ISNUMBER(SEARCH("M",mainroad[[#This Row],[JANUARY]])),"M",mainroad[[#This Row],[JANUARY]]="A","A",mainroad[[#This Row],[JANUARY]]="","",mainroad[[#This Row],[JANUARY]]&gt;=100,"P")</f>
        <v>P</v>
      </c>
      <c r="D31" t="s">
        <v>51</v>
      </c>
      <c r="E31" s="85" t="s">
        <v>1650</v>
      </c>
      <c r="F31" s="85" t="s">
        <v>1651</v>
      </c>
      <c r="G31" s="85"/>
      <c r="H31" s="83" t="s">
        <v>113</v>
      </c>
      <c r="I31" s="84" t="s">
        <v>1652</v>
      </c>
      <c r="J31" s="83">
        <v>200</v>
      </c>
      <c r="T31" s="83"/>
      <c r="U31" s="83"/>
      <c r="V31" s="85"/>
    </row>
    <row r="32" spans="1:22" x14ac:dyDescent="0.25">
      <c r="A32">
        <v>31</v>
      </c>
      <c r="B32" t="s">
        <v>659</v>
      </c>
      <c r="C32" t="str">
        <f t="array" ref="C32">_xlfn.IFS(ISNUMBER(SEARCH("M",mainroad[[#This Row],[JANUARY]])),"M",mainroad[[#This Row],[JANUARY]]="A","A",mainroad[[#This Row],[JANUARY]]="","",mainroad[[#This Row],[JANUARY]]&gt;=100,"P")</f>
        <v>P</v>
      </c>
      <c r="D32" t="s">
        <v>61</v>
      </c>
      <c r="E32" s="85" t="s">
        <v>1653</v>
      </c>
      <c r="F32" s="85" t="s">
        <v>1654</v>
      </c>
      <c r="G32" s="85"/>
      <c r="H32" s="83">
        <v>200</v>
      </c>
      <c r="I32" s="84"/>
      <c r="J32" s="83">
        <v>200</v>
      </c>
      <c r="T32" s="83"/>
      <c r="U32" s="83"/>
      <c r="V32" s="85"/>
    </row>
    <row r="33" spans="1:22" x14ac:dyDescent="0.25">
      <c r="A33">
        <v>32</v>
      </c>
      <c r="B33" t="s">
        <v>1655</v>
      </c>
      <c r="C33" t="str">
        <f t="array" ref="C33">_xlfn.IFS(ISNUMBER(SEARCH("M",mainroad[[#This Row],[JANUARY]])),"M",mainroad[[#This Row],[JANUARY]]="A","A",mainroad[[#This Row],[JANUARY]]="","",mainroad[[#This Row],[JANUARY]]&gt;=100,"P")</f>
        <v>P</v>
      </c>
      <c r="D33" t="s">
        <v>51</v>
      </c>
      <c r="E33" s="85" t="s">
        <v>1656</v>
      </c>
      <c r="F33" s="85" t="s">
        <v>1657</v>
      </c>
      <c r="G33" s="85"/>
      <c r="H33" s="83" t="s">
        <v>806</v>
      </c>
      <c r="I33" s="84"/>
      <c r="J33" s="83" t="s">
        <v>806</v>
      </c>
      <c r="T33" s="83"/>
      <c r="U33" s="83"/>
      <c r="V33" s="85"/>
    </row>
    <row r="34" spans="1:22" x14ac:dyDescent="0.25">
      <c r="A34">
        <v>33</v>
      </c>
      <c r="B34" t="s">
        <v>1658</v>
      </c>
      <c r="C34" t="str">
        <f t="array" ref="C34">_xlfn.IFS(ISNUMBER(SEARCH("M",mainroad[[#This Row],[JANUARY]])),"M",mainroad[[#This Row],[JANUARY]]="A","A",mainroad[[#This Row],[JANUARY]]="","",mainroad[[#This Row],[JANUARY]]&gt;=100,"P")</f>
        <v>P</v>
      </c>
      <c r="D34" t="s">
        <v>30</v>
      </c>
      <c r="E34" s="85" t="s">
        <v>1659</v>
      </c>
      <c r="F34" s="85" t="s">
        <v>1660</v>
      </c>
      <c r="G34" s="85"/>
      <c r="H34" s="83">
        <v>220</v>
      </c>
      <c r="I34" s="84"/>
      <c r="J34" s="83">
        <v>230</v>
      </c>
      <c r="T34" s="83"/>
      <c r="U34" s="83"/>
      <c r="V34" s="85"/>
    </row>
    <row r="35" spans="1:22" x14ac:dyDescent="0.25">
      <c r="A35">
        <v>34</v>
      </c>
      <c r="B35" t="s">
        <v>1661</v>
      </c>
      <c r="C35" t="str">
        <f t="array" ref="C35">_xlfn.IFS(ISNUMBER(SEARCH("M",mainroad[[#This Row],[JANUARY]])),"M",mainroad[[#This Row],[JANUARY]]="A","A",mainroad[[#This Row],[JANUARY]]="","",mainroad[[#This Row],[JANUARY]]&gt;=100,"P")</f>
        <v>A</v>
      </c>
      <c r="D35" t="s">
        <v>23</v>
      </c>
      <c r="E35" s="85" t="s">
        <v>1662</v>
      </c>
      <c r="F35" s="85" t="s">
        <v>1663</v>
      </c>
      <c r="G35" s="85"/>
      <c r="H35" s="83" t="s">
        <v>45</v>
      </c>
      <c r="I35" s="84"/>
      <c r="J35" s="83" t="s">
        <v>45</v>
      </c>
      <c r="T35" s="83"/>
      <c r="U35" s="83"/>
      <c r="V35" s="85"/>
    </row>
    <row r="36" spans="1:22" s="8" customFormat="1" x14ac:dyDescent="0.25">
      <c r="A36">
        <v>35</v>
      </c>
      <c r="B36" t="s">
        <v>1664</v>
      </c>
      <c r="C36" t="str">
        <f t="array" ref="C36">_xlfn.IFS(ISNUMBER(SEARCH("M",mainroad[[#This Row],[JANUARY]])),"M",mainroad[[#This Row],[JANUARY]]="A","A",mainroad[[#This Row],[JANUARY]]="","",mainroad[[#This Row],[JANUARY]]&gt;=100,"P")</f>
        <v>P</v>
      </c>
      <c r="D36" t="s">
        <v>30</v>
      </c>
      <c r="E36" s="85" t="s">
        <v>1665</v>
      </c>
      <c r="F36" s="85" t="s">
        <v>1666</v>
      </c>
      <c r="G36" s="85"/>
      <c r="H36" s="83" t="s">
        <v>1667</v>
      </c>
      <c r="I36" s="84"/>
      <c r="J36" s="83">
        <v>230</v>
      </c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5"/>
    </row>
    <row r="37" spans="1:22" x14ac:dyDescent="0.25">
      <c r="A37">
        <v>36</v>
      </c>
      <c r="B37" t="s">
        <v>1668</v>
      </c>
      <c r="C37" t="str">
        <f t="array" ref="C37">_xlfn.IFS(ISNUMBER(SEARCH("M",mainroad[[#This Row],[JANUARY]])),"M",mainroad[[#This Row],[JANUARY]]="A","A",mainroad[[#This Row],[JANUARY]]="","",mainroad[[#This Row],[JANUARY]]&gt;=100,"P")</f>
        <v>P</v>
      </c>
      <c r="D37" t="s">
        <v>23</v>
      </c>
      <c r="E37" s="85" t="s">
        <v>1669</v>
      </c>
      <c r="F37" s="85" t="s">
        <v>1670</v>
      </c>
      <c r="G37" s="85"/>
      <c r="H37" s="83" t="s">
        <v>1671</v>
      </c>
      <c r="I37" s="84"/>
      <c r="J37" s="83">
        <v>200</v>
      </c>
      <c r="T37" s="83"/>
      <c r="U37" s="83"/>
      <c r="V37" s="85"/>
    </row>
    <row r="38" spans="1:22" x14ac:dyDescent="0.25">
      <c r="A38">
        <v>37</v>
      </c>
      <c r="B38" t="s">
        <v>1672</v>
      </c>
      <c r="C38" t="str">
        <f t="array" ref="C38">_xlfn.IFS(ISNUMBER(SEARCH("M",mainroad[[#This Row],[JANUARY]])),"M",mainroad[[#This Row],[JANUARY]]="A","A",mainroad[[#This Row],[JANUARY]]="","",mainroad[[#This Row],[JANUARY]]&gt;=100,"P")</f>
        <v>P</v>
      </c>
      <c r="D38" t="s">
        <v>131</v>
      </c>
      <c r="E38" s="85" t="s">
        <v>1673</v>
      </c>
      <c r="F38" s="85" t="s">
        <v>1674</v>
      </c>
      <c r="G38" s="85"/>
      <c r="H38" s="83">
        <v>230</v>
      </c>
      <c r="I38" s="84"/>
      <c r="J38" s="83">
        <v>200</v>
      </c>
      <c r="T38" s="83"/>
      <c r="U38" s="83"/>
      <c r="V38" s="85"/>
    </row>
    <row r="39" spans="1:22" x14ac:dyDescent="0.25">
      <c r="A39">
        <v>38</v>
      </c>
      <c r="B39" s="85" t="s">
        <v>1675</v>
      </c>
      <c r="C39" t="str">
        <f t="array" ref="C39">_xlfn.IFS(ISNUMBER(SEARCH("M",mainroad[[#This Row],[JANUARY]])),"M",mainroad[[#This Row],[JANUARY]]="A","A",mainroad[[#This Row],[JANUARY]]="","",mainroad[[#This Row],[JANUARY]]&gt;=100,"P")</f>
        <v>P</v>
      </c>
      <c r="D39" t="s">
        <v>36</v>
      </c>
      <c r="E39" s="85" t="s">
        <v>1676</v>
      </c>
      <c r="F39" s="85" t="s">
        <v>1677</v>
      </c>
      <c r="G39" s="85"/>
      <c r="H39" s="83">
        <v>230</v>
      </c>
      <c r="I39" s="84"/>
      <c r="J39" s="83">
        <v>200</v>
      </c>
      <c r="T39" s="83"/>
      <c r="U39" s="83"/>
      <c r="V39" s="85"/>
    </row>
    <row r="40" spans="1:22" x14ac:dyDescent="0.25">
      <c r="A40">
        <v>39</v>
      </c>
      <c r="B40" s="85" t="s">
        <v>1678</v>
      </c>
      <c r="C40" t="str">
        <f t="array" ref="C40">_xlfn.IFS(ISNUMBER(SEARCH("M",mainroad[[#This Row],[JANUARY]])),"M",mainroad[[#This Row],[JANUARY]]="A","A",mainroad[[#This Row],[JANUARY]]="","",mainroad[[#This Row],[JANUARY]]&gt;=100,"P")</f>
        <v>M</v>
      </c>
      <c r="D40" t="s">
        <v>51</v>
      </c>
      <c r="E40" s="85" t="s">
        <v>1679</v>
      </c>
      <c r="F40" s="85" t="s">
        <v>1680</v>
      </c>
      <c r="G40" s="85"/>
      <c r="H40" s="83" t="s">
        <v>1638</v>
      </c>
      <c r="I40" s="84"/>
      <c r="J40" s="83" t="s">
        <v>49</v>
      </c>
      <c r="T40" s="83"/>
      <c r="U40" s="83"/>
      <c r="V40" s="85"/>
    </row>
    <row r="41" spans="1:22" ht="15.75" customHeight="1" x14ac:dyDescent="0.25">
      <c r="A41" s="8" t="s">
        <v>246</v>
      </c>
      <c r="B41" s="8"/>
      <c r="C41" s="8">
        <f>COUNTIF(C2:C40, "&gt;=a")</f>
        <v>37</v>
      </c>
      <c r="D41" s="8">
        <f>SUBTOTAL(103,mainroad[Package])</f>
        <v>37</v>
      </c>
      <c r="E41" s="8">
        <f>SUBTOTAL(103,mainroad[Box No])</f>
        <v>39</v>
      </c>
      <c r="F41" s="8">
        <f>SUBTOTAL(103,mainroad[CAF_ID])</f>
        <v>39</v>
      </c>
      <c r="G41" s="8"/>
      <c r="H41" s="56">
        <f>SUBTOTAL(109,mainroad[DEC-20])</f>
        <v>4880</v>
      </c>
      <c r="I41" s="28">
        <f>SUBTOTAL(109,mainroad[BALANCE])</f>
        <v>460</v>
      </c>
      <c r="J41" s="56">
        <f>SUBTOTAL(109,mainroad[JANUARY])</f>
        <v>6340</v>
      </c>
      <c r="K41" s="56">
        <f>SUBTOTAL(109,mainroad[FEBEUARY])</f>
        <v>0</v>
      </c>
      <c r="L41" s="56">
        <f>SUBTOTAL(109,mainroad[MARCH])</f>
        <v>0</v>
      </c>
      <c r="M41" s="56">
        <f>SUBTOTAL(109,mainroad[APRIL])</f>
        <v>0</v>
      </c>
      <c r="N41" s="56">
        <f>SUBTOTAL(109,mainroad[MAY])</f>
        <v>0</v>
      </c>
      <c r="O41" s="56">
        <f>SUBTOTAL(109,mainroad[JUNE])</f>
        <v>0</v>
      </c>
      <c r="P41" s="56">
        <f>SUBTOTAL(109,mainroad[JULY])</f>
        <v>0</v>
      </c>
      <c r="Q41" s="56">
        <f>SUBTOTAL(109,mainroad[AUGUST])</f>
        <v>0</v>
      </c>
      <c r="R41" s="56">
        <f>SUBTOTAL(109,mainroad[SEPTEMBER])</f>
        <v>0</v>
      </c>
      <c r="S41" s="56">
        <f>SUBTOTAL(109,mainroad[OCTOBER])</f>
        <v>0</v>
      </c>
      <c r="T41" s="56">
        <f>SUBTOTAL(109,mainroad[NOVEMBER])</f>
        <v>0</v>
      </c>
      <c r="U41" s="56">
        <f>SUBTOTAL(109,mainroad[DECEMBER])</f>
        <v>0</v>
      </c>
      <c r="V41" s="8"/>
    </row>
    <row r="42" spans="1:22" ht="15.75" customHeight="1" x14ac:dyDescent="0.25"/>
    <row r="43" spans="1:22" ht="15.75" customHeight="1" x14ac:dyDescent="0.25">
      <c r="B43" s="9" t="s">
        <v>247</v>
      </c>
      <c r="C43" s="19">
        <f>COUNTIF(C2:C40,"P")</f>
        <v>30</v>
      </c>
    </row>
    <row r="44" spans="1:22" ht="15.75" customHeight="1" x14ac:dyDescent="0.25">
      <c r="B44" s="18" t="s">
        <v>248</v>
      </c>
      <c r="C44" s="23">
        <f>COUNTIF(C2:C40,"M")</f>
        <v>2</v>
      </c>
    </row>
    <row r="45" spans="1:22" ht="15.75" customHeight="1" x14ac:dyDescent="0.25">
      <c r="B45" s="10" t="s">
        <v>249</v>
      </c>
      <c r="C45" s="21">
        <f>COUNTIF(C2:C40,"A")</f>
        <v>5</v>
      </c>
      <c r="D45" s="12"/>
    </row>
    <row r="46" spans="1:22" ht="15.75" customHeight="1" thickBot="1" x14ac:dyDescent="0.3">
      <c r="B46" s="17" t="s">
        <v>250</v>
      </c>
      <c r="C46" s="17">
        <f>SUM(C43:C45)</f>
        <v>37</v>
      </c>
    </row>
    <row r="47" spans="1:22" ht="15.75" customHeight="1" thickTop="1" x14ac:dyDescent="0.25"/>
    <row r="50" ht="15.75" customHeight="1" x14ac:dyDescent="0.25"/>
    <row r="51" ht="15.75" customHeight="1" x14ac:dyDescent="0.25"/>
  </sheetData>
  <phoneticPr fontId="35" type="noConversion"/>
  <conditionalFormatting sqref="B43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>
    <tabColor rgb="FF92D050"/>
  </sheetPr>
  <dimension ref="A1:V36"/>
  <sheetViews>
    <sheetView zoomScale="115" zoomScaleNormal="115" workbookViewId="0">
      <selection activeCell="I10" sqref="I10"/>
    </sheetView>
  </sheetViews>
  <sheetFormatPr defaultRowHeight="15" x14ac:dyDescent="0.25"/>
  <cols>
    <col min="1" max="1" width="5.140625" style="87" customWidth="1"/>
    <col min="2" max="2" width="20.85546875" style="87" customWidth="1"/>
    <col min="3" max="3" width="8" style="87" customWidth="1"/>
    <col min="4" max="4" width="29.140625" style="87" customWidth="1"/>
    <col min="5" max="5" width="21.7109375" style="87" customWidth="1"/>
    <col min="6" max="6" width="9.140625" style="87" customWidth="1"/>
    <col min="7" max="18" width="10.7109375" style="26" customWidth="1"/>
    <col min="19" max="20" width="10.7109375" style="87" customWidth="1"/>
    <col min="21" max="21" width="12.7109375" style="87" customWidth="1"/>
    <col min="22" max="52" width="9.140625" style="87" customWidth="1"/>
    <col min="53" max="16384" width="9.140625" style="87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85" t="s">
        <v>929</v>
      </c>
      <c r="I1" s="26" t="s">
        <v>7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  <c r="T1" s="26" t="s">
        <v>19</v>
      </c>
      <c r="U1" s="26" t="s">
        <v>20</v>
      </c>
      <c r="V1" s="85" t="s">
        <v>21</v>
      </c>
    </row>
    <row r="2" spans="1:22" x14ac:dyDescent="0.25">
      <c r="A2">
        <v>1</v>
      </c>
      <c r="B2" t="s">
        <v>751</v>
      </c>
      <c r="C2" t="str">
        <f t="array" ref="C2">_xlfn.IFS(ISNUMBER(SEARCH("M",bharathipuram130[[#This Row],[JANUARY]])),"M",bharathipuram130[[#This Row],[JANUARY]]="A","A",bharathipuram130[[#This Row],[JANUARY]]="","",bharathipuram130[[#This Row],[JANUARY]]&gt;=100,"P")</f>
        <v>P</v>
      </c>
      <c r="D2" t="s">
        <v>51</v>
      </c>
      <c r="E2" s="85" t="s">
        <v>1681</v>
      </c>
      <c r="F2" s="85" t="s">
        <v>1682</v>
      </c>
      <c r="G2" s="85"/>
      <c r="H2" s="86">
        <v>230</v>
      </c>
      <c r="I2" s="86"/>
      <c r="J2" s="86">
        <v>200</v>
      </c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5"/>
    </row>
    <row r="3" spans="1:22" x14ac:dyDescent="0.25">
      <c r="A3">
        <v>2</v>
      </c>
      <c r="B3" t="s">
        <v>1683</v>
      </c>
      <c r="C3" t="str">
        <f t="array" ref="C3">_xlfn.IFS(ISNUMBER(SEARCH("M",bharathipuram130[[#This Row],[JANUARY]])),"M",bharathipuram130[[#This Row],[JANUARY]]="A","A",bharathipuram130[[#This Row],[JANUARY]]="","",bharathipuram130[[#This Row],[JANUARY]]&gt;=100,"P")</f>
        <v/>
      </c>
      <c r="E3" s="85" t="s">
        <v>1684</v>
      </c>
      <c r="F3" s="85" t="s">
        <v>1685</v>
      </c>
      <c r="G3" s="85"/>
      <c r="H3" s="86" t="s">
        <v>1686</v>
      </c>
      <c r="I3" s="86">
        <v>400</v>
      </c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5"/>
    </row>
    <row r="4" spans="1:22" s="22" customFormat="1" x14ac:dyDescent="0.25">
      <c r="A4" s="22">
        <v>3</v>
      </c>
      <c r="B4" s="22" t="s">
        <v>307</v>
      </c>
      <c r="E4" s="22" t="s">
        <v>1687</v>
      </c>
      <c r="F4" s="22" t="s">
        <v>1688</v>
      </c>
      <c r="H4" s="107">
        <v>200</v>
      </c>
      <c r="I4" s="107"/>
      <c r="J4" s="107">
        <v>200</v>
      </c>
    </row>
    <row r="5" spans="1:22" x14ac:dyDescent="0.25">
      <c r="A5">
        <v>4</v>
      </c>
      <c r="B5" t="s">
        <v>46</v>
      </c>
      <c r="C5" t="str">
        <f t="array" ref="C5">_xlfn.IFS(ISNUMBER(SEARCH("M",bharathipuram130[[#This Row],[JANUARY]])),"M",bharathipuram130[[#This Row],[JANUARY]]="A","A",bharathipuram130[[#This Row],[JANUARY]]="","",bharathipuram130[[#This Row],[JANUARY]]&gt;=100,"P")</f>
        <v>P</v>
      </c>
      <c r="D5" t="s">
        <v>51</v>
      </c>
      <c r="E5" s="85" t="s">
        <v>1689</v>
      </c>
      <c r="F5" s="85" t="s">
        <v>1690</v>
      </c>
      <c r="G5" s="85"/>
      <c r="H5" s="86">
        <v>200</v>
      </c>
      <c r="I5" s="86"/>
      <c r="J5" s="86">
        <v>200</v>
      </c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5"/>
    </row>
    <row r="6" spans="1:22" x14ac:dyDescent="0.25">
      <c r="A6">
        <v>5</v>
      </c>
      <c r="B6" t="s">
        <v>1691</v>
      </c>
      <c r="C6" t="str">
        <f t="array" ref="C6">_xlfn.IFS(ISNUMBER(SEARCH("M",bharathipuram130[[#This Row],[JANUARY]])),"M",bharathipuram130[[#This Row],[JANUARY]]="A","A",bharathipuram130[[#This Row],[JANUARY]]="","",bharathipuram130[[#This Row],[JANUARY]]&gt;=100,"P")</f>
        <v>P</v>
      </c>
      <c r="D6" t="s">
        <v>30</v>
      </c>
      <c r="E6" s="85" t="s">
        <v>1692</v>
      </c>
      <c r="F6" s="85" t="s">
        <v>1693</v>
      </c>
      <c r="G6" s="85"/>
      <c r="H6" s="86">
        <v>200</v>
      </c>
      <c r="I6" s="86"/>
      <c r="J6" s="86">
        <v>200</v>
      </c>
      <c r="K6" s="86"/>
      <c r="L6" s="86"/>
      <c r="M6" s="86"/>
      <c r="N6" s="86"/>
      <c r="O6" s="86"/>
      <c r="P6" s="86"/>
      <c r="Q6" s="86"/>
      <c r="R6" s="86"/>
      <c r="S6" s="86"/>
      <c r="T6" s="86"/>
      <c r="U6" s="86"/>
      <c r="V6" s="85"/>
    </row>
    <row r="7" spans="1:22" x14ac:dyDescent="0.25">
      <c r="A7">
        <v>6</v>
      </c>
      <c r="B7" t="s">
        <v>1324</v>
      </c>
      <c r="C7" t="str">
        <f t="array" ref="C7">_xlfn.IFS(ISNUMBER(SEARCH("M",bharathipuram130[[#This Row],[JANUARY]])),"M",bharathipuram130[[#This Row],[JANUARY]]="A","A",bharathipuram130[[#This Row],[JANUARY]]="","",bharathipuram130[[#This Row],[JANUARY]]&gt;=100,"P")</f>
        <v>P</v>
      </c>
      <c r="D7" t="s">
        <v>23</v>
      </c>
      <c r="E7" s="85" t="s">
        <v>1694</v>
      </c>
      <c r="F7" s="85" t="s">
        <v>1695</v>
      </c>
      <c r="G7" s="85"/>
      <c r="H7" s="86">
        <v>200</v>
      </c>
      <c r="I7" s="86"/>
      <c r="J7" s="86">
        <v>200</v>
      </c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5"/>
    </row>
    <row r="8" spans="1:22" x14ac:dyDescent="0.25">
      <c r="A8">
        <v>7</v>
      </c>
      <c r="B8" t="s">
        <v>50</v>
      </c>
      <c r="C8" t="str">
        <f t="array" ref="C8">_xlfn.IFS(ISNUMBER(SEARCH("M",bharathipuram130[[#This Row],[JANUARY]])),"M",bharathipuram130[[#This Row],[JANUARY]]="A","A",bharathipuram130[[#This Row],[JANUARY]]="","",bharathipuram130[[#This Row],[JANUARY]]&gt;=100,"P")</f>
        <v>M</v>
      </c>
      <c r="D8" t="s">
        <v>30</v>
      </c>
      <c r="E8" s="85" t="s">
        <v>1696</v>
      </c>
      <c r="F8" s="85" t="s">
        <v>1697</v>
      </c>
      <c r="G8" s="85"/>
      <c r="H8" s="86">
        <v>400</v>
      </c>
      <c r="I8" s="86">
        <v>200</v>
      </c>
      <c r="J8" s="86" t="s">
        <v>49</v>
      </c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5"/>
    </row>
    <row r="9" spans="1:22" x14ac:dyDescent="0.25">
      <c r="A9">
        <v>8</v>
      </c>
      <c r="B9" t="s">
        <v>1698</v>
      </c>
      <c r="C9" t="str">
        <f t="array" ref="C9">_xlfn.IFS(ISNUMBER(SEARCH("M",bharathipuram130[[#This Row],[JANUARY]])),"M",bharathipuram130[[#This Row],[JANUARY]]="A","A",bharathipuram130[[#This Row],[JANUARY]]="","",bharathipuram130[[#This Row],[JANUARY]]&gt;=100,"P")</f>
        <v>P</v>
      </c>
      <c r="D9" t="s">
        <v>23</v>
      </c>
      <c r="E9" s="85" t="s">
        <v>1699</v>
      </c>
      <c r="F9" s="85" t="s">
        <v>1700</v>
      </c>
      <c r="G9" s="85"/>
      <c r="H9" s="86">
        <v>200</v>
      </c>
      <c r="I9" s="86"/>
      <c r="J9" s="86">
        <v>200</v>
      </c>
      <c r="K9" s="86"/>
      <c r="L9" s="86"/>
      <c r="M9" s="86"/>
      <c r="N9" s="86"/>
      <c r="O9" s="86"/>
      <c r="P9" s="86"/>
      <c r="Q9" s="86"/>
      <c r="R9" s="86"/>
      <c r="S9" s="86"/>
      <c r="T9" s="86"/>
      <c r="U9" s="86"/>
      <c r="V9" s="85"/>
    </row>
    <row r="10" spans="1:22" x14ac:dyDescent="0.25">
      <c r="A10">
        <v>9</v>
      </c>
      <c r="B10" t="s">
        <v>632</v>
      </c>
      <c r="C10" t="str">
        <f t="array" ref="C10">_xlfn.IFS(ISNUMBER(SEARCH("M",bharathipuram130[[#This Row],[JANUARY]])),"M",bharathipuram130[[#This Row],[JANUARY]]="A","A",bharathipuram130[[#This Row],[JANUARY]]="","",bharathipuram130[[#This Row],[JANUARY]]&gt;=100,"P")</f>
        <v>P</v>
      </c>
      <c r="D10" t="s">
        <v>30</v>
      </c>
      <c r="E10" s="85" t="s">
        <v>1701</v>
      </c>
      <c r="F10" s="85" t="s">
        <v>1702</v>
      </c>
      <c r="G10" s="85"/>
      <c r="H10" s="86">
        <v>200</v>
      </c>
      <c r="I10" s="86"/>
      <c r="J10" s="86">
        <v>200</v>
      </c>
      <c r="K10" s="86"/>
      <c r="L10" s="86"/>
      <c r="M10" s="86"/>
      <c r="N10" s="86"/>
      <c r="O10" s="86"/>
      <c r="P10" s="86"/>
      <c r="Q10" s="86"/>
      <c r="R10" s="86"/>
      <c r="S10" s="86"/>
      <c r="T10" s="86"/>
      <c r="U10" s="86"/>
      <c r="V10" s="85"/>
    </row>
    <row r="11" spans="1:22" x14ac:dyDescent="0.25">
      <c r="A11">
        <v>10</v>
      </c>
      <c r="B11" t="s">
        <v>1399</v>
      </c>
      <c r="C11" t="str">
        <f t="array" ref="C11">_xlfn.IFS(ISNUMBER(SEARCH("M",bharathipuram130[[#This Row],[JANUARY]])),"M",bharathipuram130[[#This Row],[JANUARY]]="A","A",bharathipuram130[[#This Row],[JANUARY]]="","",bharathipuram130[[#This Row],[JANUARY]]&gt;=100,"P")</f>
        <v>P</v>
      </c>
      <c r="D11" t="s">
        <v>30</v>
      </c>
      <c r="E11" s="85" t="s">
        <v>1703</v>
      </c>
      <c r="F11" s="85" t="s">
        <v>1704</v>
      </c>
      <c r="G11" s="85"/>
      <c r="H11" s="86">
        <v>200</v>
      </c>
      <c r="I11" s="86"/>
      <c r="J11" s="86">
        <v>200</v>
      </c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5"/>
    </row>
    <row r="12" spans="1:22" x14ac:dyDescent="0.25">
      <c r="A12">
        <v>11</v>
      </c>
      <c r="B12" t="s">
        <v>1404</v>
      </c>
      <c r="C12" t="str">
        <f t="array" ref="C12">_xlfn.IFS(ISNUMBER(SEARCH("M",bharathipuram130[[#This Row],[JANUARY]])),"M",bharathipuram130[[#This Row],[JANUARY]]="A","A",bharathipuram130[[#This Row],[JANUARY]]="","",bharathipuram130[[#This Row],[JANUARY]]&gt;=100,"P")</f>
        <v>P</v>
      </c>
      <c r="D12" t="s">
        <v>23</v>
      </c>
      <c r="E12" s="85" t="s">
        <v>1705</v>
      </c>
      <c r="F12" s="85" t="s">
        <v>1706</v>
      </c>
      <c r="G12" s="85"/>
      <c r="H12" s="86">
        <v>200</v>
      </c>
      <c r="I12" s="86"/>
      <c r="J12" s="86">
        <v>200</v>
      </c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5"/>
    </row>
    <row r="13" spans="1:22" x14ac:dyDescent="0.25">
      <c r="A13">
        <v>12</v>
      </c>
      <c r="B13" t="s">
        <v>1155</v>
      </c>
      <c r="C13" t="str">
        <f t="array" ref="C13">_xlfn.IFS(ISNUMBER(SEARCH("M",bharathipuram130[[#This Row],[JANUARY]])),"M",bharathipuram130[[#This Row],[JANUARY]]="A","A",bharathipuram130[[#This Row],[JANUARY]]="","",bharathipuram130[[#This Row],[JANUARY]]&gt;=100,"P")</f>
        <v>P</v>
      </c>
      <c r="D13" t="s">
        <v>36</v>
      </c>
      <c r="E13" s="85" t="s">
        <v>1707</v>
      </c>
      <c r="F13" s="85" t="s">
        <v>1708</v>
      </c>
      <c r="G13" s="85"/>
      <c r="H13" s="86">
        <v>150</v>
      </c>
      <c r="I13" s="86"/>
      <c r="J13" s="86">
        <v>150</v>
      </c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5"/>
    </row>
    <row r="14" spans="1:22" x14ac:dyDescent="0.25">
      <c r="A14">
        <v>13</v>
      </c>
      <c r="B14" t="s">
        <v>1709</v>
      </c>
      <c r="C14" t="str">
        <f t="array" ref="C14">_xlfn.IFS(ISNUMBER(SEARCH("M",bharathipuram130[[#This Row],[JANUARY]])),"M",bharathipuram130[[#This Row],[JANUARY]]="A","A",bharathipuram130[[#This Row],[JANUARY]]="","",bharathipuram130[[#This Row],[JANUARY]]&gt;=100,"P")</f>
        <v>P</v>
      </c>
      <c r="D14" t="s">
        <v>23</v>
      </c>
      <c r="E14" s="85" t="s">
        <v>1710</v>
      </c>
      <c r="F14" s="85" t="s">
        <v>1711</v>
      </c>
      <c r="G14" s="85"/>
      <c r="H14" s="86">
        <v>200</v>
      </c>
      <c r="I14" s="86"/>
      <c r="J14" s="86">
        <v>200</v>
      </c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5"/>
    </row>
    <row r="15" spans="1:22" x14ac:dyDescent="0.25">
      <c r="A15">
        <v>14</v>
      </c>
      <c r="B15" t="s">
        <v>1069</v>
      </c>
      <c r="C15" t="str">
        <f t="array" ref="C15">_xlfn.IFS(ISNUMBER(SEARCH("M",bharathipuram130[[#This Row],[JANUARY]])),"M",bharathipuram130[[#This Row],[JANUARY]]="A","A",bharathipuram130[[#This Row],[JANUARY]]="","",bharathipuram130[[#This Row],[JANUARY]]&gt;=100,"P")</f>
        <v>P</v>
      </c>
      <c r="D15" t="s">
        <v>36</v>
      </c>
      <c r="E15" s="85" t="s">
        <v>1712</v>
      </c>
      <c r="F15" s="85" t="s">
        <v>1713</v>
      </c>
      <c r="G15" s="85"/>
      <c r="H15" s="86">
        <v>230</v>
      </c>
      <c r="I15" s="86"/>
      <c r="J15" s="86">
        <v>220</v>
      </c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5"/>
    </row>
    <row r="16" spans="1:22" x14ac:dyDescent="0.25">
      <c r="A16">
        <v>15</v>
      </c>
      <c r="B16" t="s">
        <v>1714</v>
      </c>
      <c r="C16" t="str">
        <f t="array" ref="C16">_xlfn.IFS(ISNUMBER(SEARCH("M",bharathipuram130[[#This Row],[JANUARY]])),"M",bharathipuram130[[#This Row],[JANUARY]]="A","A",bharathipuram130[[#This Row],[JANUARY]]="","",bharathipuram130[[#This Row],[JANUARY]]&gt;=100,"P")</f>
        <v>P</v>
      </c>
      <c r="D16" t="s">
        <v>23</v>
      </c>
      <c r="E16" s="85" t="s">
        <v>1715</v>
      </c>
      <c r="F16" s="85" t="s">
        <v>1716</v>
      </c>
      <c r="G16" s="85"/>
      <c r="H16" s="86">
        <v>200</v>
      </c>
      <c r="I16" s="86"/>
      <c r="J16" s="86">
        <v>200</v>
      </c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5"/>
    </row>
    <row r="17" spans="1:22" x14ac:dyDescent="0.25">
      <c r="A17">
        <v>16</v>
      </c>
      <c r="B17" t="s">
        <v>1717</v>
      </c>
      <c r="C17" t="str">
        <f t="array" ref="C17">_xlfn.IFS(ISNUMBER(SEARCH("M",bharathipuram130[[#This Row],[JANUARY]])),"M",bharathipuram130[[#This Row],[JANUARY]]="A","A",bharathipuram130[[#This Row],[JANUARY]]="","",bharathipuram130[[#This Row],[JANUARY]]&gt;=100,"P")</f>
        <v>P</v>
      </c>
      <c r="D17" t="s">
        <v>23</v>
      </c>
      <c r="E17" s="85" t="s">
        <v>1718</v>
      </c>
      <c r="F17" s="85" t="s">
        <v>1719</v>
      </c>
      <c r="G17" s="85"/>
      <c r="H17" s="86">
        <v>200</v>
      </c>
      <c r="I17" s="86"/>
      <c r="J17" s="86">
        <v>200</v>
      </c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5"/>
    </row>
    <row r="18" spans="1:22" x14ac:dyDescent="0.25">
      <c r="A18">
        <v>17</v>
      </c>
      <c r="B18" t="s">
        <v>1720</v>
      </c>
      <c r="C18" t="str">
        <f t="array" ref="C18">_xlfn.IFS(ISNUMBER(SEARCH("M",bharathipuram130[[#This Row],[JANUARY]])),"M",bharathipuram130[[#This Row],[JANUARY]]="A","A",bharathipuram130[[#This Row],[JANUARY]]="","",bharathipuram130[[#This Row],[JANUARY]]&gt;=100,"P")</f>
        <v>P</v>
      </c>
      <c r="D18" t="s">
        <v>23</v>
      </c>
      <c r="E18" s="85" t="s">
        <v>1721</v>
      </c>
      <c r="F18" s="85" t="s">
        <v>1722</v>
      </c>
      <c r="G18" s="85"/>
      <c r="H18" s="86">
        <v>200</v>
      </c>
      <c r="I18" s="86"/>
      <c r="J18" s="86">
        <v>200</v>
      </c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5"/>
    </row>
    <row r="19" spans="1:22" x14ac:dyDescent="0.25">
      <c r="A19">
        <v>18</v>
      </c>
      <c r="B19" t="s">
        <v>1723</v>
      </c>
      <c r="C19" t="str">
        <f t="array" ref="C19">_xlfn.IFS(ISNUMBER(SEARCH("M",bharathipuram130[[#This Row],[JANUARY]])),"M",bharathipuram130[[#This Row],[JANUARY]]="A","A",bharathipuram130[[#This Row],[JANUARY]]="","",bharathipuram130[[#This Row],[JANUARY]]&gt;=100,"P")</f>
        <v>P</v>
      </c>
      <c r="D19" t="s">
        <v>23</v>
      </c>
      <c r="E19" s="85" t="s">
        <v>1724</v>
      </c>
      <c r="F19" s="85" t="s">
        <v>1725</v>
      </c>
      <c r="G19" s="85"/>
      <c r="H19" s="86">
        <v>200</v>
      </c>
      <c r="I19" s="86"/>
      <c r="J19" s="86">
        <v>200</v>
      </c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5"/>
    </row>
    <row r="20" spans="1:22" x14ac:dyDescent="0.25">
      <c r="A20">
        <v>19</v>
      </c>
      <c r="B20" t="s">
        <v>307</v>
      </c>
      <c r="C20" t="str">
        <f t="array" ref="C20">_xlfn.IFS(ISNUMBER(SEARCH("M",bharathipuram130[[#This Row],[JANUARY]])),"M",bharathipuram130[[#This Row],[JANUARY]]="A","A",bharathipuram130[[#This Row],[JANUARY]]="","",bharathipuram130[[#This Row],[JANUARY]]&gt;=100,"P")</f>
        <v>P</v>
      </c>
      <c r="D20" t="s">
        <v>23</v>
      </c>
      <c r="E20" s="85" t="s">
        <v>1726</v>
      </c>
      <c r="F20" s="85" t="s">
        <v>1727</v>
      </c>
      <c r="G20" s="85"/>
      <c r="H20" s="86">
        <v>200</v>
      </c>
      <c r="I20" s="86"/>
      <c r="J20" s="86">
        <v>200</v>
      </c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5"/>
    </row>
    <row r="21" spans="1:22" x14ac:dyDescent="0.25">
      <c r="A21">
        <v>20</v>
      </c>
      <c r="B21" t="s">
        <v>1728</v>
      </c>
      <c r="C21" t="str">
        <f t="array" ref="C21">_xlfn.IFS(ISNUMBER(SEARCH("M",bharathipuram130[[#This Row],[JANUARY]])),"M",bharathipuram130[[#This Row],[JANUARY]]="A","A",bharathipuram130[[#This Row],[JANUARY]]="","",bharathipuram130[[#This Row],[JANUARY]]&gt;=100,"P")</f>
        <v>P</v>
      </c>
      <c r="D21" t="s">
        <v>36</v>
      </c>
      <c r="E21" s="85" t="s">
        <v>1729</v>
      </c>
      <c r="F21" s="85" t="s">
        <v>1730</v>
      </c>
      <c r="G21" s="85"/>
      <c r="H21" s="86">
        <v>230</v>
      </c>
      <c r="I21" s="86"/>
      <c r="J21" s="86">
        <v>200</v>
      </c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5"/>
    </row>
    <row r="22" spans="1:22" x14ac:dyDescent="0.25">
      <c r="A22">
        <v>21</v>
      </c>
      <c r="B22" t="s">
        <v>225</v>
      </c>
      <c r="C22" t="str">
        <f t="array" ref="C22">_xlfn.IFS(ISNUMBER(SEARCH("M",bharathipuram130[[#This Row],[JANUARY]])),"M",bharathipuram130[[#This Row],[JANUARY]]="A","A",bharathipuram130[[#This Row],[JANUARY]]="","",bharathipuram130[[#This Row],[JANUARY]]&gt;=100,"P")</f>
        <v>M</v>
      </c>
      <c r="D22" t="s">
        <v>51</v>
      </c>
      <c r="E22" s="85" t="s">
        <v>1731</v>
      </c>
      <c r="F22" s="85" t="s">
        <v>1732</v>
      </c>
      <c r="G22" s="85"/>
      <c r="H22" s="86">
        <v>300</v>
      </c>
      <c r="I22" s="86">
        <v>150</v>
      </c>
      <c r="J22" s="86" t="s">
        <v>49</v>
      </c>
      <c r="K22" s="86"/>
      <c r="L22" s="86"/>
      <c r="M22" s="86"/>
      <c r="N22" s="86"/>
      <c r="O22" s="86"/>
      <c r="P22" s="86"/>
      <c r="Q22" s="86"/>
      <c r="R22" s="86"/>
      <c r="S22" s="86"/>
      <c r="T22" s="86"/>
      <c r="U22" s="86"/>
      <c r="V22" s="85" t="s">
        <v>1416</v>
      </c>
    </row>
    <row r="23" spans="1:22" x14ac:dyDescent="0.25">
      <c r="A23">
        <v>22</v>
      </c>
      <c r="B23" t="s">
        <v>1733</v>
      </c>
      <c r="C23" t="str">
        <f t="array" ref="C23">_xlfn.IFS(ISNUMBER(SEARCH("M",bharathipuram130[[#This Row],[JANUARY]])),"M",bharathipuram130[[#This Row],[JANUARY]]="A","A",bharathipuram130[[#This Row],[JANUARY]]="","",bharathipuram130[[#This Row],[JANUARY]]&gt;=100,"P")</f>
        <v>P</v>
      </c>
      <c r="D23" t="s">
        <v>1734</v>
      </c>
      <c r="E23" s="85" t="s">
        <v>1735</v>
      </c>
      <c r="F23" s="85" t="s">
        <v>1736</v>
      </c>
      <c r="G23" s="85"/>
      <c r="H23" s="86">
        <v>200</v>
      </c>
      <c r="I23" s="86"/>
      <c r="J23" s="86">
        <v>200</v>
      </c>
      <c r="K23" s="86"/>
      <c r="L23" s="86"/>
      <c r="M23" s="86"/>
      <c r="N23" s="86"/>
      <c r="O23" s="86"/>
      <c r="P23" s="86"/>
      <c r="Q23" s="86"/>
      <c r="R23" s="86"/>
      <c r="S23" s="86"/>
      <c r="T23" s="86"/>
      <c r="U23" s="86"/>
      <c r="V23" s="85"/>
    </row>
    <row r="24" spans="1:22" x14ac:dyDescent="0.25">
      <c r="A24">
        <v>23</v>
      </c>
      <c r="B24" t="s">
        <v>695</v>
      </c>
      <c r="C24" t="str">
        <f t="array" ref="C24">_xlfn.IFS(ISNUMBER(SEARCH("M",bharathipuram130[[#This Row],[JANUARY]])),"M",bharathipuram130[[#This Row],[JANUARY]]="A","A",bharathipuram130[[#This Row],[JANUARY]]="","",bharathipuram130[[#This Row],[JANUARY]]&gt;=100,"P")</f>
        <v>P</v>
      </c>
      <c r="D24" t="s">
        <v>23</v>
      </c>
      <c r="E24" s="85" t="s">
        <v>1737</v>
      </c>
      <c r="F24" s="85" t="s">
        <v>1738</v>
      </c>
      <c r="G24" s="85"/>
      <c r="H24" s="86">
        <v>200</v>
      </c>
      <c r="I24" s="86"/>
      <c r="J24" s="86">
        <v>200</v>
      </c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5"/>
    </row>
    <row r="25" spans="1:22" x14ac:dyDescent="0.25">
      <c r="A25">
        <v>24</v>
      </c>
      <c r="B25" t="s">
        <v>1739</v>
      </c>
      <c r="C25" t="str">
        <f t="array" ref="C25">_xlfn.IFS(ISNUMBER(SEARCH("M",bharathipuram130[[#This Row],[JANUARY]])),"M",bharathipuram130[[#This Row],[JANUARY]]="A","A",bharathipuram130[[#This Row],[JANUARY]]="","",bharathipuram130[[#This Row],[JANUARY]]&gt;=100,"P")</f>
        <v>P</v>
      </c>
      <c r="D25" t="s">
        <v>51</v>
      </c>
      <c r="E25" s="85" t="s">
        <v>1740</v>
      </c>
      <c r="F25" s="85" t="s">
        <v>1741</v>
      </c>
      <c r="G25" s="85"/>
      <c r="H25" s="86">
        <v>200</v>
      </c>
      <c r="I25" s="86"/>
      <c r="J25" s="86">
        <v>200</v>
      </c>
      <c r="K25" s="86"/>
      <c r="L25" s="86"/>
      <c r="M25" s="86"/>
      <c r="N25" s="86"/>
      <c r="O25" s="86"/>
      <c r="P25" s="86"/>
      <c r="Q25" s="86"/>
      <c r="R25" s="86"/>
      <c r="S25" s="86"/>
      <c r="T25" s="86"/>
      <c r="U25" s="86"/>
      <c r="V25" s="85"/>
    </row>
    <row r="26" spans="1:22" x14ac:dyDescent="0.25">
      <c r="A26">
        <v>25</v>
      </c>
      <c r="B26" t="s">
        <v>1742</v>
      </c>
      <c r="C26" t="str">
        <f t="array" ref="C26">_xlfn.IFS(ISNUMBER(SEARCH("M",bharathipuram130[[#This Row],[JANUARY]])),"M",bharathipuram130[[#This Row],[JANUARY]]="A","A",bharathipuram130[[#This Row],[JANUARY]]="","",bharathipuram130[[#This Row],[JANUARY]]&gt;=100,"P")</f>
        <v>P</v>
      </c>
      <c r="D26" t="s">
        <v>23</v>
      </c>
      <c r="E26" s="85" t="s">
        <v>1743</v>
      </c>
      <c r="F26" s="85" t="s">
        <v>1744</v>
      </c>
      <c r="G26" s="85"/>
      <c r="H26" s="86">
        <v>200</v>
      </c>
      <c r="I26" s="86"/>
      <c r="J26" s="86">
        <v>200</v>
      </c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5"/>
    </row>
    <row r="27" spans="1:22" x14ac:dyDescent="0.25">
      <c r="A27">
        <v>26</v>
      </c>
      <c r="B27" t="s">
        <v>603</v>
      </c>
      <c r="C27" t="str">
        <f t="array" ref="C27">_xlfn.IFS(ISNUMBER(SEARCH("M",bharathipuram130[[#This Row],[JANUARY]])),"M",bharathipuram130[[#This Row],[JANUARY]]="A","A",bharathipuram130[[#This Row],[JANUARY]]="","",bharathipuram130[[#This Row],[JANUARY]]&gt;=100,"P")</f>
        <v>P</v>
      </c>
      <c r="D27" t="s">
        <v>23</v>
      </c>
      <c r="E27" s="85" t="s">
        <v>1745</v>
      </c>
      <c r="F27" s="85" t="s">
        <v>1746</v>
      </c>
      <c r="G27" s="85"/>
      <c r="H27" s="86">
        <v>200</v>
      </c>
      <c r="I27" s="86"/>
      <c r="J27" s="86">
        <v>200</v>
      </c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5"/>
    </row>
    <row r="28" spans="1:22" x14ac:dyDescent="0.25">
      <c r="A28">
        <v>27</v>
      </c>
      <c r="B28" t="s">
        <v>1747</v>
      </c>
      <c r="C28" t="str">
        <f t="array" ref="C28">_xlfn.IFS(ISNUMBER(SEARCH("M",bharathipuram130[[#This Row],[JANUARY]])),"M",bharathipuram130[[#This Row],[JANUARY]]="A","A",bharathipuram130[[#This Row],[JANUARY]]="","",bharathipuram130[[#This Row],[JANUARY]]&gt;=100,"P")</f>
        <v>P</v>
      </c>
      <c r="D28" t="s">
        <v>51</v>
      </c>
      <c r="E28" s="85" t="s">
        <v>1748</v>
      </c>
      <c r="F28" s="85" t="s">
        <v>1749</v>
      </c>
      <c r="G28" s="85"/>
      <c r="H28" s="86">
        <v>200</v>
      </c>
      <c r="I28" s="86"/>
      <c r="J28" s="86">
        <v>200</v>
      </c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5"/>
    </row>
    <row r="29" spans="1:22" x14ac:dyDescent="0.25">
      <c r="A29">
        <v>28</v>
      </c>
      <c r="B29" t="s">
        <v>1750</v>
      </c>
      <c r="C29" t="str">
        <f t="array" ref="C29">_xlfn.IFS(ISNUMBER(SEARCH("M",bharathipuram130[[#This Row],[JANUARY]])),"M",bharathipuram130[[#This Row],[JANUARY]]="A","A",bharathipuram130[[#This Row],[JANUARY]]="","",bharathipuram130[[#This Row],[JANUARY]]&gt;=100,"P")</f>
        <v>P</v>
      </c>
      <c r="D29" t="s">
        <v>51</v>
      </c>
      <c r="E29" s="85" t="s">
        <v>1751</v>
      </c>
      <c r="F29" s="85" t="s">
        <v>1752</v>
      </c>
      <c r="G29" s="85"/>
      <c r="H29" s="86"/>
      <c r="I29" s="86"/>
      <c r="J29" s="86" t="s">
        <v>1753</v>
      </c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5"/>
    </row>
    <row r="30" spans="1:22" s="8" customFormat="1" x14ac:dyDescent="0.25">
      <c r="A30" s="8" t="s">
        <v>246</v>
      </c>
      <c r="C30" s="8">
        <f>COUNTIF(C2:C29, "&gt;=a")</f>
        <v>26</v>
      </c>
      <c r="D30" s="8">
        <f>SUBTOTAL(103,bharathipuram130[Package])</f>
        <v>26</v>
      </c>
      <c r="E30" s="8">
        <f>SUBTOTAL(103,bharathipuram130[Box No])</f>
        <v>28</v>
      </c>
      <c r="F30" s="8">
        <f>SUBTOTAL(103,bharathipuram130[CAF_ID])</f>
        <v>28</v>
      </c>
      <c r="H30" s="27">
        <f>SUBTOTAL(109,bharathipuram130[DEC-20])</f>
        <v>5540</v>
      </c>
      <c r="I30" s="27">
        <f>SUBTOTAL(109,bharathipuram130[BALANCE])</f>
        <v>750</v>
      </c>
      <c r="J30" s="27">
        <f>SUBTOTAL(109,bharathipuram130[JANUARY])</f>
        <v>4770</v>
      </c>
      <c r="K30" s="27">
        <f>SUBTOTAL(109,bharathipuram130[FEBEUARY])</f>
        <v>0</v>
      </c>
      <c r="L30" s="27">
        <f>SUBTOTAL(109,bharathipuram130[MARCH])</f>
        <v>0</v>
      </c>
      <c r="M30" s="27">
        <f>SUBTOTAL(109,bharathipuram130[APRIL])</f>
        <v>0</v>
      </c>
      <c r="N30" s="27">
        <f>SUBTOTAL(109,bharathipuram130[MAY])</f>
        <v>0</v>
      </c>
      <c r="O30" s="27">
        <f>SUBTOTAL(109,bharathipuram130[JUNE])</f>
        <v>0</v>
      </c>
      <c r="P30" s="27">
        <f>SUBTOTAL(109,bharathipuram130[JULY])</f>
        <v>0</v>
      </c>
      <c r="Q30" s="27">
        <f>SUBTOTAL(109,bharathipuram130[AUGUST])</f>
        <v>0</v>
      </c>
      <c r="R30" s="27">
        <f>SUBTOTAL(109,bharathipuram130[SEPTEMBER])</f>
        <v>0</v>
      </c>
      <c r="S30" s="27">
        <f>SUBTOTAL(109,bharathipuram130[OCTOBER])</f>
        <v>0</v>
      </c>
      <c r="T30" s="27">
        <f>SUBTOTAL(109,bharathipuram130[NOVEMBER])</f>
        <v>0</v>
      </c>
      <c r="U30" s="27"/>
      <c r="V30" s="27"/>
    </row>
    <row r="31" spans="1:22" x14ac:dyDescent="0.25">
      <c r="A31" s="8"/>
      <c r="B31" s="8"/>
      <c r="C31" s="8"/>
      <c r="D31" s="8"/>
      <c r="E31" s="8"/>
      <c r="F31" s="8"/>
      <c r="S31" s="8"/>
      <c r="T31" s="8"/>
      <c r="U31" s="8"/>
      <c r="V31" s="8"/>
    </row>
    <row r="32" spans="1:22" x14ac:dyDescent="0.25">
      <c r="B32" s="9" t="s">
        <v>247</v>
      </c>
      <c r="C32" s="19">
        <f>COUNTIF(C2:C29,"P")</f>
        <v>24</v>
      </c>
    </row>
    <row r="33" spans="2:4" x14ac:dyDescent="0.25">
      <c r="B33" s="18" t="s">
        <v>248</v>
      </c>
      <c r="C33" s="23">
        <f>COUNTIF(C2:C29,"M")</f>
        <v>2</v>
      </c>
    </row>
    <row r="34" spans="2:4" ht="15.75" customHeight="1" x14ac:dyDescent="0.25">
      <c r="B34" s="10" t="s">
        <v>249</v>
      </c>
      <c r="C34" s="21">
        <f>COUNTIF(C2:C29,"A")</f>
        <v>0</v>
      </c>
      <c r="D34" s="12"/>
    </row>
    <row r="35" spans="2:4" ht="15.75" customHeight="1" thickBot="1" x14ac:dyDescent="0.3">
      <c r="B35" s="17" t="s">
        <v>250</v>
      </c>
      <c r="C35" s="17">
        <f>SUM(C32:C34)</f>
        <v>26</v>
      </c>
    </row>
    <row r="36" spans="2:4" ht="15.75" customHeight="1" thickTop="1" x14ac:dyDescent="0.25"/>
  </sheetData>
  <phoneticPr fontId="35" type="noConversion"/>
  <conditionalFormatting sqref="B3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1">
    <tabColor rgb="FF92D050"/>
  </sheetPr>
  <dimension ref="A1:V39"/>
  <sheetViews>
    <sheetView topLeftCell="B1" zoomScale="115" zoomScaleNormal="115" workbookViewId="0">
      <selection activeCell="I35" sqref="I35"/>
    </sheetView>
  </sheetViews>
  <sheetFormatPr defaultRowHeight="15" x14ac:dyDescent="0.25"/>
  <cols>
    <col min="1" max="1" width="6" style="87" customWidth="1"/>
    <col min="2" max="2" width="22.85546875" style="87" customWidth="1"/>
    <col min="3" max="3" width="7.7109375" style="87" customWidth="1"/>
    <col min="4" max="4" width="32.42578125" style="87" customWidth="1"/>
    <col min="5" max="5" width="22.85546875" style="87" customWidth="1"/>
    <col min="6" max="6" width="9.140625" style="87" customWidth="1"/>
    <col min="7" max="7" width="10.5703125" style="63" customWidth="1"/>
    <col min="8" max="18" width="10.7109375" style="64" customWidth="1"/>
    <col min="19" max="20" width="10.7109375" style="61" customWidth="1"/>
    <col min="21" max="21" width="11.85546875" style="87" customWidth="1"/>
    <col min="22" max="22" width="32.42578125" style="87" customWidth="1"/>
    <col min="23" max="52" width="9.140625" style="87" customWidth="1"/>
    <col min="53" max="16384" width="9.140625" style="87"/>
  </cols>
  <sheetData>
    <row r="1" spans="1:22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13" t="s">
        <v>929</v>
      </c>
      <c r="I1" s="64" t="s">
        <v>7</v>
      </c>
      <c r="J1" s="64" t="s">
        <v>9</v>
      </c>
      <c r="K1" s="64" t="s">
        <v>10</v>
      </c>
      <c r="L1" s="64" t="s">
        <v>11</v>
      </c>
      <c r="M1" s="64" t="s">
        <v>12</v>
      </c>
      <c r="N1" s="64" t="s">
        <v>13</v>
      </c>
      <c r="O1" s="64" t="s">
        <v>14</v>
      </c>
      <c r="P1" s="64" t="s">
        <v>15</v>
      </c>
      <c r="Q1" s="64" t="s">
        <v>16</v>
      </c>
      <c r="R1" s="64" t="s">
        <v>17</v>
      </c>
      <c r="S1" s="64" t="s">
        <v>18</v>
      </c>
      <c r="T1" s="64" t="s">
        <v>19</v>
      </c>
      <c r="U1" s="64" t="s">
        <v>20</v>
      </c>
      <c r="V1" s="85" t="s">
        <v>21</v>
      </c>
    </row>
    <row r="2" spans="1:22" x14ac:dyDescent="0.25">
      <c r="A2">
        <v>1</v>
      </c>
      <c r="B2" t="s">
        <v>1754</v>
      </c>
      <c r="C2" t="str">
        <f t="array" ref="C2">_xlfn.IFS(ISNUMBER(SEARCH("M",bharathipuram231[[#This Row],[JANUARY]])),"M",bharathipuram231[[#This Row],[JANUARY]]="A","A",bharathipuram231[[#This Row],[JANUARY]]="","",bharathipuram231[[#This Row],[JANUARY]]&gt;=100,"P")</f>
        <v>P</v>
      </c>
      <c r="D2" t="s">
        <v>36</v>
      </c>
      <c r="E2" s="85" t="s">
        <v>1755</v>
      </c>
      <c r="F2" s="85" t="s">
        <v>1756</v>
      </c>
      <c r="G2" s="85"/>
      <c r="H2" s="64">
        <v>250</v>
      </c>
      <c r="J2" s="64">
        <v>200</v>
      </c>
      <c r="S2" s="64"/>
      <c r="T2" s="64"/>
      <c r="U2" s="64"/>
      <c r="V2" s="85"/>
    </row>
    <row r="3" spans="1:22" x14ac:dyDescent="0.25">
      <c r="A3">
        <v>2</v>
      </c>
      <c r="B3" t="s">
        <v>1757</v>
      </c>
      <c r="C3" t="str">
        <f t="array" ref="C3">_xlfn.IFS(ISNUMBER(SEARCH("M",bharathipuram231[[#This Row],[JANUARY]])),"M",bharathipuram231[[#This Row],[JANUARY]]="A","A",bharathipuram231[[#This Row],[JANUARY]]="","",bharathipuram231[[#This Row],[JANUARY]]&gt;=100,"P")</f>
        <v>P</v>
      </c>
      <c r="D3" t="s">
        <v>30</v>
      </c>
      <c r="E3" s="85" t="s">
        <v>1758</v>
      </c>
      <c r="F3" s="85" t="s">
        <v>1759</v>
      </c>
      <c r="G3" s="85"/>
      <c r="H3" s="64">
        <v>200</v>
      </c>
      <c r="J3" s="64">
        <v>200</v>
      </c>
      <c r="S3" s="64"/>
      <c r="T3" s="64"/>
      <c r="U3" s="64"/>
      <c r="V3" s="85"/>
    </row>
    <row r="4" spans="1:22" x14ac:dyDescent="0.25">
      <c r="A4">
        <v>3</v>
      </c>
      <c r="B4" t="s">
        <v>333</v>
      </c>
      <c r="C4" t="str">
        <f t="array" ref="C4">_xlfn.IFS(ISNUMBER(SEARCH("M",bharathipuram231[[#This Row],[JANUARY]])),"M",bharathipuram231[[#This Row],[JANUARY]]="A","A",bharathipuram231[[#This Row],[JANUARY]]="","",bharathipuram231[[#This Row],[JANUARY]]&gt;=100,"P")</f>
        <v>P</v>
      </c>
      <c r="D4" t="s">
        <v>23</v>
      </c>
      <c r="E4" s="85" t="s">
        <v>1760</v>
      </c>
      <c r="F4" s="85" t="s">
        <v>1761</v>
      </c>
      <c r="G4" s="85"/>
      <c r="H4" s="64">
        <v>200</v>
      </c>
      <c r="J4" s="64">
        <v>200</v>
      </c>
      <c r="S4" s="64"/>
      <c r="T4" s="64"/>
      <c r="U4" s="64"/>
      <c r="V4" s="85"/>
    </row>
    <row r="5" spans="1:22" x14ac:dyDescent="0.25">
      <c r="A5">
        <v>4</v>
      </c>
      <c r="B5" s="60" t="s">
        <v>333</v>
      </c>
      <c r="C5" t="str">
        <f t="array" ref="C5">_xlfn.IFS(ISNUMBER(SEARCH("M",bharathipuram231[[#This Row],[JANUARY]])),"M",bharathipuram231[[#This Row],[JANUARY]]="A","A",bharathipuram231[[#This Row],[JANUARY]]="","",bharathipuram231[[#This Row],[JANUARY]]&gt;=100,"P")</f>
        <v>P</v>
      </c>
      <c r="D5" t="s">
        <v>51</v>
      </c>
      <c r="E5" s="85" t="s">
        <v>1762</v>
      </c>
      <c r="F5" s="85" t="s">
        <v>1763</v>
      </c>
      <c r="G5" s="85"/>
      <c r="J5" s="64">
        <v>200</v>
      </c>
      <c r="S5" s="64"/>
      <c r="T5" s="64"/>
      <c r="U5" s="64"/>
      <c r="V5" s="85"/>
    </row>
    <row r="6" spans="1:22" x14ac:dyDescent="0.25">
      <c r="A6">
        <v>5</v>
      </c>
      <c r="B6" t="s">
        <v>1733</v>
      </c>
      <c r="C6" t="str">
        <f t="array" ref="C6">_xlfn.IFS(ISNUMBER(SEARCH("M",bharathipuram231[[#This Row],[JANUARY]])),"M",bharathipuram231[[#This Row],[JANUARY]]="A","A",bharathipuram231[[#This Row],[JANUARY]]="","",bharathipuram231[[#This Row],[JANUARY]]&gt;=100,"P")</f>
        <v>P</v>
      </c>
      <c r="D6" t="s">
        <v>23</v>
      </c>
      <c r="E6" s="85" t="s">
        <v>1764</v>
      </c>
      <c r="F6" s="85" t="s">
        <v>1765</v>
      </c>
      <c r="G6" s="85"/>
      <c r="H6" s="64">
        <v>200</v>
      </c>
      <c r="J6" s="64">
        <v>200</v>
      </c>
      <c r="S6" s="64"/>
      <c r="T6" s="64"/>
      <c r="U6" s="64"/>
      <c r="V6" s="85"/>
    </row>
    <row r="7" spans="1:22" x14ac:dyDescent="0.25">
      <c r="A7">
        <v>6</v>
      </c>
      <c r="B7" t="s">
        <v>653</v>
      </c>
      <c r="C7" t="str">
        <f t="array" ref="C7">_xlfn.IFS(ISNUMBER(SEARCH("M",bharathipuram231[[#This Row],[JANUARY]])),"M",bharathipuram231[[#This Row],[JANUARY]]="A","A",bharathipuram231[[#This Row],[JANUARY]]="","",bharathipuram231[[#This Row],[JANUARY]]&gt;=100,"P")</f>
        <v>P</v>
      </c>
      <c r="D7" t="s">
        <v>36</v>
      </c>
      <c r="E7" s="85" t="s">
        <v>1766</v>
      </c>
      <c r="F7" s="85" t="s">
        <v>1767</v>
      </c>
      <c r="G7" s="85"/>
      <c r="H7" s="64">
        <v>200</v>
      </c>
      <c r="J7" s="64">
        <v>200</v>
      </c>
      <c r="S7" s="64"/>
      <c r="T7" s="64"/>
      <c r="U7" s="64"/>
      <c r="V7" s="85"/>
    </row>
    <row r="8" spans="1:22" x14ac:dyDescent="0.25">
      <c r="A8">
        <v>7</v>
      </c>
      <c r="B8" t="s">
        <v>1768</v>
      </c>
      <c r="C8" t="str">
        <f t="array" ref="C8">_xlfn.IFS(ISNUMBER(SEARCH("M",bharathipuram231[[#This Row],[JANUARY]])),"M",bharathipuram231[[#This Row],[JANUARY]]="A","A",bharathipuram231[[#This Row],[JANUARY]]="","",bharathipuram231[[#This Row],[JANUARY]]&gt;=100,"P")</f>
        <v>P</v>
      </c>
      <c r="D8" t="s">
        <v>36</v>
      </c>
      <c r="E8" s="85" t="s">
        <v>1769</v>
      </c>
      <c r="F8" s="85" t="s">
        <v>1770</v>
      </c>
      <c r="G8" s="85"/>
      <c r="H8" s="64">
        <v>200</v>
      </c>
      <c r="J8" s="64">
        <v>200</v>
      </c>
      <c r="S8" s="64"/>
      <c r="T8" s="64"/>
      <c r="U8" s="64"/>
      <c r="V8" s="85"/>
    </row>
    <row r="9" spans="1:22" x14ac:dyDescent="0.25">
      <c r="A9">
        <v>8</v>
      </c>
      <c r="B9" t="s">
        <v>1771</v>
      </c>
      <c r="C9" t="str">
        <f t="array" ref="C9">_xlfn.IFS(ISNUMBER(SEARCH("M",bharathipuram231[[#This Row],[JANUARY]])),"M",bharathipuram231[[#This Row],[JANUARY]]="A","A",bharathipuram231[[#This Row],[JANUARY]]="","",bharathipuram231[[#This Row],[JANUARY]]&gt;=100,"P")</f>
        <v>M</v>
      </c>
      <c r="D9" t="s">
        <v>36</v>
      </c>
      <c r="E9" s="85" t="s">
        <v>1772</v>
      </c>
      <c r="F9" s="85" t="s">
        <v>1773</v>
      </c>
      <c r="G9" s="85"/>
      <c r="H9" s="64">
        <v>450</v>
      </c>
      <c r="J9" s="64" t="s">
        <v>49</v>
      </c>
      <c r="S9" s="64"/>
      <c r="T9" s="64"/>
      <c r="U9" s="64"/>
      <c r="V9" s="85"/>
    </row>
    <row r="10" spans="1:22" x14ac:dyDescent="0.25">
      <c r="A10">
        <v>9</v>
      </c>
      <c r="B10" t="s">
        <v>1774</v>
      </c>
      <c r="C10" t="str">
        <f t="array" ref="C10">_xlfn.IFS(ISNUMBER(SEARCH("M",bharathipuram231[[#This Row],[JANUARY]])),"M",bharathipuram231[[#This Row],[JANUARY]]="A","A",bharathipuram231[[#This Row],[JANUARY]]="","",bharathipuram231[[#This Row],[JANUARY]]&gt;=100,"P")</f>
        <v>P</v>
      </c>
      <c r="D10" t="s">
        <v>51</v>
      </c>
      <c r="E10" s="85" t="s">
        <v>1775</v>
      </c>
      <c r="F10" s="85" t="s">
        <v>1776</v>
      </c>
      <c r="G10" s="85"/>
      <c r="H10" s="64">
        <v>200</v>
      </c>
      <c r="J10" s="64">
        <v>200</v>
      </c>
      <c r="S10" s="64"/>
      <c r="T10" s="64"/>
      <c r="U10" s="64"/>
      <c r="V10" s="85"/>
    </row>
    <row r="11" spans="1:22" x14ac:dyDescent="0.25">
      <c r="A11">
        <v>10</v>
      </c>
      <c r="B11" t="s">
        <v>830</v>
      </c>
      <c r="C11" t="str">
        <f t="array" ref="C11">_xlfn.IFS(ISNUMBER(SEARCH("M",bharathipuram231[[#This Row],[JANUARY]])),"M",bharathipuram231[[#This Row],[JANUARY]]="A","A",bharathipuram231[[#This Row],[JANUARY]]="","",bharathipuram231[[#This Row],[JANUARY]]&gt;=100,"P")</f>
        <v>P</v>
      </c>
      <c r="D11" t="s">
        <v>51</v>
      </c>
      <c r="E11" s="85" t="s">
        <v>1777</v>
      </c>
      <c r="F11" s="85" t="s">
        <v>1778</v>
      </c>
      <c r="G11" s="85"/>
      <c r="H11" s="64">
        <v>200</v>
      </c>
      <c r="J11" s="64">
        <v>200</v>
      </c>
      <c r="S11" s="64"/>
      <c r="T11" s="64"/>
      <c r="U11" s="64"/>
      <c r="V11" s="85"/>
    </row>
    <row r="12" spans="1:22" x14ac:dyDescent="0.25">
      <c r="A12">
        <v>11</v>
      </c>
      <c r="B12" t="s">
        <v>1779</v>
      </c>
      <c r="C12" t="str">
        <f t="array" ref="C12">_xlfn.IFS(ISNUMBER(SEARCH("M",bharathipuram231[[#This Row],[JANUARY]])),"M",bharathipuram231[[#This Row],[JANUARY]]="A","A",bharathipuram231[[#This Row],[JANUARY]]="","",bharathipuram231[[#This Row],[JANUARY]]&gt;=100,"P")</f>
        <v>P</v>
      </c>
      <c r="D12" t="s">
        <v>51</v>
      </c>
      <c r="E12" s="85" t="s">
        <v>1780</v>
      </c>
      <c r="F12" s="85" t="s">
        <v>1781</v>
      </c>
      <c r="G12" s="85"/>
      <c r="H12" s="64">
        <v>200</v>
      </c>
      <c r="J12" s="64">
        <v>200</v>
      </c>
      <c r="S12" s="64"/>
      <c r="T12" s="64"/>
      <c r="U12" s="64"/>
      <c r="V12" s="85"/>
    </row>
    <row r="13" spans="1:22" x14ac:dyDescent="0.25">
      <c r="A13">
        <v>12</v>
      </c>
      <c r="B13" t="s">
        <v>1714</v>
      </c>
      <c r="C13" t="str">
        <f t="array" ref="C13">_xlfn.IFS(ISNUMBER(SEARCH("M",bharathipuram231[[#This Row],[JANUARY]])),"M",bharathipuram231[[#This Row],[JANUARY]]="A","A",bharathipuram231[[#This Row],[JANUARY]]="","",bharathipuram231[[#This Row],[JANUARY]]&gt;=100,"P")</f>
        <v>M</v>
      </c>
      <c r="D13" t="s">
        <v>23</v>
      </c>
      <c r="E13" s="85" t="s">
        <v>1782</v>
      </c>
      <c r="F13" s="85" t="s">
        <v>1783</v>
      </c>
      <c r="G13" s="85"/>
      <c r="H13" s="64" t="s">
        <v>49</v>
      </c>
      <c r="I13" s="64">
        <v>400</v>
      </c>
      <c r="J13" s="64" t="s">
        <v>49</v>
      </c>
      <c r="S13" s="64"/>
      <c r="T13" s="64"/>
      <c r="U13" s="64"/>
      <c r="V13" s="85"/>
    </row>
    <row r="14" spans="1:22" x14ac:dyDescent="0.25">
      <c r="A14">
        <v>13</v>
      </c>
      <c r="B14" t="s">
        <v>1784</v>
      </c>
      <c r="C14" t="str">
        <f t="array" ref="C14">_xlfn.IFS(ISNUMBER(SEARCH("M",bharathipuram231[[#This Row],[JANUARY]])),"M",bharathipuram231[[#This Row],[JANUARY]]="A","A",bharathipuram231[[#This Row],[JANUARY]]="","",bharathipuram231[[#This Row],[JANUARY]]&gt;=100,"P")</f>
        <v>P</v>
      </c>
      <c r="D14" t="s">
        <v>36</v>
      </c>
      <c r="E14" s="85" t="s">
        <v>1785</v>
      </c>
      <c r="F14" s="85" t="s">
        <v>1786</v>
      </c>
      <c r="G14" s="85"/>
      <c r="H14" s="64">
        <v>230</v>
      </c>
      <c r="J14" s="64">
        <v>200</v>
      </c>
      <c r="S14" s="64"/>
      <c r="T14" s="64"/>
      <c r="U14" s="64"/>
      <c r="V14" s="85"/>
    </row>
    <row r="15" spans="1:22" x14ac:dyDescent="0.25">
      <c r="A15">
        <v>14</v>
      </c>
      <c r="B15" t="s">
        <v>830</v>
      </c>
      <c r="C15" t="str">
        <f t="array" ref="C15">_xlfn.IFS(ISNUMBER(SEARCH("M",bharathipuram231[[#This Row],[JANUARY]])),"M",bharathipuram231[[#This Row],[JANUARY]]="A","A",bharathipuram231[[#This Row],[JANUARY]]="","",bharathipuram231[[#This Row],[JANUARY]]&gt;=100,"P")</f>
        <v>P</v>
      </c>
      <c r="D15" t="s">
        <v>23</v>
      </c>
      <c r="E15" s="85" t="s">
        <v>1787</v>
      </c>
      <c r="F15" s="85" t="s">
        <v>1788</v>
      </c>
      <c r="G15" s="85"/>
      <c r="H15" s="64">
        <v>150</v>
      </c>
      <c r="J15" s="64">
        <v>150</v>
      </c>
      <c r="S15" s="64"/>
      <c r="T15" s="64"/>
      <c r="U15" s="64"/>
      <c r="V15" s="85"/>
    </row>
    <row r="16" spans="1:22" x14ac:dyDescent="0.25">
      <c r="A16">
        <v>15</v>
      </c>
      <c r="B16" t="s">
        <v>1789</v>
      </c>
      <c r="C16" t="str">
        <f t="array" ref="C16">_xlfn.IFS(ISNUMBER(SEARCH("M",bharathipuram231[[#This Row],[JANUARY]])),"M",bharathipuram231[[#This Row],[JANUARY]]="A","A",bharathipuram231[[#This Row],[JANUARY]]="","",bharathipuram231[[#This Row],[JANUARY]]&gt;=100,"P")</f>
        <v>P</v>
      </c>
      <c r="D16" t="s">
        <v>51</v>
      </c>
      <c r="E16" s="85" t="s">
        <v>1790</v>
      </c>
      <c r="F16" s="85" t="s">
        <v>1791</v>
      </c>
      <c r="G16" s="85"/>
      <c r="H16" s="64">
        <v>200</v>
      </c>
      <c r="J16" s="64">
        <v>200</v>
      </c>
      <c r="S16" s="64"/>
      <c r="T16" s="64"/>
      <c r="U16" s="64"/>
      <c r="V16" s="85"/>
    </row>
    <row r="17" spans="1:22" x14ac:dyDescent="0.25">
      <c r="A17">
        <v>16</v>
      </c>
      <c r="B17" t="s">
        <v>42</v>
      </c>
      <c r="C17" t="str">
        <f t="array" ref="C17">_xlfn.IFS(ISNUMBER(SEARCH("M",bharathipuram231[[#This Row],[JANUARY]])),"M",bharathipuram231[[#This Row],[JANUARY]]="A","A",bharathipuram231[[#This Row],[JANUARY]]="","",bharathipuram231[[#This Row],[JANUARY]]&gt;=100,"P")</f>
        <v>P</v>
      </c>
      <c r="D17" t="s">
        <v>23</v>
      </c>
      <c r="E17" s="85" t="s">
        <v>1792</v>
      </c>
      <c r="F17" s="85" t="s">
        <v>1793</v>
      </c>
      <c r="G17" s="85"/>
      <c r="H17" s="64">
        <v>200</v>
      </c>
      <c r="J17" s="64">
        <v>200</v>
      </c>
      <c r="S17" s="64"/>
      <c r="T17" s="64"/>
      <c r="U17" s="64"/>
      <c r="V17" s="85"/>
    </row>
    <row r="18" spans="1:22" x14ac:dyDescent="0.25">
      <c r="A18">
        <v>17</v>
      </c>
      <c r="B18" s="91" t="s">
        <v>1794</v>
      </c>
      <c r="C18" t="str">
        <f t="array" ref="C18">_xlfn.IFS(ISNUMBER(SEARCH("M",bharathipuram231[[#This Row],[JANUARY]])),"M",bharathipuram231[[#This Row],[JANUARY]]="A","A",bharathipuram231[[#This Row],[JANUARY]]="","",bharathipuram231[[#This Row],[JANUARY]]&gt;=100,"P")</f>
        <v>P</v>
      </c>
      <c r="D18" t="s">
        <v>51</v>
      </c>
      <c r="E18" s="85" t="s">
        <v>1795</v>
      </c>
      <c r="F18" s="85" t="s">
        <v>1796</v>
      </c>
      <c r="G18" s="85"/>
      <c r="H18" s="64" t="s">
        <v>49</v>
      </c>
      <c r="I18" s="64">
        <v>200</v>
      </c>
      <c r="J18" s="64">
        <v>200</v>
      </c>
      <c r="S18" s="64"/>
      <c r="T18" s="64"/>
      <c r="U18" s="64"/>
      <c r="V18" s="85"/>
    </row>
    <row r="19" spans="1:22" x14ac:dyDescent="0.25">
      <c r="A19">
        <v>18</v>
      </c>
      <c r="B19" t="s">
        <v>758</v>
      </c>
      <c r="C19" t="str">
        <f t="array" ref="C19">_xlfn.IFS(ISNUMBER(SEARCH("M",bharathipuram231[[#This Row],[JANUARY]])),"M",bharathipuram231[[#This Row],[JANUARY]]="A","A",bharathipuram231[[#This Row],[JANUARY]]="","",bharathipuram231[[#This Row],[JANUARY]]&gt;=100,"P")</f>
        <v>P</v>
      </c>
      <c r="D19" t="s">
        <v>51</v>
      </c>
      <c r="E19" s="85" t="s">
        <v>1797</v>
      </c>
      <c r="F19" s="85" t="s">
        <v>1798</v>
      </c>
      <c r="G19" s="85"/>
      <c r="H19" s="64">
        <v>200</v>
      </c>
      <c r="J19" s="64">
        <v>200</v>
      </c>
      <c r="S19" s="64"/>
      <c r="T19" s="64"/>
      <c r="U19" s="64"/>
      <c r="V19" s="85"/>
    </row>
    <row r="20" spans="1:22" x14ac:dyDescent="0.25">
      <c r="A20">
        <v>19</v>
      </c>
      <c r="B20" t="s">
        <v>603</v>
      </c>
      <c r="C20" t="str">
        <f t="array" ref="C20">_xlfn.IFS(ISNUMBER(SEARCH("M",bharathipuram231[[#This Row],[JANUARY]])),"M",bharathipuram231[[#This Row],[JANUARY]]="A","A",bharathipuram231[[#This Row],[JANUARY]]="","",bharathipuram231[[#This Row],[JANUARY]]&gt;=100,"P")</f>
        <v>P</v>
      </c>
      <c r="D20" t="s">
        <v>23</v>
      </c>
      <c r="E20" s="85" t="s">
        <v>1799</v>
      </c>
      <c r="F20" s="85" t="s">
        <v>1800</v>
      </c>
      <c r="G20" s="85"/>
      <c r="H20" s="64">
        <v>200</v>
      </c>
      <c r="J20" s="64">
        <v>200</v>
      </c>
      <c r="S20" s="64"/>
      <c r="T20" s="64"/>
      <c r="U20" s="64"/>
      <c r="V20" s="85"/>
    </row>
    <row r="21" spans="1:22" x14ac:dyDescent="0.25">
      <c r="A21">
        <v>20</v>
      </c>
      <c r="B21" t="s">
        <v>1801</v>
      </c>
      <c r="C21" t="str">
        <f t="array" ref="C21">_xlfn.IFS(ISNUMBER(SEARCH("M",bharathipuram231[[#This Row],[JANUARY]])),"M",bharathipuram231[[#This Row],[JANUARY]]="A","A",bharathipuram231[[#This Row],[JANUARY]]="","",bharathipuram231[[#This Row],[JANUARY]]&gt;=100,"P")</f>
        <v>P</v>
      </c>
      <c r="D21" t="s">
        <v>30</v>
      </c>
      <c r="E21" s="85" t="s">
        <v>1802</v>
      </c>
      <c r="F21" s="85" t="s">
        <v>1803</v>
      </c>
      <c r="G21" s="85"/>
      <c r="H21" s="64">
        <v>200</v>
      </c>
      <c r="J21" s="64">
        <v>200</v>
      </c>
      <c r="S21" s="64"/>
      <c r="T21" s="64"/>
      <c r="U21" s="64"/>
      <c r="V21" s="85"/>
    </row>
    <row r="22" spans="1:22" x14ac:dyDescent="0.25">
      <c r="A22">
        <v>21</v>
      </c>
      <c r="B22" t="s">
        <v>1804</v>
      </c>
      <c r="C22" t="str">
        <f t="array" ref="C22">_xlfn.IFS(ISNUMBER(SEARCH("M",bharathipuram231[[#This Row],[JANUARY]])),"M",bharathipuram231[[#This Row],[JANUARY]]="A","A",bharathipuram231[[#This Row],[JANUARY]]="","",bharathipuram231[[#This Row],[JANUARY]]&gt;=100,"P")</f>
        <v>P</v>
      </c>
      <c r="D22" t="s">
        <v>23</v>
      </c>
      <c r="E22" s="85" t="s">
        <v>1805</v>
      </c>
      <c r="F22" s="85" t="s">
        <v>1806</v>
      </c>
      <c r="G22" s="85"/>
      <c r="H22" s="64">
        <v>200</v>
      </c>
      <c r="J22" s="64">
        <v>200</v>
      </c>
      <c r="S22" s="64"/>
      <c r="T22" s="64"/>
      <c r="U22" s="64"/>
      <c r="V22" s="85"/>
    </row>
    <row r="23" spans="1:22" x14ac:dyDescent="0.25">
      <c r="A23">
        <v>22</v>
      </c>
      <c r="B23" t="s">
        <v>1807</v>
      </c>
      <c r="C23" t="str">
        <f t="array" ref="C23">_xlfn.IFS(ISNUMBER(SEARCH("M",bharathipuram231[[#This Row],[JANUARY]])),"M",bharathipuram231[[#This Row],[JANUARY]]="A","A",bharathipuram231[[#This Row],[JANUARY]]="","",bharathipuram231[[#This Row],[JANUARY]]&gt;=100,"P")</f>
        <v>P</v>
      </c>
      <c r="D23" t="s">
        <v>51</v>
      </c>
      <c r="E23" s="85" t="s">
        <v>1808</v>
      </c>
      <c r="F23" s="85" t="s">
        <v>1809</v>
      </c>
      <c r="G23" s="85"/>
      <c r="H23" s="64">
        <v>200</v>
      </c>
      <c r="J23" s="64">
        <v>200</v>
      </c>
      <c r="S23" s="64"/>
      <c r="T23" s="64"/>
      <c r="U23" s="64"/>
      <c r="V23" s="85"/>
    </row>
    <row r="24" spans="1:22" x14ac:dyDescent="0.25">
      <c r="A24">
        <v>23</v>
      </c>
      <c r="B24" t="s">
        <v>1810</v>
      </c>
      <c r="C24" t="str">
        <f t="array" ref="C24">_xlfn.IFS(ISNUMBER(SEARCH("M",bharathipuram231[[#This Row],[JANUARY]])),"M",bharathipuram231[[#This Row],[JANUARY]]="A","A",bharathipuram231[[#This Row],[JANUARY]]="","",bharathipuram231[[#This Row],[JANUARY]]&gt;=100,"P")</f>
        <v>P</v>
      </c>
      <c r="D24" t="s">
        <v>36</v>
      </c>
      <c r="E24" s="85" t="s">
        <v>1811</v>
      </c>
      <c r="F24" s="85" t="s">
        <v>1812</v>
      </c>
      <c r="G24" s="85"/>
      <c r="H24" s="64">
        <v>200</v>
      </c>
      <c r="J24" s="64">
        <v>440</v>
      </c>
      <c r="S24" s="64"/>
      <c r="T24" s="64"/>
      <c r="U24" s="64"/>
      <c r="V24" s="85" t="s">
        <v>1813</v>
      </c>
    </row>
    <row r="25" spans="1:22" x14ac:dyDescent="0.25">
      <c r="A25">
        <v>24</v>
      </c>
      <c r="B25" t="s">
        <v>1814</v>
      </c>
      <c r="C25" t="str">
        <f t="array" ref="C25">_xlfn.IFS(ISNUMBER(SEARCH("M",bharathipuram231[[#This Row],[JANUARY]])),"M",bharathipuram231[[#This Row],[JANUARY]]="A","A",bharathipuram231[[#This Row],[JANUARY]]="","",bharathipuram231[[#This Row],[JANUARY]]&gt;=0,"P")</f>
        <v>P</v>
      </c>
      <c r="D25" t="s">
        <v>23</v>
      </c>
      <c r="E25" s="85" t="s">
        <v>1815</v>
      </c>
      <c r="F25" s="85" t="s">
        <v>1816</v>
      </c>
      <c r="G25" s="85"/>
      <c r="H25" s="64">
        <v>200</v>
      </c>
      <c r="I25" s="64">
        <v>340</v>
      </c>
      <c r="J25" s="64">
        <v>60</v>
      </c>
      <c r="S25" s="64"/>
      <c r="T25" s="64"/>
      <c r="U25" s="64"/>
      <c r="V25" s="85" t="s">
        <v>1813</v>
      </c>
    </row>
    <row r="26" spans="1:22" x14ac:dyDescent="0.25">
      <c r="A26">
        <v>25</v>
      </c>
      <c r="B26" t="s">
        <v>1817</v>
      </c>
      <c r="C26" t="str">
        <f t="array" ref="C26">_xlfn.IFS(ISNUMBER(SEARCH("M",bharathipuram231[[#This Row],[JANUARY]])),"M",bharathipuram231[[#This Row],[JANUARY]]="A","A",bharathipuram231[[#This Row],[JANUARY]]="","",bharathipuram231[[#This Row],[JANUARY]]&gt;=100,"P")</f>
        <v>P</v>
      </c>
      <c r="D26" t="s">
        <v>51</v>
      </c>
      <c r="E26" s="85" t="s">
        <v>1818</v>
      </c>
      <c r="F26" s="85" t="s">
        <v>1819</v>
      </c>
      <c r="G26" s="85"/>
      <c r="H26" s="64" t="s">
        <v>2588</v>
      </c>
      <c r="J26" s="64">
        <v>400</v>
      </c>
      <c r="S26" s="64"/>
      <c r="T26" s="64"/>
      <c r="U26" s="64"/>
      <c r="V26" s="85"/>
    </row>
    <row r="27" spans="1:22" x14ac:dyDescent="0.25">
      <c r="A27">
        <v>26</v>
      </c>
      <c r="B27" t="s">
        <v>1820</v>
      </c>
      <c r="C27" t="str">
        <f t="array" ref="C27">_xlfn.IFS(ISNUMBER(SEARCH("M",bharathipuram231[[#This Row],[JANUARY]])),"M",bharathipuram231[[#This Row],[JANUARY]]="A","A",bharathipuram231[[#This Row],[JANUARY]]="","",bharathipuram231[[#This Row],[JANUARY]]&gt;=100,"P")</f>
        <v>P</v>
      </c>
      <c r="D27" t="s">
        <v>51</v>
      </c>
      <c r="E27" s="85" t="s">
        <v>1821</v>
      </c>
      <c r="F27" s="85" t="s">
        <v>1822</v>
      </c>
      <c r="G27" s="85"/>
      <c r="H27" s="64">
        <v>200</v>
      </c>
      <c r="J27" s="64">
        <v>200</v>
      </c>
      <c r="S27" s="64"/>
      <c r="T27" s="64"/>
      <c r="U27" s="64"/>
      <c r="V27" s="85"/>
    </row>
    <row r="28" spans="1:22" x14ac:dyDescent="0.25">
      <c r="A28">
        <v>27</v>
      </c>
      <c r="B28" t="s">
        <v>1823</v>
      </c>
      <c r="C28" t="str">
        <f t="array" ref="C28">_xlfn.IFS(ISNUMBER(SEARCH("M",bharathipuram231[[#This Row],[JANUARY]])),"M",bharathipuram231[[#This Row],[JANUARY]]="A","A",bharathipuram231[[#This Row],[JANUARY]]="","",bharathipuram231[[#This Row],[JANUARY]]&gt;=100,"P")</f>
        <v>P</v>
      </c>
      <c r="D28" t="s">
        <v>23</v>
      </c>
      <c r="E28" s="85" t="s">
        <v>1824</v>
      </c>
      <c r="F28" s="85" t="s">
        <v>1825</v>
      </c>
      <c r="G28" s="85"/>
      <c r="H28" s="64">
        <v>200</v>
      </c>
      <c r="J28" s="64">
        <v>200</v>
      </c>
      <c r="S28" s="64"/>
      <c r="T28" s="64"/>
      <c r="U28" s="64"/>
      <c r="V28" s="85"/>
    </row>
    <row r="29" spans="1:22" s="8" customFormat="1" x14ac:dyDescent="0.25">
      <c r="A29">
        <v>28</v>
      </c>
      <c r="B29" t="s">
        <v>1826</v>
      </c>
      <c r="C29" t="str">
        <f t="array" ref="C29">_xlfn.IFS(ISNUMBER(SEARCH("M",bharathipuram231[[#This Row],[JANUARY]])),"M",bharathipuram231[[#This Row],[JANUARY]]="A","A",bharathipuram231[[#This Row],[JANUARY]]="","",bharathipuram231[[#This Row],[JANUARY]]&gt;=100,"P")</f>
        <v>P</v>
      </c>
      <c r="D29" t="s">
        <v>36</v>
      </c>
      <c r="E29" s="85" t="s">
        <v>1827</v>
      </c>
      <c r="F29" s="85" t="s">
        <v>1828</v>
      </c>
      <c r="G29" s="85"/>
      <c r="H29" s="64">
        <v>230</v>
      </c>
      <c r="I29" s="64"/>
      <c r="J29" s="64">
        <v>200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85"/>
    </row>
    <row r="30" spans="1:22" x14ac:dyDescent="0.25">
      <c r="A30">
        <v>29</v>
      </c>
      <c r="B30" t="s">
        <v>1829</v>
      </c>
      <c r="C30" t="str">
        <f t="array" ref="C30">_xlfn.IFS(ISNUMBER(SEARCH("M",bharathipuram231[[#This Row],[JANUARY]])),"M",bharathipuram231[[#This Row],[JANUARY]]="A","A",bharathipuram231[[#This Row],[JANUARY]]="","",bharathipuram231[[#This Row],[JANUARY]]&gt;=100,"P")</f>
        <v>P</v>
      </c>
      <c r="D30" t="s">
        <v>23</v>
      </c>
      <c r="E30" s="85" t="s">
        <v>1830</v>
      </c>
      <c r="F30" s="85" t="s">
        <v>1831</v>
      </c>
      <c r="G30" s="85"/>
      <c r="J30" s="64" t="s">
        <v>1832</v>
      </c>
      <c r="S30" s="64"/>
      <c r="T30" s="64"/>
      <c r="U30" s="64"/>
      <c r="V30" s="85"/>
    </row>
    <row r="31" spans="1:22" x14ac:dyDescent="0.25">
      <c r="A31" s="87">
        <v>30</v>
      </c>
      <c r="B31" s="87" t="s">
        <v>1789</v>
      </c>
      <c r="C31" s="93" t="str">
        <f t="array" ref="C31">_xlfn.IFS(ISNUMBER(SEARCH("M",bharathipuram231[[#This Row],[JANUARY]])),"M",bharathipuram231[[#This Row],[JANUARY]]="A","A",bharathipuram231[[#This Row],[JANUARY]]="","",bharathipuram231[[#This Row],[JANUARY]]&gt;=100,"P")</f>
        <v>P</v>
      </c>
      <c r="D31" s="87" t="s">
        <v>2571</v>
      </c>
      <c r="E31" s="85" t="s">
        <v>2567</v>
      </c>
      <c r="F31" s="85" t="s">
        <v>2573</v>
      </c>
      <c r="G31" s="85"/>
      <c r="J31" s="64" t="s">
        <v>1753</v>
      </c>
      <c r="S31" s="64"/>
      <c r="T31" s="64"/>
      <c r="U31" s="64"/>
      <c r="V31" s="85"/>
    </row>
    <row r="32" spans="1:22" x14ac:dyDescent="0.25">
      <c r="A32" s="8" t="s">
        <v>246</v>
      </c>
      <c r="B32" s="8"/>
      <c r="C32" s="8">
        <f>COUNTIF(C2:C31, "&gt;=a")</f>
        <v>30</v>
      </c>
      <c r="D32" s="8">
        <f>SUBTOTAL(103,bharathipuram231[Package])</f>
        <v>30</v>
      </c>
      <c r="E32" s="8">
        <f>SUBTOTAL(103,bharathipuram231[Box No])</f>
        <v>30</v>
      </c>
      <c r="F32" s="8">
        <f>SUBTOTAL(103,bharathipuram231[CAF_ID])</f>
        <v>30</v>
      </c>
      <c r="G32" s="8"/>
      <c r="H32" s="65">
        <f>SUBTOTAL(109,bharathipuram231[DEC-20])</f>
        <v>5110</v>
      </c>
      <c r="I32" s="65">
        <f>SUBTOTAL(109,bharathipuram231[BALANCE])</f>
        <v>940</v>
      </c>
      <c r="J32" s="65">
        <f>SUBTOTAL(109,bharathipuram231[JANUARY])</f>
        <v>5450</v>
      </c>
      <c r="K32" s="65">
        <f>SUBTOTAL(109,bharathipuram231[FEBEUARY])</f>
        <v>0</v>
      </c>
      <c r="L32" s="65">
        <f>SUBTOTAL(109,bharathipuram231[MARCH])</f>
        <v>0</v>
      </c>
      <c r="M32" s="65">
        <f>SUBTOTAL(109,bharathipuram231[APRIL])</f>
        <v>0</v>
      </c>
      <c r="N32" s="65">
        <f>SUBTOTAL(109,bharathipuram231[MAY])</f>
        <v>0</v>
      </c>
      <c r="O32" s="65">
        <f>SUBTOTAL(109,bharathipuram231[JUNE])</f>
        <v>0</v>
      </c>
      <c r="P32" s="65">
        <f>SUBTOTAL(109,bharathipuram231[JULY])</f>
        <v>0</v>
      </c>
      <c r="Q32" s="65">
        <f>SUBTOTAL(109,bharathipuram231[AUGUST])</f>
        <v>0</v>
      </c>
      <c r="R32" s="65">
        <f>SUBTOTAL(109,bharathipuram231[SEPTEMBER])</f>
        <v>0</v>
      </c>
      <c r="S32" s="65">
        <f>SUBTOTAL(109,bharathipuram231[OCTOBER])</f>
        <v>0</v>
      </c>
      <c r="T32" s="65">
        <f>SUBTOTAL(109,bharathipuram231[NOVEMBER])</f>
        <v>0</v>
      </c>
      <c r="U32" s="65"/>
      <c r="V32" s="66"/>
    </row>
    <row r="34" spans="2:4" ht="15.75" customHeight="1" x14ac:dyDescent="0.25">
      <c r="B34" s="9" t="s">
        <v>247</v>
      </c>
      <c r="C34" s="19">
        <f>COUNTIF(C2:C31,"P")</f>
        <v>28</v>
      </c>
    </row>
    <row r="35" spans="2:4" ht="15.75" customHeight="1" x14ac:dyDescent="0.25">
      <c r="B35" s="18" t="s">
        <v>248</v>
      </c>
      <c r="C35" s="23">
        <f>COUNTIF(C2:C29,"M")</f>
        <v>2</v>
      </c>
    </row>
    <row r="36" spans="2:4" ht="15.75" customHeight="1" x14ac:dyDescent="0.25">
      <c r="B36" s="10" t="s">
        <v>249</v>
      </c>
      <c r="C36" s="21">
        <f>COUNTIF(C2:C28,"A")</f>
        <v>0</v>
      </c>
    </row>
    <row r="37" spans="2:4" ht="15.75" customHeight="1" thickBot="1" x14ac:dyDescent="0.3">
      <c r="B37" s="17" t="s">
        <v>250</v>
      </c>
      <c r="C37" s="17">
        <f>SUM(C34:C36)</f>
        <v>30</v>
      </c>
    </row>
    <row r="38" spans="2:4" ht="15.75" thickTop="1" x14ac:dyDescent="0.25">
      <c r="D38" s="12"/>
    </row>
    <row r="39" spans="2:4" ht="15.75" customHeight="1" x14ac:dyDescent="0.25"/>
  </sheetData>
  <phoneticPr fontId="35" type="noConversion"/>
  <conditionalFormatting sqref="B34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92D050"/>
  </sheetPr>
  <dimension ref="A1:U19"/>
  <sheetViews>
    <sheetView zoomScale="130" zoomScaleNormal="130" workbookViewId="0">
      <selection activeCell="D11" sqref="D11"/>
    </sheetView>
  </sheetViews>
  <sheetFormatPr defaultRowHeight="15" x14ac:dyDescent="0.25"/>
  <cols>
    <col min="1" max="1" width="4.5703125" style="87" customWidth="1"/>
    <col min="2" max="2" width="22" style="87" customWidth="1"/>
    <col min="3" max="3" width="6.85546875" style="87" customWidth="1"/>
    <col min="4" max="4" width="28.5703125" style="87" customWidth="1"/>
    <col min="5" max="5" width="18.85546875" style="85" customWidth="1"/>
    <col min="6" max="6" width="9.140625" style="85" customWidth="1"/>
    <col min="7" max="7" width="10.5703125" style="85" customWidth="1"/>
    <col min="8" max="19" width="10.5703125" style="84" customWidth="1"/>
    <col min="20" max="20" width="11" style="84" customWidth="1"/>
    <col min="21" max="21" width="37.7109375" style="87" customWidth="1"/>
  </cols>
  <sheetData>
    <row r="1" spans="1:21" x14ac:dyDescent="0.25">
      <c r="A1" t="s">
        <v>0</v>
      </c>
      <c r="B1" t="s">
        <v>1</v>
      </c>
      <c r="C1" t="s">
        <v>2</v>
      </c>
      <c r="D1" s="80" t="s">
        <v>3</v>
      </c>
      <c r="E1" s="85" t="s">
        <v>4</v>
      </c>
      <c r="F1" s="85" t="s">
        <v>5</v>
      </c>
      <c r="G1" s="85" t="s">
        <v>6</v>
      </c>
      <c r="H1" s="84" t="s">
        <v>7</v>
      </c>
      <c r="I1" s="84" t="s">
        <v>9</v>
      </c>
      <c r="J1" s="84" t="s">
        <v>10</v>
      </c>
      <c r="K1" s="84" t="s">
        <v>11</v>
      </c>
      <c r="L1" s="84" t="s">
        <v>12</v>
      </c>
      <c r="M1" s="84" t="s">
        <v>13</v>
      </c>
      <c r="N1" s="84" t="s">
        <v>14</v>
      </c>
      <c r="O1" s="84" t="s">
        <v>15</v>
      </c>
      <c r="P1" s="84" t="s">
        <v>16</v>
      </c>
      <c r="Q1" s="84" t="s">
        <v>17</v>
      </c>
      <c r="R1" s="84" t="s">
        <v>18</v>
      </c>
      <c r="S1" s="84" t="s">
        <v>19</v>
      </c>
      <c r="T1" s="84" t="s">
        <v>20</v>
      </c>
      <c r="U1" s="85" t="s">
        <v>21</v>
      </c>
    </row>
    <row r="2" spans="1:21" x14ac:dyDescent="0.25">
      <c r="A2">
        <v>1</v>
      </c>
      <c r="B2" t="s">
        <v>1833</v>
      </c>
      <c r="C2" t="str">
        <f t="array" ref="C2">_xlfn.IFS(ISNUMBER(SEARCH("M",agalist[[#This Row],[JANUARY]])),"M",agalist[[#This Row],[JANUARY]]="A","A",agalist[[#This Row],[JANUARY]]="","",agalist[[#This Row],[JANUARY]]&gt;=100,"P")</f>
        <v>P</v>
      </c>
      <c r="D2" t="s">
        <v>30</v>
      </c>
      <c r="E2" s="85" t="s">
        <v>1834</v>
      </c>
      <c r="F2" s="85" t="s">
        <v>1835</v>
      </c>
      <c r="H2" s="83"/>
      <c r="I2" s="83">
        <v>230</v>
      </c>
      <c r="J2" s="83"/>
      <c r="K2" s="83"/>
      <c r="L2" s="83"/>
      <c r="M2" s="83"/>
      <c r="N2" s="83"/>
      <c r="O2" s="83"/>
      <c r="P2" s="83">
        <v>690</v>
      </c>
      <c r="Q2" s="83">
        <v>230</v>
      </c>
      <c r="R2" s="83" t="s">
        <v>49</v>
      </c>
      <c r="S2" s="83">
        <v>460</v>
      </c>
      <c r="T2" s="83">
        <v>230</v>
      </c>
      <c r="U2" s="85"/>
    </row>
    <row r="3" spans="1:21" x14ac:dyDescent="0.25">
      <c r="A3">
        <v>2</v>
      </c>
      <c r="B3" t="s">
        <v>1836</v>
      </c>
      <c r="C3" t="str">
        <f t="array" ref="C3">_xlfn.IFS(ISNUMBER(SEARCH("M",agalist[[#This Row],[JANUARY]])),"M",agalist[[#This Row],[JANUARY]]="A","A",agalist[[#This Row],[JANUARY]]="","",agalist[[#This Row],[JANUARY]]&gt;=100,"P")</f>
        <v>M</v>
      </c>
      <c r="D3" t="s">
        <v>30</v>
      </c>
      <c r="E3" s="85" t="s">
        <v>1837</v>
      </c>
      <c r="F3" s="85" t="s">
        <v>1838</v>
      </c>
      <c r="H3" s="83"/>
      <c r="I3" s="83" t="s">
        <v>49</v>
      </c>
      <c r="J3" s="83"/>
      <c r="K3" s="83"/>
      <c r="L3" s="83"/>
      <c r="M3" s="83"/>
      <c r="N3" s="83"/>
      <c r="O3" s="83"/>
      <c r="P3" s="83" t="s">
        <v>49</v>
      </c>
      <c r="Q3" s="83" t="s">
        <v>49</v>
      </c>
      <c r="R3" s="83" t="s">
        <v>1839</v>
      </c>
      <c r="S3" s="83" t="s">
        <v>49</v>
      </c>
      <c r="T3" s="83">
        <v>500</v>
      </c>
      <c r="U3" s="85"/>
    </row>
    <row r="4" spans="1:21" x14ac:dyDescent="0.25">
      <c r="A4">
        <v>3</v>
      </c>
      <c r="B4" t="s">
        <v>703</v>
      </c>
      <c r="C4" t="str">
        <f t="array" ref="C4">_xlfn.IFS(ISNUMBER(SEARCH("M",agalist[[#This Row],[JANUARY]])),"M",agalist[[#This Row],[JANUARY]]="A","A",agalist[[#This Row],[JANUARY]]="","",agalist[[#This Row],[JANUARY]]&gt;=100,"P")</f>
        <v>M</v>
      </c>
      <c r="D4" t="s">
        <v>36</v>
      </c>
      <c r="E4" s="85" t="s">
        <v>1840</v>
      </c>
      <c r="F4" s="85" t="s">
        <v>1841</v>
      </c>
      <c r="H4" s="83" t="s">
        <v>45</v>
      </c>
      <c r="I4" s="83" t="s">
        <v>49</v>
      </c>
      <c r="J4" s="83"/>
      <c r="K4" s="83"/>
      <c r="L4" s="83"/>
      <c r="M4" s="83"/>
      <c r="N4" s="83"/>
      <c r="O4" s="83"/>
      <c r="P4" s="83" t="s">
        <v>49</v>
      </c>
      <c r="Q4" s="83" t="s">
        <v>49</v>
      </c>
      <c r="R4" s="83" t="s">
        <v>49</v>
      </c>
      <c r="S4" s="83" t="s">
        <v>49</v>
      </c>
      <c r="T4" s="83" t="s">
        <v>49</v>
      </c>
      <c r="U4" s="85" t="s">
        <v>1842</v>
      </c>
    </row>
    <row r="5" spans="1:21" x14ac:dyDescent="0.25">
      <c r="A5">
        <v>4</v>
      </c>
      <c r="B5" t="s">
        <v>1476</v>
      </c>
      <c r="C5" t="str">
        <f t="array" ref="C5">_xlfn.IFS(ISNUMBER(SEARCH("M",agalist[[#This Row],[JANUARY]])),"M",agalist[[#This Row],[JANUARY]]="A","A",agalist[[#This Row],[JANUARY]]="","",agalist[[#This Row],[JANUARY]]&gt;=100,"P")</f>
        <v>M</v>
      </c>
      <c r="D5" t="s">
        <v>36</v>
      </c>
      <c r="E5" s="85" t="s">
        <v>1843</v>
      </c>
      <c r="F5" s="85" t="s">
        <v>1841</v>
      </c>
      <c r="H5" s="83" t="s">
        <v>45</v>
      </c>
      <c r="I5" s="83" t="s">
        <v>49</v>
      </c>
      <c r="J5" s="83"/>
      <c r="K5" s="83"/>
      <c r="L5" s="83"/>
      <c r="M5" s="83"/>
      <c r="N5" s="83"/>
      <c r="O5" s="83">
        <v>250</v>
      </c>
      <c r="P5" s="83" t="s">
        <v>49</v>
      </c>
      <c r="Q5" s="83" t="s">
        <v>49</v>
      </c>
      <c r="R5" s="83" t="s">
        <v>49</v>
      </c>
      <c r="S5" s="83" t="s">
        <v>49</v>
      </c>
      <c r="T5" s="83" t="s">
        <v>49</v>
      </c>
      <c r="U5" s="85"/>
    </row>
    <row r="6" spans="1:21" x14ac:dyDescent="0.25">
      <c r="A6">
        <v>5</v>
      </c>
      <c r="B6" s="91" t="s">
        <v>1844</v>
      </c>
      <c r="C6" t="str">
        <f t="array" ref="C6">_xlfn.IFS(ISNUMBER(SEARCH("M",agalist[[#This Row],[JANUARY]])),"M",agalist[[#This Row],[JANUARY]]="A","A",agalist[[#This Row],[JANUARY]]="","",agalist[[#This Row],[JANUARY]]&gt;=100,"P")</f>
        <v>P</v>
      </c>
      <c r="D6" t="s">
        <v>30</v>
      </c>
      <c r="E6" s="85" t="s">
        <v>1845</v>
      </c>
      <c r="F6" s="85" t="s">
        <v>1846</v>
      </c>
      <c r="H6" s="83">
        <v>360</v>
      </c>
      <c r="I6" s="83">
        <v>200</v>
      </c>
      <c r="J6" s="83"/>
      <c r="K6" s="83"/>
      <c r="L6" s="83"/>
      <c r="M6" s="83"/>
      <c r="N6" s="83"/>
      <c r="O6" s="83"/>
      <c r="P6" s="83"/>
      <c r="Q6" s="83">
        <v>230</v>
      </c>
      <c r="R6" s="83" t="s">
        <v>49</v>
      </c>
      <c r="S6" s="83" t="s">
        <v>1847</v>
      </c>
      <c r="T6" s="83" t="s">
        <v>49</v>
      </c>
      <c r="U6" s="85" t="s">
        <v>1848</v>
      </c>
    </row>
    <row r="7" spans="1:21" x14ac:dyDescent="0.25">
      <c r="A7">
        <v>6</v>
      </c>
      <c r="B7" t="s">
        <v>642</v>
      </c>
      <c r="C7" t="str">
        <f t="array" ref="C7">_xlfn.IFS(ISNUMBER(SEARCH("M",agalist[[#This Row],[JANUARY]])),"M",agalist[[#This Row],[JANUARY]]="A","A",agalist[[#This Row],[JANUARY]]="","",agalist[[#This Row],[JANUARY]]&gt;=100,"P")</f>
        <v>A</v>
      </c>
      <c r="D7" t="s">
        <v>36</v>
      </c>
      <c r="E7" s="85" t="s">
        <v>1849</v>
      </c>
      <c r="F7" s="85" t="s">
        <v>1850</v>
      </c>
      <c r="H7" s="83"/>
      <c r="I7" s="83" t="s">
        <v>45</v>
      </c>
      <c r="J7" s="83"/>
      <c r="K7" s="83"/>
      <c r="L7" s="83"/>
      <c r="M7" s="83"/>
      <c r="N7" s="83"/>
      <c r="O7" s="83"/>
      <c r="P7" s="83" t="s">
        <v>1012</v>
      </c>
      <c r="Q7" s="83" t="s">
        <v>1012</v>
      </c>
      <c r="R7" s="83" t="s">
        <v>45</v>
      </c>
      <c r="S7" s="83" t="s">
        <v>45</v>
      </c>
      <c r="T7" s="83" t="s">
        <v>45</v>
      </c>
      <c r="U7" s="85"/>
    </row>
    <row r="8" spans="1:21" x14ac:dyDescent="0.25">
      <c r="A8">
        <v>7</v>
      </c>
      <c r="B8" s="60" t="s">
        <v>1851</v>
      </c>
      <c r="C8" t="str">
        <f t="array" ref="C8">_xlfn.IFS(ISNUMBER(SEARCH("M",agalist[[#This Row],[JANUARY]])),"M",agalist[[#This Row],[JANUARY]]="A","A",agalist[[#This Row],[JANUARY]]="","",agalist[[#This Row],[JANUARY]]&gt;=100,"P")</f>
        <v>P</v>
      </c>
      <c r="D8" t="s">
        <v>30</v>
      </c>
      <c r="E8" s="85" t="s">
        <v>1852</v>
      </c>
      <c r="F8" s="85" t="s">
        <v>1853</v>
      </c>
      <c r="H8" s="83">
        <v>200</v>
      </c>
      <c r="I8" s="83">
        <v>200</v>
      </c>
      <c r="J8" s="83"/>
      <c r="K8" s="83"/>
      <c r="L8" s="83"/>
      <c r="M8" s="83"/>
      <c r="N8" s="83"/>
      <c r="O8" s="83">
        <v>250</v>
      </c>
      <c r="P8" s="83">
        <v>170</v>
      </c>
      <c r="Q8" s="83"/>
      <c r="R8" s="83">
        <v>460</v>
      </c>
      <c r="S8" s="83" t="s">
        <v>49</v>
      </c>
      <c r="T8" s="83">
        <v>200</v>
      </c>
      <c r="U8" s="85"/>
    </row>
    <row r="9" spans="1:21" x14ac:dyDescent="0.25">
      <c r="A9">
        <v>8</v>
      </c>
      <c r="B9" t="s">
        <v>1854</v>
      </c>
      <c r="C9" t="str">
        <f t="array" ref="C9">_xlfn.IFS(ISNUMBER(SEARCH("M",agalist[[#This Row],[JANUARY]])),"M",agalist[[#This Row],[JANUARY]]="A","A",agalist[[#This Row],[JANUARY]]="","",agalist[[#This Row],[JANUARY]]&gt;=100,"P")</f>
        <v>P</v>
      </c>
      <c r="D9" t="s">
        <v>23</v>
      </c>
      <c r="E9" s="85" t="s">
        <v>1855</v>
      </c>
      <c r="F9" s="85" t="s">
        <v>1856</v>
      </c>
      <c r="H9" s="83"/>
      <c r="I9" s="83">
        <v>200</v>
      </c>
      <c r="J9" s="83"/>
      <c r="K9" s="83"/>
      <c r="L9" s="83"/>
      <c r="M9" s="83"/>
      <c r="N9" s="83"/>
      <c r="O9" s="83">
        <v>200</v>
      </c>
      <c r="P9" s="83">
        <v>200</v>
      </c>
      <c r="Q9" s="83">
        <v>200</v>
      </c>
      <c r="R9" s="83">
        <v>200</v>
      </c>
      <c r="S9" s="83">
        <v>200</v>
      </c>
      <c r="T9" s="83">
        <v>200</v>
      </c>
      <c r="U9" s="85"/>
    </row>
    <row r="10" spans="1:21" x14ac:dyDescent="0.25">
      <c r="A10">
        <v>9</v>
      </c>
      <c r="B10" t="s">
        <v>1857</v>
      </c>
      <c r="C10" t="str">
        <f t="array" ref="C10">_xlfn.IFS(ISNUMBER(SEARCH("M",agalist[[#This Row],[JANUARY]])),"M",agalist[[#This Row],[JANUARY]]="A","A",agalist[[#This Row],[JANUARY]]="","",agalist[[#This Row],[JANUARY]]&gt;=100,"P")</f>
        <v>P</v>
      </c>
      <c r="D10" t="s">
        <v>36</v>
      </c>
      <c r="E10" s="85" t="s">
        <v>1858</v>
      </c>
      <c r="F10" s="85" t="s">
        <v>1859</v>
      </c>
      <c r="H10" s="83"/>
      <c r="I10" s="83">
        <v>200</v>
      </c>
      <c r="J10" s="83"/>
      <c r="K10" s="83"/>
      <c r="L10" s="83"/>
      <c r="M10" s="83"/>
      <c r="N10" s="83"/>
      <c r="O10" s="83">
        <v>200</v>
      </c>
      <c r="P10" s="83">
        <v>200</v>
      </c>
      <c r="Q10" s="83">
        <v>200</v>
      </c>
      <c r="R10" s="83">
        <v>200</v>
      </c>
      <c r="S10" s="83">
        <v>200</v>
      </c>
      <c r="T10" s="83">
        <v>200</v>
      </c>
      <c r="U10" s="85"/>
    </row>
    <row r="11" spans="1:21" x14ac:dyDescent="0.25">
      <c r="A11">
        <v>10</v>
      </c>
      <c r="B11" t="s">
        <v>1860</v>
      </c>
      <c r="C11" t="str">
        <f t="array" ref="C11">_xlfn.IFS(ISNUMBER(SEARCH("M",agalist[[#This Row],[JANUARY]])),"M",agalist[[#This Row],[JANUARY]]="A","A",agalist[[#This Row],[JANUARY]]="","",agalist[[#This Row],[JANUARY]]&gt;=100,"P")</f>
        <v>A</v>
      </c>
      <c r="D11" t="s">
        <v>36</v>
      </c>
      <c r="E11" s="85" t="s">
        <v>1861</v>
      </c>
      <c r="F11" s="85" t="s">
        <v>1862</v>
      </c>
      <c r="H11" s="83"/>
      <c r="I11" s="83" t="s">
        <v>45</v>
      </c>
      <c r="J11" s="83"/>
      <c r="K11" s="83"/>
      <c r="L11" s="83"/>
      <c r="M11" s="83"/>
      <c r="N11" s="83"/>
      <c r="O11" s="83"/>
      <c r="P11" s="83"/>
      <c r="Q11" s="83" t="s">
        <v>1012</v>
      </c>
      <c r="R11" s="83" t="s">
        <v>45</v>
      </c>
      <c r="S11" s="83" t="s">
        <v>1863</v>
      </c>
      <c r="T11" s="83" t="s">
        <v>1863</v>
      </c>
      <c r="U11" s="85"/>
    </row>
    <row r="12" spans="1:21" x14ac:dyDescent="0.25">
      <c r="A12">
        <v>11</v>
      </c>
      <c r="B12" t="s">
        <v>1864</v>
      </c>
      <c r="C12" t="str">
        <f t="array" ref="C12">_xlfn.IFS(ISNUMBER(SEARCH("M",agalist[[#This Row],[JANUARY]])),"M",agalist[[#This Row],[JANUARY]]="A","A",agalist[[#This Row],[JANUARY]]="","",agalist[[#This Row],[JANUARY]]&gt;=100,"P")</f>
        <v>M</v>
      </c>
      <c r="D12" t="s">
        <v>36</v>
      </c>
      <c r="E12" s="85" t="s">
        <v>1865</v>
      </c>
      <c r="F12" s="85" t="s">
        <v>1866</v>
      </c>
      <c r="H12" s="83"/>
      <c r="I12" s="83" t="s">
        <v>49</v>
      </c>
      <c r="J12" s="83"/>
      <c r="K12" s="83"/>
      <c r="L12" s="83"/>
      <c r="M12" s="83"/>
      <c r="N12" s="83"/>
      <c r="O12" s="83"/>
      <c r="P12" s="83"/>
      <c r="Q12" s="83"/>
      <c r="R12" s="83">
        <v>500</v>
      </c>
      <c r="S12" s="83" t="s">
        <v>49</v>
      </c>
      <c r="T12" s="83">
        <v>600</v>
      </c>
      <c r="U12" s="85"/>
    </row>
    <row r="13" spans="1:21" s="8" customFormat="1" x14ac:dyDescent="0.25">
      <c r="A13" s="8" t="s">
        <v>246</v>
      </c>
      <c r="C13" s="8">
        <f>COUNTIF(C2:C12, "&gt;=a")</f>
        <v>11</v>
      </c>
      <c r="D13" s="8">
        <f>SUBTOTAL(103,agalist[Package])</f>
        <v>11</v>
      </c>
      <c r="E13" s="92">
        <f>SUBTOTAL(103,agalist[Box No])</f>
        <v>11</v>
      </c>
      <c r="F13" s="92">
        <f>SUBTOTAL(103,agalist[CAF_ID])</f>
        <v>11</v>
      </c>
      <c r="G13" s="92"/>
      <c r="H13" s="28">
        <f>SUBTOTAL(109,agalist[BALANCE])</f>
        <v>560</v>
      </c>
      <c r="I13" s="28">
        <f>SUBTOTAL(109,agalist[JANUARY])</f>
        <v>1030</v>
      </c>
      <c r="J13" s="28">
        <f>SUBTOTAL(109,agalist[FEBEUARY])</f>
        <v>0</v>
      </c>
      <c r="K13" s="28">
        <f>SUBTOTAL(109,agalist[MARCH])</f>
        <v>0</v>
      </c>
      <c r="L13" s="28">
        <f>SUBTOTAL(109,agalist[APRIL])</f>
        <v>0</v>
      </c>
      <c r="M13" s="28">
        <f>SUBTOTAL(109,agalist[MAY])</f>
        <v>0</v>
      </c>
      <c r="N13" s="28">
        <f>SUBTOTAL(109,agalist[JUNE])</f>
        <v>0</v>
      </c>
      <c r="O13" s="28">
        <f>SUBTOTAL(109,agalist[JULY])</f>
        <v>900</v>
      </c>
      <c r="P13" s="28">
        <f>SUBTOTAL(109,agalist[AUGUST])</f>
        <v>1260</v>
      </c>
      <c r="Q13" s="28">
        <f>SUBTOTAL(109,agalist[SEPTEMBER])</f>
        <v>860</v>
      </c>
      <c r="R13" s="28">
        <f>SUBTOTAL(109,agalist[OCTOBER])</f>
        <v>1360</v>
      </c>
      <c r="S13" s="28">
        <f>SUBTOTAL(109,agalist[NOVEMBER])</f>
        <v>860</v>
      </c>
      <c r="T13" s="28">
        <f>SUBTOTAL(109,agalist[DECEMBER])</f>
        <v>1930</v>
      </c>
      <c r="U13" s="92"/>
    </row>
    <row r="15" spans="1:21" x14ac:dyDescent="0.25">
      <c r="B15" s="9" t="s">
        <v>247</v>
      </c>
      <c r="C15" s="19">
        <f>COUNTIF(C2:C12,"P")</f>
        <v>5</v>
      </c>
    </row>
    <row r="16" spans="1:21" x14ac:dyDescent="0.25">
      <c r="B16" s="18" t="s">
        <v>248</v>
      </c>
      <c r="C16" s="20">
        <f>COUNTIF(C2:C12,"M")</f>
        <v>4</v>
      </c>
    </row>
    <row r="17" spans="2:3" x14ac:dyDescent="0.25">
      <c r="B17" s="10" t="s">
        <v>249</v>
      </c>
      <c r="C17" s="21">
        <f>COUNTIF(C2:C12,"A")</f>
        <v>2</v>
      </c>
    </row>
    <row r="18" spans="2:3" ht="15.75" customHeight="1" thickBot="1" x14ac:dyDescent="0.3">
      <c r="B18" s="17" t="s">
        <v>250</v>
      </c>
      <c r="C18" s="17">
        <f>SUM(C15:C17)</f>
        <v>11</v>
      </c>
    </row>
    <row r="19" spans="2:3" ht="15.75" customHeight="1" thickTop="1" x14ac:dyDescent="0.25"/>
  </sheetData>
  <phoneticPr fontId="35" type="noConversion"/>
  <conditionalFormatting sqref="B15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theme="1"/>
  </sheetPr>
  <dimension ref="A1:R14"/>
  <sheetViews>
    <sheetView zoomScale="115" zoomScaleNormal="115" workbookViewId="0">
      <selection activeCell="D15" sqref="D15"/>
    </sheetView>
  </sheetViews>
  <sheetFormatPr defaultRowHeight="15" x14ac:dyDescent="0.25"/>
  <cols>
    <col min="1" max="1" width="7.28515625" style="87" customWidth="1"/>
    <col min="2" max="2" width="24.85546875" style="87" customWidth="1"/>
    <col min="4" max="4" width="29.5703125" style="87" customWidth="1"/>
    <col min="5" max="5" width="19" style="87" customWidth="1"/>
    <col min="6" max="6" width="11.85546875" style="87" customWidth="1"/>
    <col min="7" max="17" width="10.5703125" style="84" customWidth="1"/>
    <col min="18" max="18" width="10.5703125" style="87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s="85" t="s">
        <v>5</v>
      </c>
      <c r="G1" s="84" t="s">
        <v>9</v>
      </c>
      <c r="H1" s="84" t="s">
        <v>10</v>
      </c>
      <c r="I1" s="84" t="s">
        <v>11</v>
      </c>
      <c r="J1" s="84" t="s">
        <v>12</v>
      </c>
      <c r="K1" s="84" t="s">
        <v>13</v>
      </c>
      <c r="L1" s="84" t="s">
        <v>14</v>
      </c>
      <c r="M1" s="84" t="s">
        <v>15</v>
      </c>
      <c r="N1" s="84" t="s">
        <v>16</v>
      </c>
      <c r="O1" s="84" t="s">
        <v>17</v>
      </c>
      <c r="P1" s="84" t="s">
        <v>18</v>
      </c>
      <c r="Q1" s="84" t="s">
        <v>19</v>
      </c>
      <c r="R1" s="84" t="s">
        <v>20</v>
      </c>
    </row>
    <row r="2" spans="1:18" x14ac:dyDescent="0.25">
      <c r="A2">
        <v>1</v>
      </c>
      <c r="B2" t="s">
        <v>1867</v>
      </c>
      <c r="C2" t="s">
        <v>1868</v>
      </c>
      <c r="D2" t="s">
        <v>51</v>
      </c>
      <c r="E2" s="85" t="s">
        <v>1869</v>
      </c>
      <c r="F2" t="s">
        <v>1870</v>
      </c>
      <c r="R2" s="84"/>
    </row>
    <row r="3" spans="1:18" x14ac:dyDescent="0.25">
      <c r="A3">
        <v>2</v>
      </c>
      <c r="B3" t="s">
        <v>1871</v>
      </c>
      <c r="E3" s="85"/>
      <c r="R3" s="84"/>
    </row>
    <row r="4" spans="1:18" x14ac:dyDescent="0.25">
      <c r="A4">
        <v>3</v>
      </c>
      <c r="B4" t="s">
        <v>1872</v>
      </c>
      <c r="E4" s="85"/>
      <c r="R4" s="84"/>
    </row>
    <row r="5" spans="1:18" x14ac:dyDescent="0.25">
      <c r="A5">
        <v>4</v>
      </c>
      <c r="B5" t="s">
        <v>1873</v>
      </c>
      <c r="C5" t="s">
        <v>1868</v>
      </c>
      <c r="D5" t="s">
        <v>51</v>
      </c>
      <c r="E5" s="85" t="s">
        <v>1874</v>
      </c>
      <c r="F5" t="s">
        <v>1875</v>
      </c>
      <c r="R5" s="84"/>
    </row>
    <row r="6" spans="1:18" x14ac:dyDescent="0.25">
      <c r="A6">
        <v>5</v>
      </c>
      <c r="B6" t="s">
        <v>1876</v>
      </c>
      <c r="C6" t="s">
        <v>1868</v>
      </c>
      <c r="D6" t="s">
        <v>51</v>
      </c>
      <c r="E6" s="85" t="s">
        <v>1877</v>
      </c>
      <c r="F6" t="s">
        <v>1878</v>
      </c>
      <c r="R6" s="84"/>
    </row>
    <row r="7" spans="1:18" x14ac:dyDescent="0.25">
      <c r="A7">
        <v>6</v>
      </c>
      <c r="B7" t="s">
        <v>1879</v>
      </c>
      <c r="C7" t="s">
        <v>1868</v>
      </c>
      <c r="D7" t="s">
        <v>51</v>
      </c>
      <c r="E7" s="85" t="s">
        <v>1880</v>
      </c>
      <c r="F7" t="s">
        <v>1881</v>
      </c>
      <c r="R7" s="84"/>
    </row>
    <row r="8" spans="1:18" x14ac:dyDescent="0.25">
      <c r="A8">
        <v>7</v>
      </c>
      <c r="B8" t="s">
        <v>1882</v>
      </c>
      <c r="C8" t="s">
        <v>1868</v>
      </c>
      <c r="D8" t="s">
        <v>23</v>
      </c>
      <c r="E8" s="85" t="s">
        <v>1883</v>
      </c>
      <c r="F8" t="s">
        <v>1884</v>
      </c>
      <c r="R8" s="84"/>
    </row>
    <row r="9" spans="1:18" x14ac:dyDescent="0.25">
      <c r="A9">
        <v>8</v>
      </c>
      <c r="B9" t="s">
        <v>1885</v>
      </c>
      <c r="C9" t="s">
        <v>1868</v>
      </c>
      <c r="D9" t="s">
        <v>23</v>
      </c>
      <c r="E9" s="85" t="s">
        <v>1886</v>
      </c>
      <c r="F9" t="s">
        <v>1887</v>
      </c>
      <c r="R9" s="84"/>
    </row>
    <row r="10" spans="1:18" x14ac:dyDescent="0.25">
      <c r="A10">
        <v>9</v>
      </c>
      <c r="B10" t="s">
        <v>1888</v>
      </c>
      <c r="C10" t="s">
        <v>1868</v>
      </c>
      <c r="D10" t="s">
        <v>51</v>
      </c>
      <c r="E10" s="85" t="s">
        <v>1889</v>
      </c>
      <c r="F10" s="85" t="s">
        <v>1890</v>
      </c>
      <c r="R10" s="84"/>
    </row>
    <row r="11" spans="1:18" x14ac:dyDescent="0.25">
      <c r="A11">
        <v>10</v>
      </c>
      <c r="B11" t="s">
        <v>1891</v>
      </c>
      <c r="C11" t="s">
        <v>1868</v>
      </c>
      <c r="D11" t="s">
        <v>23</v>
      </c>
      <c r="E11" s="85" t="s">
        <v>1892</v>
      </c>
      <c r="F11" s="85" t="s">
        <v>1893</v>
      </c>
      <c r="R11" s="84"/>
    </row>
    <row r="12" spans="1:18" s="8" customFormat="1" x14ac:dyDescent="0.25">
      <c r="A12" s="8" t="s">
        <v>246</v>
      </c>
      <c r="D12" s="8">
        <f>SUBTOTAL(103,etteiyampatti[Package])</f>
        <v>8</v>
      </c>
      <c r="E12" s="8">
        <f>SUBTOTAL(103,etteiyampatti[Box No])</f>
        <v>8</v>
      </c>
      <c r="F12" s="8">
        <f>SUBTOTAL(103,etteiyampatti[CAF_ID])</f>
        <v>8</v>
      </c>
    </row>
    <row r="14" spans="1:18" x14ac:dyDescent="0.25">
      <c r="B14" s="11" t="s">
        <v>1503</v>
      </c>
      <c r="C14" s="11">
        <f>COUNTIF(etteiyampatti[PAID],"P")</f>
        <v>8</v>
      </c>
      <c r="E14" s="11" t="s">
        <v>1894</v>
      </c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</row>
  </sheetData>
  <pageMargins left="0.7" right="0.7" top="0.75" bottom="0.75" header="0.3" footer="0.3"/>
  <pageSetup orientation="portrait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">
    <tabColor rgb="FF002060"/>
  </sheetPr>
  <dimension ref="A1:V35"/>
  <sheetViews>
    <sheetView topLeftCell="A29" zoomScale="115" zoomScaleNormal="115" workbookViewId="0">
      <selection activeCell="D41" sqref="D41"/>
    </sheetView>
  </sheetViews>
  <sheetFormatPr defaultColWidth="8.85546875" defaultRowHeight="15" x14ac:dyDescent="0.25"/>
  <cols>
    <col min="1" max="1" width="5.28515625" style="87" customWidth="1"/>
    <col min="2" max="2" width="20.7109375" style="87" customWidth="1"/>
    <col min="3" max="3" width="7.42578125" style="87" customWidth="1"/>
    <col min="4" max="4" width="31.42578125" style="80" customWidth="1"/>
    <col min="5" max="5" width="22.42578125" style="87" customWidth="1"/>
    <col min="6" max="6" width="10.140625" style="87" customWidth="1"/>
    <col min="7" max="7" width="10.5703125" style="84" customWidth="1"/>
    <col min="8" max="18" width="11.42578125" style="83" customWidth="1"/>
    <col min="19" max="21" width="11.42578125" style="61" customWidth="1"/>
    <col min="22" max="22" width="33.5703125" style="87" customWidth="1"/>
    <col min="23" max="76" width="8.85546875" style="87" customWidth="1"/>
    <col min="77" max="16384" width="8.85546875" style="87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s="85" t="s">
        <v>4</v>
      </c>
      <c r="F1" t="s">
        <v>5</v>
      </c>
      <c r="G1" t="s">
        <v>6</v>
      </c>
      <c r="H1" s="13" t="s">
        <v>929</v>
      </c>
      <c r="I1" s="61" t="s">
        <v>9</v>
      </c>
      <c r="J1" s="61" t="s">
        <v>10</v>
      </c>
      <c r="K1" s="61" t="s">
        <v>11</v>
      </c>
      <c r="L1" s="61" t="s">
        <v>12</v>
      </c>
      <c r="M1" s="61" t="s">
        <v>13</v>
      </c>
      <c r="N1" s="61" t="s">
        <v>14</v>
      </c>
      <c r="O1" s="61" t="s">
        <v>15</v>
      </c>
      <c r="P1" s="61" t="s">
        <v>16</v>
      </c>
      <c r="Q1" s="61" t="s">
        <v>17</v>
      </c>
      <c r="R1" s="61" t="s">
        <v>18</v>
      </c>
      <c r="S1" s="61" t="s">
        <v>19</v>
      </c>
      <c r="T1" s="61" t="s">
        <v>20</v>
      </c>
      <c r="U1" s="61" t="s">
        <v>7</v>
      </c>
      <c r="V1" t="s">
        <v>21</v>
      </c>
    </row>
    <row r="2" spans="1:22" x14ac:dyDescent="0.25">
      <c r="A2">
        <v>1</v>
      </c>
      <c r="B2" t="s">
        <v>1895</v>
      </c>
      <c r="C2" t="str">
        <f t="array" ref="C2">_xlfn.IFS(ISNUMBER(SEARCH("G",pudhur[[#This Row],[JANUARY]])),"G",ISNUMBER(SEARCH("A",pudhur[[#This Row],[JANUARY]])),"A",pudhur[[#This Row],[JANUARY]]="","",pudhur[[#This Row],[JANUARY]]&gt;=100,"P")</f>
        <v>P</v>
      </c>
      <c r="D2" t="s">
        <v>36</v>
      </c>
      <c r="E2" s="85" t="s">
        <v>1896</v>
      </c>
      <c r="F2" s="85" t="s">
        <v>1897</v>
      </c>
      <c r="G2" s="85"/>
      <c r="H2" s="83">
        <v>200</v>
      </c>
      <c r="I2" s="83">
        <v>200</v>
      </c>
      <c r="S2" s="83"/>
      <c r="T2" s="83"/>
      <c r="U2" s="83"/>
      <c r="V2" s="84"/>
    </row>
    <row r="3" spans="1:22" x14ac:dyDescent="0.25">
      <c r="A3">
        <v>2</v>
      </c>
      <c r="B3" t="s">
        <v>333</v>
      </c>
      <c r="C3" t="str">
        <f t="array" ref="C3">_xlfn.IFS(ISNUMBER(SEARCH("G",pudhur[[#This Row],[JANUARY]])),"G",ISNUMBER(SEARCH("A",pudhur[[#This Row],[JANUARY]])),"A",pudhur[[#This Row],[JANUARY]]="","",pudhur[[#This Row],[JANUARY]]&gt;=100,"P")</f>
        <v>P</v>
      </c>
      <c r="D3" t="s">
        <v>23</v>
      </c>
      <c r="E3" s="85" t="s">
        <v>1898</v>
      </c>
      <c r="F3" s="85" t="s">
        <v>1899</v>
      </c>
      <c r="G3" s="85"/>
      <c r="H3" s="83">
        <v>200</v>
      </c>
      <c r="I3" s="83">
        <v>200</v>
      </c>
      <c r="S3" s="83"/>
      <c r="T3" s="83"/>
      <c r="U3" s="83"/>
      <c r="V3" s="84"/>
    </row>
    <row r="4" spans="1:22" x14ac:dyDescent="0.25">
      <c r="A4">
        <v>3</v>
      </c>
      <c r="B4" t="s">
        <v>1900</v>
      </c>
      <c r="C4" t="str">
        <f t="array" ref="C4">_xlfn.IFS(ISNUMBER(SEARCH("G",pudhur[[#This Row],[JANUARY]])),"G",ISNUMBER(SEARCH("A",pudhur[[#This Row],[JANUARY]])),"A",pudhur[[#This Row],[JANUARY]]="","",pudhur[[#This Row],[JANUARY]]&gt;=100,"P")</f>
        <v>P</v>
      </c>
      <c r="D4" t="s">
        <v>51</v>
      </c>
      <c r="E4" s="85" t="s">
        <v>1901</v>
      </c>
      <c r="F4" s="85" t="s">
        <v>1902</v>
      </c>
      <c r="G4" s="85"/>
      <c r="H4" s="83">
        <v>200</v>
      </c>
      <c r="I4" s="83">
        <v>200</v>
      </c>
      <c r="S4" s="83"/>
      <c r="T4" s="83"/>
      <c r="U4" s="83"/>
      <c r="V4" s="84"/>
    </row>
    <row r="5" spans="1:22" x14ac:dyDescent="0.25">
      <c r="A5">
        <v>4</v>
      </c>
      <c r="B5" t="s">
        <v>1903</v>
      </c>
      <c r="C5" t="str">
        <f t="array" ref="C5">_xlfn.IFS(ISNUMBER(SEARCH("G",pudhur[[#This Row],[JANUARY]])),"G",ISNUMBER(SEARCH("A",pudhur[[#This Row],[JANUARY]])),"A",pudhur[[#This Row],[JANUARY]]="","",pudhur[[#This Row],[JANUARY]]&gt;=100,"P")</f>
        <v>P</v>
      </c>
      <c r="D5" s="96" t="s">
        <v>88</v>
      </c>
      <c r="E5" s="85" t="s">
        <v>1904</v>
      </c>
      <c r="F5" s="85" t="s">
        <v>1905</v>
      </c>
      <c r="G5" s="85"/>
      <c r="H5" s="83">
        <v>200</v>
      </c>
      <c r="I5" s="83" t="s">
        <v>54</v>
      </c>
      <c r="S5" s="83"/>
      <c r="T5" s="83"/>
      <c r="U5" s="83"/>
      <c r="V5" s="84"/>
    </row>
    <row r="6" spans="1:22" x14ac:dyDescent="0.25">
      <c r="A6">
        <v>5</v>
      </c>
      <c r="B6" t="s">
        <v>1906</v>
      </c>
      <c r="C6" t="str">
        <f t="array" ref="C6">_xlfn.IFS(ISNUMBER(SEARCH("G",pudhur[[#This Row],[JANUARY]])),"G",ISNUMBER(SEARCH("A",pudhur[[#This Row],[JANUARY]])),"A",pudhur[[#This Row],[JANUARY]]="","",pudhur[[#This Row],[JANUARY]]&gt;=100,"P")</f>
        <v>P</v>
      </c>
      <c r="D6" t="s">
        <v>51</v>
      </c>
      <c r="E6" s="85" t="s">
        <v>1907</v>
      </c>
      <c r="F6" s="85" t="s">
        <v>1908</v>
      </c>
      <c r="G6" s="85"/>
      <c r="H6" s="83">
        <v>200</v>
      </c>
      <c r="I6" s="83">
        <v>200</v>
      </c>
      <c r="S6" s="83"/>
      <c r="T6" s="83"/>
      <c r="U6" s="83"/>
      <c r="V6" s="84"/>
    </row>
    <row r="7" spans="1:22" x14ac:dyDescent="0.25">
      <c r="A7">
        <v>6</v>
      </c>
      <c r="B7" t="s">
        <v>1909</v>
      </c>
      <c r="C7" t="str">
        <f t="array" ref="C7">_xlfn.IFS(ISNUMBER(SEARCH("G",pudhur[[#This Row],[JANUARY]])),"G",ISNUMBER(SEARCH("A",pudhur[[#This Row],[JANUARY]])),"A",pudhur[[#This Row],[JANUARY]]="","",pudhur[[#This Row],[JANUARY]]&gt;=100,"P")</f>
        <v>P</v>
      </c>
      <c r="D7" t="s">
        <v>30</v>
      </c>
      <c r="E7" s="85" t="s">
        <v>1910</v>
      </c>
      <c r="F7" s="85" t="s">
        <v>1911</v>
      </c>
      <c r="G7" s="85"/>
      <c r="H7" s="83">
        <v>200</v>
      </c>
      <c r="I7" s="83">
        <v>200</v>
      </c>
      <c r="S7" s="83"/>
      <c r="T7" s="83"/>
      <c r="U7" s="83"/>
      <c r="V7" s="84"/>
    </row>
    <row r="8" spans="1:22" x14ac:dyDescent="0.25">
      <c r="A8">
        <v>7</v>
      </c>
      <c r="B8" t="s">
        <v>1912</v>
      </c>
      <c r="C8" t="str">
        <f t="array" ref="C8">_xlfn.IFS(ISNUMBER(SEARCH("G",pudhur[[#This Row],[JANUARY]])),"G",ISNUMBER(SEARCH("A",pudhur[[#This Row],[JANUARY]])),"A",pudhur[[#This Row],[JANUARY]]="","",pudhur[[#This Row],[JANUARY]]&gt;=100,"P")</f>
        <v>P</v>
      </c>
      <c r="D8" t="s">
        <v>51</v>
      </c>
      <c r="E8" s="85" t="s">
        <v>1913</v>
      </c>
      <c r="F8" s="85" t="s">
        <v>1914</v>
      </c>
      <c r="G8" s="85"/>
      <c r="H8" s="83">
        <v>200</v>
      </c>
      <c r="I8" s="83">
        <v>200</v>
      </c>
      <c r="S8" s="83"/>
      <c r="T8" s="83"/>
      <c r="U8" s="83"/>
      <c r="V8" s="84"/>
    </row>
    <row r="9" spans="1:22" x14ac:dyDescent="0.25">
      <c r="A9">
        <v>8</v>
      </c>
      <c r="B9" t="s">
        <v>1915</v>
      </c>
      <c r="C9" t="str">
        <f t="array" ref="C9">_xlfn.IFS(ISNUMBER(SEARCH("G",pudhur[[#This Row],[JANUARY]])),"G",ISNUMBER(SEARCH("A",pudhur[[#This Row],[JANUARY]])),"A",pudhur[[#This Row],[JANUARY]]="","",pudhur[[#This Row],[JANUARY]]&gt;=100,"P")</f>
        <v>P</v>
      </c>
      <c r="D9" t="s">
        <v>30</v>
      </c>
      <c r="E9" s="85" t="s">
        <v>1916</v>
      </c>
      <c r="F9" s="85" t="s">
        <v>1917</v>
      </c>
      <c r="G9" s="85"/>
      <c r="H9" s="83">
        <v>200</v>
      </c>
      <c r="I9" s="83">
        <v>200</v>
      </c>
      <c r="S9" s="83"/>
      <c r="T9" s="83"/>
      <c r="U9" s="83"/>
      <c r="V9" s="84"/>
    </row>
    <row r="10" spans="1:22" x14ac:dyDescent="0.25">
      <c r="A10">
        <v>9</v>
      </c>
      <c r="B10" t="s">
        <v>1918</v>
      </c>
      <c r="C10" t="str">
        <f t="array" ref="C10">_xlfn.IFS(ISNUMBER(SEARCH("G",pudhur[[#This Row],[JANUARY]])),"G",ISNUMBER(SEARCH("A",pudhur[[#This Row],[JANUARY]])),"A",pudhur[[#This Row],[JANUARY]]="","",pudhur[[#This Row],[JANUARY]]&gt;=100,"P")</f>
        <v>P</v>
      </c>
      <c r="D10" t="s">
        <v>30</v>
      </c>
      <c r="E10" s="85" t="s">
        <v>1919</v>
      </c>
      <c r="F10" s="85" t="s">
        <v>1920</v>
      </c>
      <c r="G10" s="85"/>
      <c r="H10" s="83">
        <v>200</v>
      </c>
      <c r="I10" s="83">
        <v>200</v>
      </c>
      <c r="S10" s="83"/>
      <c r="T10" s="83"/>
      <c r="U10" s="83"/>
      <c r="V10" s="84"/>
    </row>
    <row r="11" spans="1:22" x14ac:dyDescent="0.25">
      <c r="A11">
        <v>10</v>
      </c>
      <c r="B11" t="s">
        <v>1921</v>
      </c>
      <c r="C11" t="str">
        <f t="array" ref="C11">_xlfn.IFS(ISNUMBER(SEARCH("G",pudhur[[#This Row],[JANUARY]])),"G",ISNUMBER(SEARCH("A",pudhur[[#This Row],[JANUARY]])),"A",pudhur[[#This Row],[JANUARY]]="","",pudhur[[#This Row],[JANUARY]]&gt;=100,"P")</f>
        <v>P</v>
      </c>
      <c r="D11" t="s">
        <v>36</v>
      </c>
      <c r="E11" s="85" t="s">
        <v>1922</v>
      </c>
      <c r="F11" s="85" t="s">
        <v>1923</v>
      </c>
      <c r="G11" s="85"/>
      <c r="H11" s="83">
        <v>220</v>
      </c>
      <c r="I11" s="83">
        <v>200</v>
      </c>
      <c r="S11" s="83"/>
      <c r="T11" s="83"/>
      <c r="U11" s="83"/>
      <c r="V11" s="84"/>
    </row>
    <row r="12" spans="1:22" ht="18" customHeight="1" x14ac:dyDescent="0.25">
      <c r="A12">
        <v>11</v>
      </c>
      <c r="B12" t="s">
        <v>1924</v>
      </c>
      <c r="C12" t="str">
        <f t="array" ref="C12">_xlfn.IFS(ISNUMBER(SEARCH("G",pudhur[[#This Row],[JANUARY]])),"G",ISNUMBER(SEARCH("A",pudhur[[#This Row],[JANUARY]])),"A",pudhur[[#This Row],[JANUARY]]="","",pudhur[[#This Row],[JANUARY]]&gt;=100,"P")</f>
        <v>P</v>
      </c>
      <c r="D12" t="s">
        <v>30</v>
      </c>
      <c r="E12" s="85" t="s">
        <v>1925</v>
      </c>
      <c r="F12" s="85" t="s">
        <v>1926</v>
      </c>
      <c r="G12" s="85"/>
      <c r="H12" s="83">
        <v>220</v>
      </c>
      <c r="I12" s="83">
        <v>220</v>
      </c>
      <c r="S12" s="83"/>
      <c r="T12" s="83"/>
      <c r="U12" s="83"/>
      <c r="V12" s="84"/>
    </row>
    <row r="13" spans="1:22" x14ac:dyDescent="0.25">
      <c r="A13">
        <v>12</v>
      </c>
      <c r="B13" t="s">
        <v>1927</v>
      </c>
      <c r="C13" t="str">
        <f t="array" ref="C13">_xlfn.IFS(ISNUMBER(SEARCH("G",pudhur[[#This Row],[JANUARY]])),"G",ISNUMBER(SEARCH("A",pudhur[[#This Row],[JANUARY]])),"A",pudhur[[#This Row],[JANUARY]]="","",pudhur[[#This Row],[JANUARY]]&gt;=100,"P")</f>
        <v>P</v>
      </c>
      <c r="D13" t="s">
        <v>30</v>
      </c>
      <c r="E13" s="85" t="s">
        <v>1928</v>
      </c>
      <c r="F13" s="85" t="s">
        <v>1929</v>
      </c>
      <c r="G13" s="85"/>
      <c r="H13" s="83">
        <v>200</v>
      </c>
      <c r="I13" s="83">
        <v>200</v>
      </c>
      <c r="S13" s="83"/>
      <c r="T13" s="83"/>
      <c r="U13" s="83"/>
      <c r="V13" s="84"/>
    </row>
    <row r="14" spans="1:22" x14ac:dyDescent="0.25">
      <c r="A14">
        <v>13</v>
      </c>
      <c r="B14" t="s">
        <v>1930</v>
      </c>
      <c r="C14" t="str">
        <f t="array" ref="C14">_xlfn.IFS(ISNUMBER(SEARCH("G",pudhur[[#This Row],[JANUARY]])),"G",ISNUMBER(SEARCH("A",pudhur[[#This Row],[JANUARY]])),"A",pudhur[[#This Row],[JANUARY]]="","",pudhur[[#This Row],[JANUARY]]&gt;=100,"P")</f>
        <v>P</v>
      </c>
      <c r="D14" t="s">
        <v>23</v>
      </c>
      <c r="E14" s="85" t="s">
        <v>1931</v>
      </c>
      <c r="F14" s="85" t="s">
        <v>1932</v>
      </c>
      <c r="G14" s="85"/>
      <c r="H14" s="83">
        <v>200</v>
      </c>
      <c r="I14" s="83">
        <v>200</v>
      </c>
      <c r="S14" s="83"/>
      <c r="T14" s="83"/>
      <c r="U14" s="83"/>
      <c r="V14" s="84"/>
    </row>
    <row r="15" spans="1:22" x14ac:dyDescent="0.25">
      <c r="A15">
        <v>14</v>
      </c>
      <c r="B15" t="s">
        <v>1933</v>
      </c>
      <c r="C15" t="str">
        <f t="array" ref="C15">_xlfn.IFS(ISNUMBER(SEARCH("G",pudhur[[#This Row],[JANUARY]])),"G",ISNUMBER(SEARCH("A",pudhur[[#This Row],[JANUARY]])),"A",pudhur[[#This Row],[JANUARY]]="","",pudhur[[#This Row],[JANUARY]]&gt;=100,"P")</f>
        <v>P</v>
      </c>
      <c r="D15" t="s">
        <v>36</v>
      </c>
      <c r="E15" s="85" t="s">
        <v>1934</v>
      </c>
      <c r="F15" s="85" t="s">
        <v>1935</v>
      </c>
      <c r="G15" s="85"/>
      <c r="H15" s="83">
        <v>200</v>
      </c>
      <c r="I15" s="83">
        <v>200</v>
      </c>
      <c r="S15" s="83"/>
      <c r="T15" s="83"/>
      <c r="U15" s="83"/>
      <c r="V15" s="84"/>
    </row>
    <row r="16" spans="1:22" x14ac:dyDescent="0.25">
      <c r="A16">
        <v>15</v>
      </c>
      <c r="B16" t="s">
        <v>653</v>
      </c>
      <c r="C16" t="str">
        <f t="array" ref="C16">_xlfn.IFS(ISNUMBER(SEARCH("G",pudhur[[#This Row],[JANUARY]])),"G",ISNUMBER(SEARCH("A",pudhur[[#This Row],[JANUARY]])),"A",pudhur[[#This Row],[JANUARY]]="","",pudhur[[#This Row],[JANUARY]]&gt;=100,"P")</f>
        <v>P</v>
      </c>
      <c r="D16" t="s">
        <v>707</v>
      </c>
      <c r="E16" s="85" t="s">
        <v>1936</v>
      </c>
      <c r="F16" s="85" t="s">
        <v>1937</v>
      </c>
      <c r="G16" s="85"/>
      <c r="H16" s="83">
        <v>200</v>
      </c>
      <c r="I16" s="83">
        <v>200</v>
      </c>
      <c r="S16" s="83"/>
      <c r="T16" s="83"/>
      <c r="U16" s="83"/>
      <c r="V16" s="84"/>
    </row>
    <row r="17" spans="1:22" x14ac:dyDescent="0.25">
      <c r="A17">
        <v>16</v>
      </c>
      <c r="B17" t="s">
        <v>954</v>
      </c>
      <c r="C17" t="str">
        <f t="array" ref="C17">_xlfn.IFS(ISNUMBER(SEARCH("G",pudhur[[#This Row],[JANUARY]])),"G",ISNUMBER(SEARCH("A",pudhur[[#This Row],[JANUARY]])),"A",pudhur[[#This Row],[JANUARY]]="","",pudhur[[#This Row],[JANUARY]]&gt;=100,"P")</f>
        <v>P</v>
      </c>
      <c r="D17" t="s">
        <v>51</v>
      </c>
      <c r="E17" s="85" t="s">
        <v>1938</v>
      </c>
      <c r="F17" s="85" t="s">
        <v>1939</v>
      </c>
      <c r="G17" s="85"/>
      <c r="H17" s="83">
        <v>200</v>
      </c>
      <c r="I17" s="83">
        <v>200</v>
      </c>
      <c r="S17" s="83"/>
      <c r="T17" s="83"/>
      <c r="U17" s="83"/>
      <c r="V17" s="84"/>
    </row>
    <row r="18" spans="1:22" x14ac:dyDescent="0.25">
      <c r="A18">
        <v>17</v>
      </c>
      <c r="B18" t="s">
        <v>1940</v>
      </c>
      <c r="C18" t="str">
        <f t="array" ref="C18">_xlfn.IFS(ISNUMBER(SEARCH("G",pudhur[[#This Row],[JANUARY]])),"G",ISNUMBER(SEARCH("A",pudhur[[#This Row],[JANUARY]])),"A",pudhur[[#This Row],[JANUARY]]="","",pudhur[[#This Row],[JANUARY]]&gt;=100,"P")</f>
        <v>P</v>
      </c>
      <c r="D18" t="s">
        <v>51</v>
      </c>
      <c r="E18" s="85" t="s">
        <v>1941</v>
      </c>
      <c r="F18" s="85" t="s">
        <v>1942</v>
      </c>
      <c r="G18" s="85"/>
      <c r="H18" s="83">
        <v>200</v>
      </c>
      <c r="I18" s="83">
        <v>200</v>
      </c>
      <c r="S18" s="83"/>
      <c r="T18" s="83"/>
      <c r="U18" s="83"/>
      <c r="V18" s="84"/>
    </row>
    <row r="19" spans="1:22" x14ac:dyDescent="0.25">
      <c r="A19">
        <v>18</v>
      </c>
      <c r="B19" t="s">
        <v>1943</v>
      </c>
      <c r="C19" t="str">
        <f t="array" ref="C19">_xlfn.IFS(ISNUMBER(SEARCH("G",pudhur[[#This Row],[JANUARY]])),"G",ISNUMBER(SEARCH("A",pudhur[[#This Row],[JANUARY]])),"A",pudhur[[#This Row],[JANUARY]]="","",pudhur[[#This Row],[JANUARY]]&gt;=100,"P")</f>
        <v>P</v>
      </c>
      <c r="D19" t="s">
        <v>30</v>
      </c>
      <c r="E19" s="85" t="s">
        <v>1944</v>
      </c>
      <c r="F19" s="85" t="s">
        <v>1945</v>
      </c>
      <c r="G19" s="85"/>
      <c r="H19" s="83">
        <v>200</v>
      </c>
      <c r="I19" s="83">
        <v>200</v>
      </c>
      <c r="S19" s="83"/>
      <c r="T19" s="83"/>
      <c r="U19" s="83"/>
      <c r="V19" s="84"/>
    </row>
    <row r="20" spans="1:22" x14ac:dyDescent="0.25">
      <c r="A20">
        <v>19</v>
      </c>
      <c r="B20" t="s">
        <v>1946</v>
      </c>
      <c r="C20" t="str">
        <f t="array" ref="C20">_xlfn.IFS(ISNUMBER(SEARCH("G",pudhur[[#This Row],[JANUARY]])),"G",ISNUMBER(SEARCH("A",pudhur[[#This Row],[JANUARY]])),"A",pudhur[[#This Row],[JANUARY]]="","",pudhur[[#This Row],[JANUARY]]&gt;=100,"P")</f>
        <v>P</v>
      </c>
      <c r="D20" t="s">
        <v>51</v>
      </c>
      <c r="E20" s="85" t="s">
        <v>1947</v>
      </c>
      <c r="F20" s="85" t="s">
        <v>1948</v>
      </c>
      <c r="G20" s="85"/>
      <c r="H20" s="83">
        <v>200</v>
      </c>
      <c r="I20" s="83">
        <v>200</v>
      </c>
      <c r="S20" s="83"/>
      <c r="T20" s="83"/>
      <c r="U20" s="83"/>
      <c r="V20" s="84"/>
    </row>
    <row r="21" spans="1:22" x14ac:dyDescent="0.25">
      <c r="A21">
        <v>20</v>
      </c>
      <c r="B21" t="s">
        <v>1266</v>
      </c>
      <c r="C21" t="str">
        <f t="array" ref="C21">_xlfn.IFS(ISNUMBER(SEARCH("G",pudhur[[#This Row],[JANUARY]])),"G",ISNUMBER(SEARCH("A",pudhur[[#This Row],[JANUARY]])),"A",pudhur[[#This Row],[JANUARY]]="","",pudhur[[#This Row],[JANUARY]]&gt;=100,"P")</f>
        <v>P</v>
      </c>
      <c r="D21" t="s">
        <v>51</v>
      </c>
      <c r="E21" s="85" t="s">
        <v>1949</v>
      </c>
      <c r="F21" s="85" t="s">
        <v>1950</v>
      </c>
      <c r="G21" s="85"/>
      <c r="H21" s="83">
        <v>200</v>
      </c>
      <c r="I21" s="83">
        <v>200</v>
      </c>
      <c r="S21" s="83"/>
      <c r="T21" s="83"/>
      <c r="U21" s="83"/>
      <c r="V21" s="84"/>
    </row>
    <row r="22" spans="1:22" s="91" customFormat="1" x14ac:dyDescent="0.25">
      <c r="A22" s="91">
        <v>21</v>
      </c>
      <c r="B22" s="91" t="s">
        <v>50</v>
      </c>
      <c r="C22" s="91" t="str">
        <f t="array" ref="C22">_xlfn.IFS(ISNUMBER(SEARCH("G",pudhur[[#This Row],[JANUARY]])),"G",ISNUMBER(SEARCH("A",pudhur[[#This Row],[JANUARY]])),"A",pudhur[[#This Row],[JANUARY]]="","",pudhur[[#This Row],[JANUARY]]&gt;=100,"P")</f>
        <v>P</v>
      </c>
      <c r="D22" s="91" t="s">
        <v>30</v>
      </c>
      <c r="E22" s="91" t="s">
        <v>1951</v>
      </c>
      <c r="F22" s="91" t="s">
        <v>1952</v>
      </c>
      <c r="H22" s="91" t="s">
        <v>1953</v>
      </c>
      <c r="I22" s="91" t="s">
        <v>97</v>
      </c>
    </row>
    <row r="23" spans="1:22" x14ac:dyDescent="0.25">
      <c r="A23">
        <v>22</v>
      </c>
      <c r="B23" t="s">
        <v>1954</v>
      </c>
      <c r="C23" t="str">
        <f t="array" ref="C23">_xlfn.IFS(ISNUMBER(SEARCH("G",pudhur[[#This Row],[JANUARY]])),"G",ISNUMBER(SEARCH("A",pudhur[[#This Row],[JANUARY]])),"A",pudhur[[#This Row],[JANUARY]]="","",pudhur[[#This Row],[JANUARY]]&gt;=100,"P")</f>
        <v>P</v>
      </c>
      <c r="D23" t="s">
        <v>51</v>
      </c>
      <c r="E23" s="85" t="s">
        <v>1955</v>
      </c>
      <c r="F23" s="85" t="s">
        <v>1956</v>
      </c>
      <c r="G23" s="85"/>
      <c r="I23" s="83" t="s">
        <v>1957</v>
      </c>
      <c r="S23" s="83"/>
      <c r="T23" s="83"/>
      <c r="U23" s="83"/>
      <c r="V23" s="84"/>
    </row>
    <row r="24" spans="1:22" x14ac:dyDescent="0.25">
      <c r="A24">
        <v>23</v>
      </c>
      <c r="B24" t="s">
        <v>39</v>
      </c>
      <c r="C24" t="str">
        <f t="array" ref="C24">_xlfn.IFS(ISNUMBER(SEARCH("G",pudhur[[#This Row],[JANUARY]])),"G",ISNUMBER(SEARCH("A",pudhur[[#This Row],[JANUARY]])),"A",pudhur[[#This Row],[JANUARY]]="","",pudhur[[#This Row],[JANUARY]]&gt;=100,"P")</f>
        <v>P</v>
      </c>
      <c r="D24" s="85" t="s">
        <v>51</v>
      </c>
      <c r="E24" s="85" t="s">
        <v>1958</v>
      </c>
      <c r="F24" s="85" t="s">
        <v>1959</v>
      </c>
      <c r="G24" s="85"/>
      <c r="H24" s="83">
        <v>200</v>
      </c>
      <c r="I24" s="83">
        <v>200</v>
      </c>
      <c r="S24" s="83"/>
      <c r="T24" s="83"/>
      <c r="U24" s="83"/>
      <c r="V24" s="84"/>
    </row>
    <row r="25" spans="1:22" x14ac:dyDescent="0.25">
      <c r="A25">
        <v>24</v>
      </c>
      <c r="B25" t="s">
        <v>1960</v>
      </c>
      <c r="C25" t="str">
        <f t="array" ref="C25">_xlfn.IFS(ISNUMBER(SEARCH("G",pudhur[[#This Row],[JANUARY]])),"G",ISNUMBER(SEARCH("A",pudhur[[#This Row],[JANUARY]])),"A",pudhur[[#This Row],[JANUARY]]="","",pudhur[[#This Row],[JANUARY]]&gt;=100,"P")</f>
        <v/>
      </c>
      <c r="E25" s="85" t="s">
        <v>1961</v>
      </c>
      <c r="F25" s="85" t="s">
        <v>1962</v>
      </c>
      <c r="G25" s="85"/>
      <c r="H25" s="83">
        <v>200</v>
      </c>
      <c r="S25" s="83"/>
      <c r="T25" s="83"/>
      <c r="U25" s="83"/>
      <c r="V25" s="84"/>
    </row>
    <row r="26" spans="1:22" s="22" customFormat="1" x14ac:dyDescent="0.25">
      <c r="B26" s="22" t="s">
        <v>164</v>
      </c>
      <c r="C26" s="22" t="str">
        <f t="array" ref="C26">_xlfn.IFS(ISNUMBER(SEARCH("G",pudhur[[#This Row],[JANUARY]])),"G",ISNUMBER(SEARCH("A",pudhur[[#This Row],[JANUARY]])),"A",pudhur[[#This Row],[JANUARY]]="","",pudhur[[#This Row],[JANUARY]]&gt;=100,"P")</f>
        <v/>
      </c>
      <c r="E26" s="22" t="s">
        <v>1963</v>
      </c>
      <c r="F26" s="22" t="s">
        <v>1964</v>
      </c>
    </row>
    <row r="27" spans="1:22" s="22" customFormat="1" x14ac:dyDescent="0.25">
      <c r="B27" s="22" t="s">
        <v>1965</v>
      </c>
      <c r="C27" s="22" t="str">
        <f t="array" ref="C27">_xlfn.IFS(ISNUMBER(SEARCH("G",pudhur[[#This Row],[JANUARY]])),"G",ISNUMBER(SEARCH("A",pudhur[[#This Row],[JANUARY]])),"A",pudhur[[#This Row],[JANUARY]]="","",pudhur[[#This Row],[JANUARY]]&gt;=100,"P")</f>
        <v/>
      </c>
      <c r="E27" s="22" t="s">
        <v>1966</v>
      </c>
      <c r="F27" s="22" t="s">
        <v>1967</v>
      </c>
    </row>
    <row r="28" spans="1:22" x14ac:dyDescent="0.25">
      <c r="A28" s="8" t="s">
        <v>246</v>
      </c>
      <c r="B28" s="8"/>
      <c r="C28" s="8">
        <f>COUNTIF(C2:C27, "&gt;=a")</f>
        <v>23</v>
      </c>
      <c r="D28" s="8">
        <f>SUBTOTAL(103,pudhur[Package])</f>
        <v>23</v>
      </c>
      <c r="E28" s="92">
        <f>SUBTOTAL(103,pudhur[Box No])</f>
        <v>26</v>
      </c>
      <c r="F28" s="8">
        <f>SUBTOTAL(103,pudhur[CAF_ID])</f>
        <v>26</v>
      </c>
      <c r="G28" s="8"/>
      <c r="H28" s="56">
        <f>SUBTOTAL(109,pudhur[DEC-20])</f>
        <v>4440</v>
      </c>
      <c r="I28" s="56">
        <f>SUBTOTAL(109,pudhur[JANUARY])</f>
        <v>4020</v>
      </c>
      <c r="J28" s="56">
        <f>SUBTOTAL(109,pudhur[FEBEUARY])</f>
        <v>0</v>
      </c>
      <c r="K28" s="56">
        <f>SUBTOTAL(109,pudhur[MARCH])</f>
        <v>0</v>
      </c>
      <c r="L28" s="56">
        <f>SUBTOTAL(109,pudhur[APRIL])</f>
        <v>0</v>
      </c>
      <c r="M28" s="56">
        <f>SUBTOTAL(109,pudhur[MAY])</f>
        <v>0</v>
      </c>
      <c r="N28" s="56">
        <f>SUBTOTAL(109,pudhur[JUNE])</f>
        <v>0</v>
      </c>
      <c r="O28" s="56">
        <f>SUBTOTAL(109,pudhur[JULY])</f>
        <v>0</v>
      </c>
      <c r="P28" s="56">
        <f>SUBTOTAL(109,pudhur[AUGUST])</f>
        <v>0</v>
      </c>
      <c r="Q28" s="56">
        <f>SUBTOTAL(109,pudhur[SEPTEMBER])</f>
        <v>0</v>
      </c>
      <c r="R28" s="56">
        <f>SUBTOTAL(109,pudhur[OCTOBER])</f>
        <v>0</v>
      </c>
      <c r="S28" s="56">
        <f>SUBTOTAL(109,pudhur[NOVEMBER])</f>
        <v>0</v>
      </c>
      <c r="T28" s="56"/>
      <c r="U28" s="56">
        <f>SUBTOTAL(109,pudhur[BALANCE])</f>
        <v>0</v>
      </c>
      <c r="V28" s="8"/>
    </row>
    <row r="30" spans="1:22" x14ac:dyDescent="0.25">
      <c r="B30" s="9" t="s">
        <v>247</v>
      </c>
      <c r="C30" s="19">
        <f>COUNTIF(C2:C26,"P")</f>
        <v>23</v>
      </c>
    </row>
    <row r="31" spans="1:22" x14ac:dyDescent="0.25">
      <c r="B31" s="18" t="s">
        <v>1968</v>
      </c>
      <c r="C31" s="23">
        <f>COUNTIF(C2:C25,"G")</f>
        <v>0</v>
      </c>
    </row>
    <row r="32" spans="1:22" x14ac:dyDescent="0.25">
      <c r="B32" s="10" t="s">
        <v>249</v>
      </c>
      <c r="C32" s="21">
        <f>COUNTIF(C2:C27,"A")</f>
        <v>0</v>
      </c>
    </row>
    <row r="33" spans="2:3" ht="15.75" customHeight="1" thickBot="1" x14ac:dyDescent="0.3">
      <c r="B33" s="17" t="s">
        <v>250</v>
      </c>
      <c r="C33" s="17">
        <f>SUM(C30:C32)</f>
        <v>23</v>
      </c>
    </row>
    <row r="34" spans="2:3" ht="15.75" customHeight="1" thickTop="1" x14ac:dyDescent="0.25"/>
    <row r="35" spans="2:3" ht="15.75" customHeight="1" x14ac:dyDescent="0.25"/>
  </sheetData>
  <conditionalFormatting sqref="B30">
    <cfRule type="dataBar" priority="1">
      <dataBar>
        <cfvo type="min"/>
        <cfvo type="max"/>
        <color rgb="FF63C384"/>
      </dataBar>
    </cfRule>
  </conditionalFormatting>
  <pageMargins left="0.25" right="0.25" top="0.75" bottom="0.75" header="0.3" footer="0.3"/>
  <pageSetup paperSize="8" orientation="landscape"/>
  <legacy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">
    <tabColor rgb="FF002060"/>
  </sheetPr>
  <dimension ref="A1:V17"/>
  <sheetViews>
    <sheetView zoomScale="130" zoomScaleNormal="130" workbookViewId="0">
      <selection activeCell="E15" sqref="E15"/>
    </sheetView>
  </sheetViews>
  <sheetFormatPr defaultColWidth="8.85546875" defaultRowHeight="15" x14ac:dyDescent="0.25"/>
  <cols>
    <col min="1" max="1" width="5.28515625" style="87" customWidth="1"/>
    <col min="2" max="2" width="22.7109375" style="87" customWidth="1"/>
    <col min="3" max="3" width="6.85546875" style="87" customWidth="1"/>
    <col min="4" max="4" width="28.42578125" style="87" customWidth="1"/>
    <col min="5" max="5" width="22.28515625" style="87" customWidth="1"/>
    <col min="6" max="6" width="12.42578125" style="87" customWidth="1"/>
    <col min="7" max="7" width="10" style="84" customWidth="1"/>
    <col min="8" max="18" width="10.28515625" style="83" customWidth="1"/>
    <col min="19" max="21" width="10.28515625" style="61" customWidth="1"/>
    <col min="22" max="76" width="8.85546875" style="87" customWidth="1"/>
    <col min="77" max="16384" width="8.85546875" style="87"/>
  </cols>
  <sheetData>
    <row r="1" spans="1:22" ht="1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3" t="s">
        <v>929</v>
      </c>
      <c r="I1" s="61" t="s">
        <v>9</v>
      </c>
      <c r="J1" s="61" t="s">
        <v>10</v>
      </c>
      <c r="K1" s="61" t="s">
        <v>11</v>
      </c>
      <c r="L1" s="61" t="s">
        <v>12</v>
      </c>
      <c r="M1" s="61" t="s">
        <v>13</v>
      </c>
      <c r="N1" s="61" t="s">
        <v>14</v>
      </c>
      <c r="O1" s="61" t="s">
        <v>15</v>
      </c>
      <c r="P1" s="61" t="s">
        <v>16</v>
      </c>
      <c r="Q1" s="61" t="s">
        <v>17</v>
      </c>
      <c r="R1" s="61" t="s">
        <v>18</v>
      </c>
      <c r="S1" s="61" t="s">
        <v>19</v>
      </c>
      <c r="T1" s="61" t="s">
        <v>20</v>
      </c>
      <c r="U1" s="61" t="s">
        <v>7</v>
      </c>
      <c r="V1" t="s">
        <v>21</v>
      </c>
    </row>
    <row r="2" spans="1:22" x14ac:dyDescent="0.25">
      <c r="A2">
        <v>1</v>
      </c>
      <c r="B2" t="s">
        <v>1969</v>
      </c>
      <c r="C2" t="str">
        <f t="array" ref="C2">_xlfn.IFS(ISNUMBER(SEARCH("G",sankark[[#This Row],[JANUARY]])),"G",ISNUMBER(SEARCH("A",sankark[[#This Row],[JANUARY]])),"A",sankark[[#This Row],[JANUARY]]="","",sankark[[#This Row],[JANUARY]]&gt;=100,"P")</f>
        <v>G</v>
      </c>
      <c r="D2" s="87" t="s">
        <v>2578</v>
      </c>
      <c r="E2" t="s">
        <v>1970</v>
      </c>
      <c r="F2" t="s">
        <v>1971</v>
      </c>
      <c r="H2" s="83">
        <v>200</v>
      </c>
      <c r="I2" s="83" t="s">
        <v>2070</v>
      </c>
      <c r="J2" s="83" t="s">
        <v>2566</v>
      </c>
      <c r="S2" s="83"/>
      <c r="T2" s="83"/>
      <c r="U2" s="83"/>
    </row>
    <row r="3" spans="1:22" x14ac:dyDescent="0.25">
      <c r="A3">
        <v>2</v>
      </c>
      <c r="B3" t="s">
        <v>1972</v>
      </c>
      <c r="C3" t="str">
        <f t="array" ref="C3">_xlfn.IFS(ISNUMBER(SEARCH("G",sankark[[#This Row],[JANUARY]])),"G",ISNUMBER(SEARCH("A",sankark[[#This Row],[JANUARY]])),"A",sankark[[#This Row],[JANUARY]]="","",sankark[[#This Row],[JANUARY]]&gt;=100,"P")</f>
        <v>P</v>
      </c>
      <c r="D3" t="s">
        <v>30</v>
      </c>
      <c r="E3" s="85" t="s">
        <v>1973</v>
      </c>
      <c r="F3" s="85" t="s">
        <v>1974</v>
      </c>
      <c r="G3" s="85"/>
      <c r="H3" s="83">
        <v>200</v>
      </c>
      <c r="I3" s="83">
        <v>200</v>
      </c>
      <c r="S3" s="83"/>
      <c r="T3" s="83"/>
      <c r="U3" s="83"/>
      <c r="V3" t="s">
        <v>1975</v>
      </c>
    </row>
    <row r="4" spans="1:22" x14ac:dyDescent="0.25">
      <c r="A4">
        <v>3</v>
      </c>
      <c r="B4" t="s">
        <v>1976</v>
      </c>
      <c r="C4" t="str">
        <f t="array" ref="C4">_xlfn.IFS(ISNUMBER(SEARCH("G",sankark[[#This Row],[JANUARY]])),"G",ISNUMBER(SEARCH("A",sankark[[#This Row],[JANUARY]])),"A",sankark[[#This Row],[JANUARY]]="","",sankark[[#This Row],[JANUARY]]&gt;=100,"P")</f>
        <v>P</v>
      </c>
      <c r="D4" t="s">
        <v>51</v>
      </c>
      <c r="E4" t="s">
        <v>1977</v>
      </c>
      <c r="F4" t="s">
        <v>1978</v>
      </c>
      <c r="H4" s="83">
        <v>200</v>
      </c>
      <c r="I4" s="83">
        <v>200</v>
      </c>
      <c r="S4" s="83"/>
      <c r="T4" s="83"/>
      <c r="U4" s="83"/>
    </row>
    <row r="5" spans="1:22" x14ac:dyDescent="0.25">
      <c r="A5">
        <v>4</v>
      </c>
      <c r="B5" t="s">
        <v>1979</v>
      </c>
      <c r="C5" t="str">
        <f t="array" ref="C5">_xlfn.IFS(ISNUMBER(SEARCH("G",sankark[[#This Row],[JANUARY]])),"G",ISNUMBER(SEARCH("A",sankark[[#This Row],[JANUARY]])),"A",sankark[[#This Row],[JANUARY]]="","",sankark[[#This Row],[JANUARY]]&gt;=100,"P")</f>
        <v>P</v>
      </c>
      <c r="D5" t="s">
        <v>23</v>
      </c>
      <c r="E5" t="s">
        <v>1980</v>
      </c>
      <c r="F5" t="s">
        <v>1981</v>
      </c>
      <c r="H5" s="83">
        <v>200</v>
      </c>
      <c r="I5" s="83">
        <v>200</v>
      </c>
      <c r="S5" s="83"/>
      <c r="T5" s="83"/>
      <c r="U5" s="83"/>
    </row>
    <row r="6" spans="1:22" x14ac:dyDescent="0.25">
      <c r="A6">
        <v>5</v>
      </c>
      <c r="B6" t="s">
        <v>713</v>
      </c>
      <c r="C6" t="str">
        <f t="array" ref="C6">_xlfn.IFS(ISNUMBER(SEARCH("G",sankark[[#This Row],[JANUARY]])),"G",ISNUMBER(SEARCH("A",sankark[[#This Row],[JANUARY]])),"A",sankark[[#This Row],[JANUARY]]="","",sankark[[#This Row],[JANUARY]]&gt;=100,"P")</f>
        <v>P</v>
      </c>
      <c r="D6" s="85" t="s">
        <v>30</v>
      </c>
      <c r="E6" s="85" t="s">
        <v>1982</v>
      </c>
      <c r="F6" s="85" t="s">
        <v>1983</v>
      </c>
      <c r="G6" s="85"/>
      <c r="H6" s="83">
        <v>200</v>
      </c>
      <c r="I6" s="83">
        <v>200</v>
      </c>
      <c r="S6" s="83"/>
      <c r="T6" s="83"/>
      <c r="U6" s="83"/>
    </row>
    <row r="7" spans="1:22" x14ac:dyDescent="0.25">
      <c r="A7">
        <v>6</v>
      </c>
      <c r="B7" t="s">
        <v>1720</v>
      </c>
      <c r="C7" t="str">
        <f t="array" ref="C7">_xlfn.IFS(ISNUMBER(SEARCH("G",sankark[[#This Row],[JANUARY]])),"G",ISNUMBER(SEARCH("A",sankark[[#This Row],[JANUARY]])),"A",sankark[[#This Row],[JANUARY]]="","",sankark[[#This Row],[JANUARY]]&gt;=100,"P")</f>
        <v>P</v>
      </c>
      <c r="D7" t="s">
        <v>23</v>
      </c>
      <c r="E7" t="s">
        <v>1984</v>
      </c>
      <c r="F7" t="s">
        <v>1985</v>
      </c>
      <c r="I7" s="83">
        <v>200</v>
      </c>
      <c r="S7" s="83"/>
      <c r="T7" s="83"/>
      <c r="U7" s="83"/>
    </row>
    <row r="8" spans="1:22" x14ac:dyDescent="0.25">
      <c r="A8">
        <v>7</v>
      </c>
      <c r="B8" t="s">
        <v>67</v>
      </c>
      <c r="C8" t="str">
        <f t="array" ref="C8">_xlfn.IFS(ISNUMBER(SEARCH("G",sankark[[#This Row],[JANUARY]])),"G",ISNUMBER(SEARCH("A",sankark[[#This Row],[JANUARY]])),"A",sankark[[#This Row],[JANUARY]]="","",sankark[[#This Row],[JANUARY]]&gt;=100,"P")</f>
        <v>P</v>
      </c>
      <c r="D8" t="s">
        <v>88</v>
      </c>
      <c r="E8" t="s">
        <v>1986</v>
      </c>
      <c r="F8" t="s">
        <v>1987</v>
      </c>
      <c r="H8" s="83" t="s">
        <v>1988</v>
      </c>
      <c r="I8" s="83" t="s">
        <v>1988</v>
      </c>
      <c r="S8" s="83"/>
      <c r="T8" s="83"/>
      <c r="U8" s="83"/>
    </row>
    <row r="9" spans="1:22" s="22" customFormat="1" x14ac:dyDescent="0.25">
      <c r="B9" s="22" t="s">
        <v>1989</v>
      </c>
      <c r="C9" s="22" t="str">
        <f t="array" ref="C9">_xlfn.IFS(ISNUMBER(SEARCH("G",sankark[[#This Row],[JANUARY]])),"G",ISNUMBER(SEARCH("A",sankark[[#This Row],[JANUARY]])),"A",sankark[[#This Row],[JANUARY]]="","",sankark[[#This Row],[JANUARY]]&gt;=100,"P")</f>
        <v/>
      </c>
      <c r="E9" s="22" t="s">
        <v>1990</v>
      </c>
      <c r="F9" s="22" t="s">
        <v>1991</v>
      </c>
    </row>
    <row r="10" spans="1:22" x14ac:dyDescent="0.25">
      <c r="A10" s="8" t="s">
        <v>246</v>
      </c>
      <c r="B10" s="8"/>
      <c r="C10" s="8">
        <f>COUNTIF(C2:C9, "&gt;=a")</f>
        <v>7</v>
      </c>
      <c r="D10" s="8">
        <f>SUBTOTAL(103,sankark[Package])</f>
        <v>7</v>
      </c>
      <c r="E10" s="8">
        <f>SUBTOTAL(103,sankark[Box No])</f>
        <v>8</v>
      </c>
      <c r="F10" s="8">
        <f>SUBTOTAL(103,sankark[CAF_ID])</f>
        <v>8</v>
      </c>
      <c r="G10" s="8"/>
      <c r="H10" s="56">
        <f>SUBTOTAL(109,sankark[DEC-20])</f>
        <v>1000</v>
      </c>
      <c r="I10" s="56">
        <f>SUBTOTAL(109,sankark[JANUARY])</f>
        <v>1000</v>
      </c>
      <c r="J10" s="56">
        <f>SUBTOTAL(109,sankark[FEBEUARY])</f>
        <v>0</v>
      </c>
      <c r="K10" s="56">
        <f>SUBTOTAL(109,sankark[MARCH])</f>
        <v>0</v>
      </c>
      <c r="L10" s="56">
        <f>SUBTOTAL(109,sankark[APRIL])</f>
        <v>0</v>
      </c>
      <c r="M10" s="56">
        <f>SUBTOTAL(109,sankark[MAY])</f>
        <v>0</v>
      </c>
      <c r="N10" s="56">
        <f>SUBTOTAL(109,sankark[JUNE])</f>
        <v>0</v>
      </c>
      <c r="O10" s="56">
        <f>SUBTOTAL(109,sankark[JULY])</f>
        <v>0</v>
      </c>
      <c r="P10" s="56">
        <f>SUBTOTAL(109,sankark[AUGUST])</f>
        <v>0</v>
      </c>
      <c r="Q10" s="56">
        <f>SUBTOTAL(109,sankark[SEPTEMBER])</f>
        <v>0</v>
      </c>
      <c r="R10" s="56">
        <f>SUBTOTAL(109,sankark[OCTOBER])</f>
        <v>0</v>
      </c>
      <c r="S10" s="56">
        <f>SUBTOTAL(109,sankark[NOVEMBER])</f>
        <v>0</v>
      </c>
      <c r="T10" s="56"/>
      <c r="U10" s="56">
        <f>SUBTOTAL(109,sankark[BALANCE])</f>
        <v>0</v>
      </c>
      <c r="V10" s="8"/>
    </row>
    <row r="11" spans="1:22" s="8" customFormat="1" x14ac:dyDescent="0.25">
      <c r="G11" s="84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40"/>
      <c r="T11" s="40"/>
      <c r="U11" s="40"/>
    </row>
    <row r="12" spans="1:22" x14ac:dyDescent="0.25">
      <c r="B12" s="9" t="s">
        <v>247</v>
      </c>
      <c r="C12" s="19">
        <f>COUNTIF(C2:C9,"P")</f>
        <v>6</v>
      </c>
    </row>
    <row r="13" spans="1:22" x14ac:dyDescent="0.25">
      <c r="B13" s="18" t="s">
        <v>1968</v>
      </c>
      <c r="C13" s="20">
        <f>COUNTIF(C2:C9,"G")</f>
        <v>1</v>
      </c>
    </row>
    <row r="14" spans="1:22" x14ac:dyDescent="0.25">
      <c r="B14" s="10" t="s">
        <v>249</v>
      </c>
      <c r="C14" s="21">
        <f>COUNTIF(C2:C9,"A")</f>
        <v>0</v>
      </c>
    </row>
    <row r="15" spans="1:22" ht="15.75" customHeight="1" thickBot="1" x14ac:dyDescent="0.3">
      <c r="B15" s="17" t="s">
        <v>250</v>
      </c>
      <c r="C15" s="17">
        <f>SUM(C12:C14)</f>
        <v>7</v>
      </c>
    </row>
    <row r="16" spans="1:22" ht="15.75" customHeight="1" thickTop="1" x14ac:dyDescent="0.25"/>
    <row r="17" ht="15.75" customHeight="1" x14ac:dyDescent="0.25"/>
  </sheetData>
  <conditionalFormatting sqref="B12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7">
    <tabColor rgb="FF002060"/>
  </sheetPr>
  <dimension ref="A1:V45"/>
  <sheetViews>
    <sheetView topLeftCell="A22" zoomScale="115" zoomScaleNormal="115" workbookViewId="0">
      <selection activeCell="H37" sqref="H37"/>
    </sheetView>
  </sheetViews>
  <sheetFormatPr defaultRowHeight="15" x14ac:dyDescent="0.25"/>
  <cols>
    <col min="1" max="1" width="5.140625" style="87" customWidth="1"/>
    <col min="2" max="2" width="25.85546875" style="85" customWidth="1"/>
    <col min="3" max="3" width="7.85546875" style="85" customWidth="1"/>
    <col min="4" max="4" width="29.7109375" style="85" customWidth="1"/>
    <col min="5" max="5" width="20.85546875" style="85" customWidth="1"/>
    <col min="6" max="6" width="11.7109375" style="84" bestFit="1" customWidth="1"/>
    <col min="7" max="7" width="11.7109375" style="88" customWidth="1"/>
    <col min="8" max="18" width="11.85546875" style="62" customWidth="1"/>
    <col min="19" max="20" width="11.85546875" style="61" customWidth="1"/>
    <col min="21" max="21" width="11.85546875" style="87" customWidth="1"/>
  </cols>
  <sheetData>
    <row r="1" spans="1:22" x14ac:dyDescent="0.25">
      <c r="A1" s="61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929</v>
      </c>
      <c r="I1" s="62" t="s">
        <v>9</v>
      </c>
      <c r="J1" s="62" t="s">
        <v>1992</v>
      </c>
      <c r="K1" s="62" t="s">
        <v>11</v>
      </c>
      <c r="L1" s="62" t="s">
        <v>12</v>
      </c>
      <c r="M1" s="62" t="s">
        <v>13</v>
      </c>
      <c r="N1" s="62" t="s">
        <v>14</v>
      </c>
      <c r="O1" s="62" t="s">
        <v>15</v>
      </c>
      <c r="P1" s="62" t="s">
        <v>16</v>
      </c>
      <c r="Q1" s="62" t="s">
        <v>17</v>
      </c>
      <c r="R1" s="62" t="s">
        <v>18</v>
      </c>
      <c r="S1" s="62" t="s">
        <v>19</v>
      </c>
      <c r="T1" s="62" t="s">
        <v>20</v>
      </c>
      <c r="U1" s="62" t="s">
        <v>1993</v>
      </c>
      <c r="V1" s="13" t="s">
        <v>21</v>
      </c>
    </row>
    <row r="2" spans="1:22" x14ac:dyDescent="0.25">
      <c r="A2">
        <v>1</v>
      </c>
      <c r="B2" s="85" t="s">
        <v>948</v>
      </c>
      <c r="C2" t="str">
        <f t="array" ref="C2">_xlfn.IFS(ISNUMBER(SEARCH("G",kamarajnagar[[#This Row],[JANUARY]])),"G",ISNUMBER(SEARCH("A",kamarajnagar[[#This Row],[JANUARY]])),"A",kamarajnagar[[#This Row],[JANUARY]]="","",kamarajnagar[[#This Row],[JANUARY]]&gt;=100,"P")</f>
        <v>P</v>
      </c>
      <c r="D2" t="s">
        <v>36</v>
      </c>
      <c r="E2" s="85" t="s">
        <v>1994</v>
      </c>
      <c r="F2" s="85" t="s">
        <v>1995</v>
      </c>
      <c r="G2" s="85"/>
      <c r="H2" s="62">
        <v>200</v>
      </c>
      <c r="I2" s="62">
        <v>200</v>
      </c>
      <c r="S2" s="62"/>
      <c r="T2" s="62"/>
      <c r="U2" s="88"/>
      <c r="V2" s="85"/>
    </row>
    <row r="3" spans="1:22" x14ac:dyDescent="0.25">
      <c r="A3">
        <v>2</v>
      </c>
      <c r="B3" s="85" t="s">
        <v>1996</v>
      </c>
      <c r="C3" t="str">
        <f t="array" ref="C3">_xlfn.IFS(ISNUMBER(SEARCH("G",kamarajnagar[[#This Row],[JANUARY]])),"G",ISNUMBER(SEARCH("A",kamarajnagar[[#This Row],[JANUARY]])),"A",kamarajnagar[[#This Row],[JANUARY]]="","",kamarajnagar[[#This Row],[JANUARY]]&gt;=100,"P")</f>
        <v>P</v>
      </c>
      <c r="D3" t="s">
        <v>36</v>
      </c>
      <c r="E3" s="85" t="s">
        <v>1997</v>
      </c>
      <c r="F3" s="85" t="s">
        <v>1998</v>
      </c>
      <c r="G3" s="85"/>
      <c r="H3" s="62">
        <v>200</v>
      </c>
      <c r="I3" s="62">
        <v>200</v>
      </c>
      <c r="S3" s="62"/>
      <c r="T3" s="62"/>
      <c r="U3" s="88"/>
      <c r="V3" s="85"/>
    </row>
    <row r="4" spans="1:22" x14ac:dyDescent="0.25">
      <c r="A4">
        <v>3</v>
      </c>
      <c r="B4" s="85" t="s">
        <v>1999</v>
      </c>
      <c r="C4" t="str">
        <f t="array" ref="C4">_xlfn.IFS(ISNUMBER(SEARCH("G",kamarajnagar[[#This Row],[JANUARY]])),"G",ISNUMBER(SEARCH("A",kamarajnagar[[#This Row],[JANUARY]])),"A",kamarajnagar[[#This Row],[JANUARY]]="","",kamarajnagar[[#This Row],[JANUARY]]&gt;=100,"P")</f>
        <v>P</v>
      </c>
      <c r="D4" t="s">
        <v>23</v>
      </c>
      <c r="E4" s="85" t="s">
        <v>2000</v>
      </c>
      <c r="F4" s="85" t="s">
        <v>2001</v>
      </c>
      <c r="G4" s="85"/>
      <c r="H4" s="62">
        <v>200</v>
      </c>
      <c r="I4" s="62">
        <v>200</v>
      </c>
      <c r="S4" s="62"/>
      <c r="T4" s="62"/>
      <c r="U4" s="88"/>
      <c r="V4" s="85"/>
    </row>
    <row r="5" spans="1:22" x14ac:dyDescent="0.25">
      <c r="A5">
        <v>4</v>
      </c>
      <c r="B5" s="85" t="s">
        <v>2002</v>
      </c>
      <c r="C5" t="str">
        <f t="array" ref="C5">_xlfn.IFS(ISNUMBER(SEARCH("G",kamarajnagar[[#This Row],[JANUARY]])),"G",ISNUMBER(SEARCH("A",kamarajnagar[[#This Row],[JANUARY]])),"A",kamarajnagar[[#This Row],[JANUARY]]="","",kamarajnagar[[#This Row],[JANUARY]]&gt;=100,"P")</f>
        <v>P</v>
      </c>
      <c r="D5" t="s">
        <v>51</v>
      </c>
      <c r="E5" s="85" t="s">
        <v>2003</v>
      </c>
      <c r="F5" s="85" t="s">
        <v>2004</v>
      </c>
      <c r="G5" s="85"/>
      <c r="H5" s="62">
        <v>200</v>
      </c>
      <c r="I5" s="62">
        <v>200</v>
      </c>
      <c r="S5" s="62"/>
      <c r="T5" s="62"/>
      <c r="U5" s="88"/>
      <c r="V5" s="85"/>
    </row>
    <row r="6" spans="1:22" x14ac:dyDescent="0.25">
      <c r="A6">
        <v>5</v>
      </c>
      <c r="B6" s="85" t="s">
        <v>2005</v>
      </c>
      <c r="C6" t="str">
        <f t="array" ref="C6">_xlfn.IFS(ISNUMBER(SEARCH("G",kamarajnagar[[#This Row],[JANUARY]])),"G",ISNUMBER(SEARCH("A",kamarajnagar[[#This Row],[JANUARY]])),"A",kamarajnagar[[#This Row],[JANUARY]]="","",kamarajnagar[[#This Row],[JANUARY]]&gt;=100,"P")</f>
        <v>P</v>
      </c>
      <c r="D6" t="s">
        <v>36</v>
      </c>
      <c r="E6" s="85" t="s">
        <v>2006</v>
      </c>
      <c r="F6" s="85" t="s">
        <v>2007</v>
      </c>
      <c r="G6" s="85"/>
      <c r="H6" s="62">
        <v>200</v>
      </c>
      <c r="I6" s="62">
        <v>200</v>
      </c>
      <c r="S6" s="62"/>
      <c r="T6" s="62"/>
      <c r="U6" s="88"/>
      <c r="V6" s="85"/>
    </row>
    <row r="7" spans="1:22" x14ac:dyDescent="0.25">
      <c r="A7">
        <v>6</v>
      </c>
      <c r="B7" s="85" t="s">
        <v>2008</v>
      </c>
      <c r="C7" t="str">
        <f t="array" ref="C7">_xlfn.IFS(ISNUMBER(SEARCH("G",kamarajnagar[[#This Row],[JANUARY]])),"G",ISNUMBER(SEARCH("A",kamarajnagar[[#This Row],[JANUARY]])),"A",kamarajnagar[[#This Row],[JANUARY]]="","",kamarajnagar[[#This Row],[JANUARY]]&gt;=100,"P")</f>
        <v>P</v>
      </c>
      <c r="D7" t="s">
        <v>30</v>
      </c>
      <c r="E7" s="85" t="s">
        <v>2009</v>
      </c>
      <c r="F7" s="85" t="s">
        <v>2010</v>
      </c>
      <c r="G7" s="85"/>
      <c r="H7" s="62">
        <v>200</v>
      </c>
      <c r="I7" s="62">
        <v>200</v>
      </c>
      <c r="S7" s="62"/>
      <c r="T7" s="62"/>
      <c r="U7" s="88"/>
      <c r="V7" s="85"/>
    </row>
    <row r="8" spans="1:22" x14ac:dyDescent="0.25">
      <c r="A8">
        <v>7</v>
      </c>
      <c r="B8" s="85" t="s">
        <v>2011</v>
      </c>
      <c r="C8" t="str">
        <f t="array" ref="C8">_xlfn.IFS(ISNUMBER(SEARCH("G",kamarajnagar[[#This Row],[JANUARY]])),"G",ISNUMBER(SEARCH("A",kamarajnagar[[#This Row],[JANUARY]])),"A",kamarajnagar[[#This Row],[JANUARY]]="","",kamarajnagar[[#This Row],[JANUARY]]&gt;=100,"P")</f>
        <v>P</v>
      </c>
      <c r="D8" t="s">
        <v>30</v>
      </c>
      <c r="E8" s="85" t="s">
        <v>2012</v>
      </c>
      <c r="F8" s="85" t="s">
        <v>2013</v>
      </c>
      <c r="G8" s="85"/>
      <c r="H8" s="62">
        <v>200</v>
      </c>
      <c r="I8" s="62">
        <v>200</v>
      </c>
      <c r="S8" s="62"/>
      <c r="T8" s="62"/>
      <c r="U8" s="88"/>
      <c r="V8" s="85"/>
    </row>
    <row r="9" spans="1:22" x14ac:dyDescent="0.25">
      <c r="A9">
        <v>8</v>
      </c>
      <c r="B9" s="85" t="s">
        <v>2014</v>
      </c>
      <c r="C9" t="str">
        <f t="array" ref="C9">_xlfn.IFS(ISNUMBER(SEARCH("G",kamarajnagar[[#This Row],[JANUARY]])),"G",ISNUMBER(SEARCH("A",kamarajnagar[[#This Row],[JANUARY]])),"A",kamarajnagar[[#This Row],[JANUARY]]="","",kamarajnagar[[#This Row],[JANUARY]]&gt;=100,"P")</f>
        <v>P</v>
      </c>
      <c r="D9" t="s">
        <v>36</v>
      </c>
      <c r="E9" s="85" t="s">
        <v>2015</v>
      </c>
      <c r="F9" s="85" t="s">
        <v>2016</v>
      </c>
      <c r="G9" s="85"/>
      <c r="H9" s="62">
        <v>200</v>
      </c>
      <c r="I9" s="62">
        <v>200</v>
      </c>
      <c r="S9" s="62"/>
      <c r="T9" s="62"/>
      <c r="U9" s="88"/>
      <c r="V9" s="85"/>
    </row>
    <row r="10" spans="1:22" x14ac:dyDescent="0.25">
      <c r="A10">
        <v>9</v>
      </c>
      <c r="B10" s="85" t="s">
        <v>2017</v>
      </c>
      <c r="C10" t="str">
        <f t="array" ref="C10">_xlfn.IFS(ISNUMBER(SEARCH("G",kamarajnagar[[#This Row],[JANUARY]])),"G",ISNUMBER(SEARCH("A",kamarajnagar[[#This Row],[JANUARY]])),"A",kamarajnagar[[#This Row],[JANUARY]]="","",kamarajnagar[[#This Row],[JANUARY]]&gt;=100,"P")</f>
        <v>P</v>
      </c>
      <c r="D10" t="s">
        <v>30</v>
      </c>
      <c r="E10" s="85" t="s">
        <v>2018</v>
      </c>
      <c r="F10" s="85" t="s">
        <v>2019</v>
      </c>
      <c r="G10" s="85"/>
      <c r="H10" s="62">
        <v>200</v>
      </c>
      <c r="I10" s="62">
        <v>200</v>
      </c>
      <c r="S10" s="62"/>
      <c r="T10" s="62"/>
      <c r="U10" s="88"/>
      <c r="V10" s="85"/>
    </row>
    <row r="11" spans="1:22" x14ac:dyDescent="0.25">
      <c r="A11">
        <v>10</v>
      </c>
      <c r="B11" s="85" t="s">
        <v>2020</v>
      </c>
      <c r="C11" t="str">
        <f t="array" ref="C11">_xlfn.IFS(ISNUMBER(SEARCH("G",kamarajnagar[[#This Row],[JANUARY]])),"G",ISNUMBER(SEARCH("A",kamarajnagar[[#This Row],[JANUARY]])),"A",kamarajnagar[[#This Row],[JANUARY]]="","",kamarajnagar[[#This Row],[JANUARY]]&gt;=100,"P")</f>
        <v>P</v>
      </c>
      <c r="D11" t="s">
        <v>51</v>
      </c>
      <c r="E11" s="85" t="s">
        <v>2021</v>
      </c>
      <c r="F11" s="85" t="s">
        <v>2022</v>
      </c>
      <c r="G11" s="85"/>
      <c r="H11" s="62">
        <v>200</v>
      </c>
      <c r="I11" s="62">
        <v>200</v>
      </c>
      <c r="S11" s="62"/>
      <c r="T11" s="62"/>
      <c r="U11" s="88"/>
      <c r="V11" s="85"/>
    </row>
    <row r="12" spans="1:22" x14ac:dyDescent="0.25">
      <c r="A12">
        <v>11</v>
      </c>
      <c r="B12" s="85" t="s">
        <v>1717</v>
      </c>
      <c r="C12" t="str">
        <f t="array" ref="C12">_xlfn.IFS(ISNUMBER(SEARCH("G",kamarajnagar[[#This Row],[JANUARY]])),"G",ISNUMBER(SEARCH("A",kamarajnagar[[#This Row],[JANUARY]])),"A",kamarajnagar[[#This Row],[JANUARY]]="","",kamarajnagar[[#This Row],[JANUARY]]&gt;=100,"P")</f>
        <v>P</v>
      </c>
      <c r="D12" t="s">
        <v>51</v>
      </c>
      <c r="E12" s="85" t="s">
        <v>2023</v>
      </c>
      <c r="F12" s="85" t="s">
        <v>2024</v>
      </c>
      <c r="G12" s="85"/>
      <c r="H12" s="62">
        <v>200</v>
      </c>
      <c r="I12" s="62">
        <v>200</v>
      </c>
      <c r="S12" s="62"/>
      <c r="T12" s="62"/>
      <c r="U12" s="88"/>
      <c r="V12" s="85"/>
    </row>
    <row r="13" spans="1:22" x14ac:dyDescent="0.25">
      <c r="A13">
        <v>12</v>
      </c>
      <c r="B13" s="85" t="s">
        <v>2025</v>
      </c>
      <c r="C13" t="str">
        <f t="array" ref="C13">_xlfn.IFS(ISNUMBER(SEARCH("G",kamarajnagar[[#This Row],[JANUARY]])),"G",ISNUMBER(SEARCH("A",kamarajnagar[[#This Row],[JANUARY]])),"A",kamarajnagar[[#This Row],[JANUARY]]="","",kamarajnagar[[#This Row],[JANUARY]]&gt;=100,"P")</f>
        <v>P</v>
      </c>
      <c r="D13" t="s">
        <v>36</v>
      </c>
      <c r="E13" s="85" t="s">
        <v>2026</v>
      </c>
      <c r="F13" s="85" t="s">
        <v>2027</v>
      </c>
      <c r="G13" s="85"/>
      <c r="H13" s="62">
        <v>200</v>
      </c>
      <c r="I13" s="62">
        <v>200</v>
      </c>
      <c r="S13" s="62"/>
      <c r="T13" s="62"/>
      <c r="U13" s="88"/>
      <c r="V13" s="85"/>
    </row>
    <row r="14" spans="1:22" x14ac:dyDescent="0.25">
      <c r="A14">
        <v>13</v>
      </c>
      <c r="B14" s="85" t="s">
        <v>2028</v>
      </c>
      <c r="C14" t="str">
        <f t="array" ref="C14">_xlfn.IFS(ISNUMBER(SEARCH("G",kamarajnagar[[#This Row],[JANUARY]])),"G",ISNUMBER(SEARCH("A",kamarajnagar[[#This Row],[JANUARY]])),"A",kamarajnagar[[#This Row],[JANUARY]]="","",kamarajnagar[[#This Row],[JANUARY]]&gt;=100,"P")</f>
        <v>P</v>
      </c>
      <c r="D14" t="s">
        <v>30</v>
      </c>
      <c r="E14" s="85" t="s">
        <v>2029</v>
      </c>
      <c r="F14" s="85" t="s">
        <v>2030</v>
      </c>
      <c r="G14" s="85"/>
      <c r="H14" s="62">
        <v>200</v>
      </c>
      <c r="I14" s="62">
        <v>200</v>
      </c>
      <c r="S14" s="62"/>
      <c r="T14" s="62"/>
      <c r="U14" s="88"/>
      <c r="V14" s="85"/>
    </row>
    <row r="15" spans="1:22" x14ac:dyDescent="0.25">
      <c r="A15">
        <v>14</v>
      </c>
      <c r="B15" s="85" t="s">
        <v>2031</v>
      </c>
      <c r="C15" t="str">
        <f t="array" ref="C15">_xlfn.IFS(ISNUMBER(SEARCH("G",kamarajnagar[[#This Row],[JANUARY]])),"G",ISNUMBER(SEARCH("A",kamarajnagar[[#This Row],[JANUARY]])),"A",kamarajnagar[[#This Row],[JANUARY]]="","",kamarajnagar[[#This Row],[JANUARY]]&gt;=100,"P")</f>
        <v>P</v>
      </c>
      <c r="D15" t="s">
        <v>30</v>
      </c>
      <c r="E15" s="85" t="s">
        <v>2032</v>
      </c>
      <c r="F15" s="85" t="s">
        <v>2033</v>
      </c>
      <c r="G15" s="85"/>
      <c r="H15" s="62">
        <v>200</v>
      </c>
      <c r="I15" s="62">
        <v>200</v>
      </c>
      <c r="S15" s="62"/>
      <c r="T15" s="62"/>
      <c r="U15" s="88"/>
      <c r="V15" s="85"/>
    </row>
    <row r="16" spans="1:22" x14ac:dyDescent="0.25">
      <c r="A16">
        <v>15</v>
      </c>
      <c r="B16" s="85" t="s">
        <v>2034</v>
      </c>
      <c r="C16" t="str">
        <f t="array" ref="C16">_xlfn.IFS(ISNUMBER(SEARCH("G",kamarajnagar[[#This Row],[JANUARY]])),"G",ISNUMBER(SEARCH("A",kamarajnagar[[#This Row],[JANUARY]])),"A",kamarajnagar[[#This Row],[JANUARY]]="","",kamarajnagar[[#This Row],[JANUARY]]&gt;=100,"P")</f>
        <v>P</v>
      </c>
      <c r="D16" t="s">
        <v>30</v>
      </c>
      <c r="E16" s="85" t="s">
        <v>2035</v>
      </c>
      <c r="F16" s="85" t="s">
        <v>2036</v>
      </c>
      <c r="G16" s="85"/>
      <c r="H16" s="62">
        <v>200</v>
      </c>
      <c r="I16" s="62">
        <v>200</v>
      </c>
      <c r="S16" s="62"/>
      <c r="T16" s="62"/>
      <c r="U16" s="88"/>
      <c r="V16" s="85"/>
    </row>
    <row r="17" spans="1:22" x14ac:dyDescent="0.25">
      <c r="A17">
        <v>16</v>
      </c>
      <c r="B17" s="85" t="s">
        <v>2037</v>
      </c>
      <c r="C17" t="str">
        <f t="array" ref="C17">_xlfn.IFS(ISNUMBER(SEARCH("G",kamarajnagar[[#This Row],[JANUARY]])),"G",ISNUMBER(SEARCH("A",kamarajnagar[[#This Row],[JANUARY]])),"A",kamarajnagar[[#This Row],[JANUARY]]="","",kamarajnagar[[#This Row],[JANUARY]]&gt;=100,"P")</f>
        <v>P</v>
      </c>
      <c r="D17" t="s">
        <v>30</v>
      </c>
      <c r="E17" s="85" t="s">
        <v>2038</v>
      </c>
      <c r="F17" s="85" t="s">
        <v>2039</v>
      </c>
      <c r="G17" s="85"/>
      <c r="H17" s="62">
        <v>200</v>
      </c>
      <c r="I17" s="62">
        <v>200</v>
      </c>
      <c r="S17" s="62"/>
      <c r="T17" s="62"/>
      <c r="U17" s="88"/>
      <c r="V17" s="85"/>
    </row>
    <row r="18" spans="1:22" x14ac:dyDescent="0.25">
      <c r="A18">
        <v>17</v>
      </c>
      <c r="B18" s="85" t="s">
        <v>2040</v>
      </c>
      <c r="C18" t="str">
        <f t="array" ref="C18">_xlfn.IFS(ISNUMBER(SEARCH("G",kamarajnagar[[#This Row],[JANUARY]])),"G",ISNUMBER(SEARCH("A",kamarajnagar[[#This Row],[JANUARY]])),"A",kamarajnagar[[#This Row],[JANUARY]]="","",kamarajnagar[[#This Row],[JANUARY]]&gt;=100,"P")</f>
        <v>P</v>
      </c>
      <c r="D18" t="s">
        <v>30</v>
      </c>
      <c r="E18" s="85" t="s">
        <v>2041</v>
      </c>
      <c r="F18" s="85" t="s">
        <v>2042</v>
      </c>
      <c r="G18" s="85"/>
      <c r="H18" s="62">
        <v>200</v>
      </c>
      <c r="I18" s="62">
        <v>200</v>
      </c>
      <c r="S18" s="62"/>
      <c r="T18" s="62"/>
      <c r="U18" s="88"/>
      <c r="V18" s="85"/>
    </row>
    <row r="19" spans="1:22" x14ac:dyDescent="0.25">
      <c r="A19">
        <v>18</v>
      </c>
      <c r="B19" s="85" t="s">
        <v>373</v>
      </c>
      <c r="C19" t="str">
        <f t="array" ref="C19">_xlfn.IFS(ISNUMBER(SEARCH("G",kamarajnagar[[#This Row],[JANUARY]])),"G",ISNUMBER(SEARCH("A",kamarajnagar[[#This Row],[JANUARY]])),"A",kamarajnagar[[#This Row],[JANUARY]]="","",kamarajnagar[[#This Row],[JANUARY]]&gt;=100,"P")</f>
        <v>P</v>
      </c>
      <c r="D19" t="s">
        <v>51</v>
      </c>
      <c r="E19" s="85" t="s">
        <v>2043</v>
      </c>
      <c r="F19" s="85" t="s">
        <v>2044</v>
      </c>
      <c r="G19" s="85"/>
      <c r="H19" s="62">
        <v>200</v>
      </c>
      <c r="I19" s="62">
        <v>200</v>
      </c>
      <c r="S19" s="62"/>
      <c r="T19" s="62"/>
      <c r="U19" s="88"/>
      <c r="V19" s="85"/>
    </row>
    <row r="20" spans="1:22" x14ac:dyDescent="0.25">
      <c r="A20">
        <v>19</v>
      </c>
      <c r="B20" s="85" t="s">
        <v>507</v>
      </c>
      <c r="C20" t="str">
        <f t="array" ref="C20">_xlfn.IFS(ISNUMBER(SEARCH("G",kamarajnagar[[#This Row],[JANUARY]])),"G",ISNUMBER(SEARCH("A",kamarajnagar[[#This Row],[JANUARY]])),"A",kamarajnagar[[#This Row],[JANUARY]]="","",kamarajnagar[[#This Row],[JANUARY]]&gt;=100,"P")</f>
        <v>P</v>
      </c>
      <c r="D20" t="s">
        <v>51</v>
      </c>
      <c r="E20" s="85" t="s">
        <v>2045</v>
      </c>
      <c r="F20" s="85" t="s">
        <v>2046</v>
      </c>
      <c r="G20" s="85"/>
      <c r="H20" s="62">
        <v>200</v>
      </c>
      <c r="I20" s="62">
        <v>200</v>
      </c>
      <c r="S20" s="62"/>
      <c r="T20" s="62"/>
      <c r="U20" s="88"/>
      <c r="V20" s="85"/>
    </row>
    <row r="21" spans="1:22" x14ac:dyDescent="0.25">
      <c r="A21">
        <v>20</v>
      </c>
      <c r="B21" s="85" t="s">
        <v>2047</v>
      </c>
      <c r="C21" t="str">
        <f t="array" ref="C21">_xlfn.IFS(ISNUMBER(SEARCH("G",kamarajnagar[[#This Row],[JANUARY]])),"G",ISNUMBER(SEARCH("A",kamarajnagar[[#This Row],[JANUARY]])),"A",kamarajnagar[[#This Row],[JANUARY]]="","",kamarajnagar[[#This Row],[JANUARY]]&gt;=100,"P")</f>
        <v>P</v>
      </c>
      <c r="D21" t="s">
        <v>23</v>
      </c>
      <c r="E21" s="85" t="s">
        <v>2048</v>
      </c>
      <c r="F21" s="85" t="s">
        <v>2049</v>
      </c>
      <c r="G21" s="85"/>
      <c r="H21" s="62">
        <v>150</v>
      </c>
      <c r="I21" s="62">
        <v>150</v>
      </c>
      <c r="S21" s="62"/>
      <c r="T21" s="62"/>
      <c r="U21" s="88"/>
      <c r="V21" s="85"/>
    </row>
    <row r="22" spans="1:22" x14ac:dyDescent="0.25">
      <c r="A22">
        <v>21</v>
      </c>
      <c r="B22" s="85" t="s">
        <v>2050</v>
      </c>
      <c r="C22" t="str">
        <f t="array" ref="C22">_xlfn.IFS(ISNUMBER(SEARCH("G",kamarajnagar[[#This Row],[JANUARY]])),"G",ISNUMBER(SEARCH("A",kamarajnagar[[#This Row],[JANUARY]])),"A",kamarajnagar[[#This Row],[JANUARY]]="","",kamarajnagar[[#This Row],[JANUARY]]&gt;=100,"P")</f>
        <v>P</v>
      </c>
      <c r="D22" t="s">
        <v>30</v>
      </c>
      <c r="E22" s="85" t="s">
        <v>2051</v>
      </c>
      <c r="F22" s="85" t="s">
        <v>2052</v>
      </c>
      <c r="G22" s="85"/>
      <c r="H22" s="62">
        <v>200</v>
      </c>
      <c r="I22" s="62">
        <v>200</v>
      </c>
      <c r="S22" s="62"/>
      <c r="T22" s="62"/>
      <c r="U22" s="88"/>
      <c r="V22" s="85"/>
    </row>
    <row r="23" spans="1:22" x14ac:dyDescent="0.25">
      <c r="A23">
        <v>22</v>
      </c>
      <c r="B23" s="85" t="s">
        <v>2053</v>
      </c>
      <c r="C23" t="str">
        <f t="array" ref="C23">_xlfn.IFS(ISNUMBER(SEARCH("G",kamarajnagar[[#This Row],[JANUARY]])),"G",ISNUMBER(SEARCH("A",kamarajnagar[[#This Row],[JANUARY]])),"A",kamarajnagar[[#This Row],[JANUARY]]="","",kamarajnagar[[#This Row],[JANUARY]]&gt;=100,"P")</f>
        <v>P</v>
      </c>
      <c r="D23" t="s">
        <v>36</v>
      </c>
      <c r="E23" s="85" t="s">
        <v>2054</v>
      </c>
      <c r="F23" s="85" t="s">
        <v>2055</v>
      </c>
      <c r="G23" s="85"/>
      <c r="H23" s="62">
        <v>200</v>
      </c>
      <c r="I23" s="62">
        <v>200</v>
      </c>
      <c r="S23" s="62"/>
      <c r="T23" s="62"/>
      <c r="U23" s="88"/>
      <c r="V23" s="85"/>
    </row>
    <row r="24" spans="1:22" x14ac:dyDescent="0.25">
      <c r="A24">
        <v>23</v>
      </c>
      <c r="B24" s="85" t="s">
        <v>706</v>
      </c>
      <c r="C24" t="str">
        <f t="array" ref="C24">_xlfn.IFS(ISNUMBER(SEARCH("G",kamarajnagar[[#This Row],[JANUARY]])),"G",ISNUMBER(SEARCH("A",kamarajnagar[[#This Row],[JANUARY]])),"A",kamarajnagar[[#This Row],[JANUARY]]="","",kamarajnagar[[#This Row],[JANUARY]]&gt;=100,"P")</f>
        <v>P</v>
      </c>
      <c r="D24" t="s">
        <v>30</v>
      </c>
      <c r="E24" s="85" t="s">
        <v>2056</v>
      </c>
      <c r="F24" s="85" t="s">
        <v>2057</v>
      </c>
      <c r="G24" s="85"/>
      <c r="H24" s="62">
        <v>200</v>
      </c>
      <c r="I24" s="62">
        <v>200</v>
      </c>
      <c r="S24" s="62"/>
      <c r="T24" s="62"/>
      <c r="U24" s="88"/>
      <c r="V24" s="85"/>
    </row>
    <row r="25" spans="1:22" x14ac:dyDescent="0.25">
      <c r="A25">
        <v>24</v>
      </c>
      <c r="B25" s="85" t="s">
        <v>2058</v>
      </c>
      <c r="C25" t="str">
        <f t="array" ref="C25">_xlfn.IFS(ISNUMBER(SEARCH("G",kamarajnagar[[#This Row],[JANUARY]])),"G",ISNUMBER(SEARCH("A",kamarajnagar[[#This Row],[JANUARY]])),"A",kamarajnagar[[#This Row],[JANUARY]]="","",kamarajnagar[[#This Row],[JANUARY]]&gt;=100,"P")</f>
        <v>P</v>
      </c>
      <c r="D25" t="s">
        <v>23</v>
      </c>
      <c r="E25" s="85" t="s">
        <v>2059</v>
      </c>
      <c r="F25" s="85" t="s">
        <v>2060</v>
      </c>
      <c r="G25" s="85"/>
      <c r="H25" s="62">
        <v>200</v>
      </c>
      <c r="I25" s="62">
        <v>200</v>
      </c>
      <c r="S25" s="62"/>
      <c r="T25" s="62"/>
      <c r="U25" s="88"/>
      <c r="V25" s="85"/>
    </row>
    <row r="26" spans="1:22" x14ac:dyDescent="0.25">
      <c r="A26">
        <v>25</v>
      </c>
      <c r="B26" s="85" t="s">
        <v>2061</v>
      </c>
      <c r="C26" t="str">
        <f t="array" ref="C26">_xlfn.IFS(ISNUMBER(SEARCH("G",kamarajnagar[[#This Row],[JANUARY]])),"G",ISNUMBER(SEARCH("A",kamarajnagar[[#This Row],[JANUARY]])),"A",kamarajnagar[[#This Row],[JANUARY]]="","",kamarajnagar[[#This Row],[JANUARY]]&gt;=100,"P")</f>
        <v>P</v>
      </c>
      <c r="D26" t="s">
        <v>23</v>
      </c>
      <c r="E26" s="85" t="s">
        <v>2062</v>
      </c>
      <c r="F26" s="85" t="s">
        <v>2063</v>
      </c>
      <c r="G26" s="85"/>
      <c r="H26" s="62">
        <v>200</v>
      </c>
      <c r="I26" s="62">
        <v>200</v>
      </c>
      <c r="S26" s="62"/>
      <c r="T26" s="62"/>
      <c r="U26" s="88"/>
      <c r="V26" s="85"/>
    </row>
    <row r="27" spans="1:22" x14ac:dyDescent="0.25">
      <c r="A27">
        <v>26</v>
      </c>
      <c r="B27" s="85" t="s">
        <v>2064</v>
      </c>
      <c r="C27" t="str">
        <f t="array" ref="C27">_xlfn.IFS(ISNUMBER(SEARCH("G",kamarajnagar[[#This Row],[JANUARY]])),"G",ISNUMBER(SEARCH("A",kamarajnagar[[#This Row],[JANUARY]])),"A",kamarajnagar[[#This Row],[JANUARY]]="","",kamarajnagar[[#This Row],[JANUARY]]&gt;=100,"P")</f>
        <v>P</v>
      </c>
      <c r="D27" t="s">
        <v>30</v>
      </c>
      <c r="E27" s="85" t="s">
        <v>2065</v>
      </c>
      <c r="F27" s="85" t="s">
        <v>2066</v>
      </c>
      <c r="G27" s="85"/>
      <c r="H27" s="62">
        <v>200</v>
      </c>
      <c r="I27" s="62">
        <v>200</v>
      </c>
      <c r="S27" s="62"/>
      <c r="T27" s="62"/>
      <c r="U27" s="88"/>
      <c r="V27" s="85"/>
    </row>
    <row r="28" spans="1:22" x14ac:dyDescent="0.25">
      <c r="A28">
        <v>27</v>
      </c>
      <c r="B28" s="85" t="s">
        <v>2067</v>
      </c>
      <c r="C28" t="str">
        <f t="array" ref="C28">_xlfn.IFS(ISNUMBER(SEARCH("G",kamarajnagar[[#This Row],[JANUARY]])),"G",ISNUMBER(SEARCH("A",kamarajnagar[[#This Row],[JANUARY]])),"A",kamarajnagar[[#This Row],[JANUARY]]="","",kamarajnagar[[#This Row],[JANUARY]]&gt;=100,"P")</f>
        <v>P</v>
      </c>
      <c r="D28" t="s">
        <v>23</v>
      </c>
      <c r="E28" s="85" t="s">
        <v>2068</v>
      </c>
      <c r="F28" s="85" t="s">
        <v>2069</v>
      </c>
      <c r="G28" s="85"/>
      <c r="H28" s="62" t="s">
        <v>2070</v>
      </c>
      <c r="I28" s="62">
        <v>200</v>
      </c>
      <c r="S28" s="62"/>
      <c r="T28" s="62"/>
      <c r="U28" s="88"/>
      <c r="V28" s="85"/>
    </row>
    <row r="29" spans="1:22" x14ac:dyDescent="0.25">
      <c r="A29">
        <v>28</v>
      </c>
      <c r="B29" s="85" t="s">
        <v>2071</v>
      </c>
      <c r="C29" t="str">
        <f t="array" ref="C29">_xlfn.IFS(ISNUMBER(SEARCH("G",kamarajnagar[[#This Row],[JANUARY]])),"G",ISNUMBER(SEARCH("A",kamarajnagar[[#This Row],[JANUARY]])),"A",kamarajnagar[[#This Row],[JANUARY]]="","",kamarajnagar[[#This Row],[JANUARY]]&gt;=100,"P")</f>
        <v>A</v>
      </c>
      <c r="D29" t="s">
        <v>30</v>
      </c>
      <c r="E29" s="85" t="s">
        <v>2072</v>
      </c>
      <c r="F29" s="85" t="s">
        <v>2073</v>
      </c>
      <c r="G29" s="85"/>
      <c r="H29" s="62" t="s">
        <v>45</v>
      </c>
      <c r="I29" s="62" t="s">
        <v>45</v>
      </c>
      <c r="S29" s="62"/>
      <c r="T29" s="62"/>
      <c r="U29" s="88"/>
      <c r="V29" s="85"/>
    </row>
    <row r="30" spans="1:22" x14ac:dyDescent="0.25">
      <c r="A30">
        <v>29</v>
      </c>
      <c r="B30" s="85" t="s">
        <v>2074</v>
      </c>
      <c r="C30" t="str">
        <f t="array" ref="C30">_xlfn.IFS(ISNUMBER(SEARCH("G",kamarajnagar[[#This Row],[JANUARY]])),"G",ISNUMBER(SEARCH("A",kamarajnagar[[#This Row],[JANUARY]])),"A",kamarajnagar[[#This Row],[JANUARY]]="","",kamarajnagar[[#This Row],[JANUARY]]&gt;=100,"P")</f>
        <v>G</v>
      </c>
      <c r="D30" t="s">
        <v>51</v>
      </c>
      <c r="E30" s="85" t="s">
        <v>2075</v>
      </c>
      <c r="F30" s="85" t="s">
        <v>2076</v>
      </c>
      <c r="G30" s="85"/>
      <c r="I30" s="62" t="s">
        <v>2077</v>
      </c>
      <c r="S30" s="62"/>
      <c r="T30" s="62"/>
      <c r="U30" s="88"/>
      <c r="V30" s="85"/>
    </row>
    <row r="31" spans="1:22" x14ac:dyDescent="0.25">
      <c r="A31">
        <v>30</v>
      </c>
      <c r="B31" s="85" t="s">
        <v>2078</v>
      </c>
      <c r="C31" t="str">
        <f t="array" ref="C31">_xlfn.IFS(ISNUMBER(SEARCH("G",kamarajnagar[[#This Row],[JANUARY]])),"G",ISNUMBER(SEARCH("A",kamarajnagar[[#This Row],[JANUARY]])),"A",kamarajnagar[[#This Row],[JANUARY]]="","",kamarajnagar[[#This Row],[JANUARY]]&gt;=100,"P")</f>
        <v>P</v>
      </c>
      <c r="D31" t="s">
        <v>23</v>
      </c>
      <c r="E31" s="85" t="s">
        <v>2079</v>
      </c>
      <c r="F31" s="85" t="s">
        <v>2080</v>
      </c>
      <c r="G31" s="85"/>
      <c r="H31" s="62" t="s">
        <v>2081</v>
      </c>
      <c r="I31" s="62" t="s">
        <v>2082</v>
      </c>
      <c r="S31" s="62"/>
      <c r="T31" s="62"/>
      <c r="U31" s="88"/>
      <c r="V31" s="85"/>
    </row>
    <row r="32" spans="1:22" x14ac:dyDescent="0.25">
      <c r="A32">
        <v>31</v>
      </c>
      <c r="B32" t="s">
        <v>628</v>
      </c>
      <c r="C32" t="str">
        <f t="array" ref="C32">_xlfn.IFS(ISNUMBER(SEARCH("G",kamarajnagar[[#This Row],[JANUARY]])),"G",ISNUMBER(SEARCH("A",kamarajnagar[[#This Row],[JANUARY]])),"A",kamarajnagar[[#This Row],[JANUARY]]="","",kamarajnagar[[#This Row],[JANUARY]]&gt;=100,"P")</f>
        <v>P</v>
      </c>
      <c r="D32" t="s">
        <v>576</v>
      </c>
      <c r="E32" s="85" t="s">
        <v>2083</v>
      </c>
      <c r="F32" s="85" t="s">
        <v>2084</v>
      </c>
      <c r="G32" s="85"/>
      <c r="H32" s="86">
        <v>200</v>
      </c>
      <c r="I32" s="86">
        <v>200</v>
      </c>
      <c r="S32" s="62"/>
      <c r="T32" s="62"/>
      <c r="U32" s="88"/>
      <c r="V32" s="85"/>
    </row>
    <row r="33" spans="1:22" x14ac:dyDescent="0.25">
      <c r="A33" s="22"/>
      <c r="B33" s="22" t="s">
        <v>2085</v>
      </c>
      <c r="C33" t="str">
        <f t="array" ref="C33">_xlfn.IFS(ISNUMBER(SEARCH("G",kamarajnagar[[#This Row],[JANUARY]])),"G",ISNUMBER(SEARCH("A",kamarajnagar[[#This Row],[JANUARY]])),"A",kamarajnagar[[#This Row],[JANUARY]]="","",kamarajnagar[[#This Row],[JANUARY]]&gt;=100,"P")</f>
        <v/>
      </c>
      <c r="D33" s="22"/>
      <c r="E33" s="22" t="s">
        <v>2086</v>
      </c>
      <c r="F33" s="22" t="s">
        <v>2087</v>
      </c>
      <c r="G33" s="22"/>
      <c r="H33" s="44"/>
      <c r="I33" s="44"/>
      <c r="J33" s="44"/>
      <c r="K33" s="44"/>
      <c r="L33" s="44"/>
      <c r="M33" s="44"/>
      <c r="N33" s="44"/>
      <c r="O33" s="44"/>
      <c r="P33" s="44"/>
      <c r="Q33" s="55"/>
      <c r="R33" s="44"/>
      <c r="S33" s="44"/>
      <c r="T33" s="44"/>
      <c r="U33" s="88"/>
      <c r="V33" s="85"/>
    </row>
    <row r="34" spans="1:22" x14ac:dyDescent="0.25">
      <c r="A34" t="s">
        <v>246</v>
      </c>
      <c r="C34">
        <f>COUNTIF(C2:C33, "&gt;=a")</f>
        <v>31</v>
      </c>
      <c r="D34">
        <f>SUBTOTAL(103,kamarajnagar[Package])</f>
        <v>31</v>
      </c>
      <c r="E34">
        <f>SUBTOTAL(103,kamarajnagar[Box No])</f>
        <v>32</v>
      </c>
      <c r="F34">
        <f>SUBTOTAL(103,kamarajnagar[CAF_ID])</f>
        <v>32</v>
      </c>
      <c r="H34" s="62">
        <f>SUBTOTAL(109,kamarajnagar[DEC-20])</f>
        <v>5350</v>
      </c>
      <c r="I34" s="62">
        <f>SUBTOTAL(109,kamarajnagar[JANUARY])</f>
        <v>5550</v>
      </c>
      <c r="J34" s="62">
        <f>SUBTOTAL(109,kamarajnagar[FEBRUARY])</f>
        <v>0</v>
      </c>
      <c r="K34" s="62">
        <f>SUBTOTAL(109,kamarajnagar[MARCH])</f>
        <v>0</v>
      </c>
      <c r="L34" s="62">
        <f>SUBTOTAL(109,kamarajnagar[APRIL])</f>
        <v>0</v>
      </c>
      <c r="M34" s="62">
        <f>SUBTOTAL(109,kamarajnagar[MAY])</f>
        <v>0</v>
      </c>
      <c r="N34" s="62">
        <f>SUBTOTAL(109,kamarajnagar[JUNE])</f>
        <v>0</v>
      </c>
      <c r="O34" s="62">
        <f>SUBTOTAL(109,kamarajnagar[JULY])</f>
        <v>0</v>
      </c>
      <c r="P34" s="62">
        <f>SUBTOTAL(109,kamarajnagar[AUGUST])</f>
        <v>0</v>
      </c>
      <c r="Q34" s="62">
        <f>SUBTOTAL(109,kamarajnagar[SEPTEMBER])</f>
        <v>0</v>
      </c>
      <c r="R34" s="62">
        <f>SUBTOTAL(109,kamarajnagar[OCTOBER])</f>
        <v>0</v>
      </c>
      <c r="S34" s="62">
        <f>SUBTOTAL(109,kamarajnagar[NOVEMBER])</f>
        <v>0</v>
      </c>
      <c r="T34" s="62"/>
      <c r="U34" s="88">
        <f>SUBTOTAL(109,kamarajnagar[BAL])</f>
        <v>0</v>
      </c>
      <c r="V34" s="88"/>
    </row>
    <row r="36" spans="1:22" x14ac:dyDescent="0.25">
      <c r="B36" s="9" t="s">
        <v>247</v>
      </c>
      <c r="C36" s="19">
        <f>COUNTIF(C2:C33,"P")</f>
        <v>29</v>
      </c>
      <c r="F36" s="85"/>
    </row>
    <row r="37" spans="1:22" x14ac:dyDescent="0.25">
      <c r="B37" s="18" t="s">
        <v>1968</v>
      </c>
      <c r="C37" s="20">
        <f>COUNTIF(C2:C33,"G")</f>
        <v>1</v>
      </c>
    </row>
    <row r="38" spans="1:22" ht="15.75" customHeight="1" x14ac:dyDescent="0.25">
      <c r="B38" s="10" t="s">
        <v>249</v>
      </c>
      <c r="C38" s="21">
        <f>COUNTIF(C2:C33,"A")</f>
        <v>1</v>
      </c>
      <c r="D38" s="12"/>
    </row>
    <row r="39" spans="1:22" ht="15.75" customHeight="1" thickBot="1" x14ac:dyDescent="0.3">
      <c r="B39" s="17" t="s">
        <v>250</v>
      </c>
      <c r="C39" s="17">
        <f>SUM(C36:C38)</f>
        <v>31</v>
      </c>
    </row>
    <row r="40" spans="1:22" ht="15.75" customHeight="1" thickTop="1" x14ac:dyDescent="0.25"/>
    <row r="42" spans="1:22" ht="15.75" customHeight="1" x14ac:dyDescent="0.25"/>
    <row r="43" spans="1:22" ht="15.75" customHeight="1" x14ac:dyDescent="0.25"/>
    <row r="44" spans="1:22" ht="15.75" customHeight="1" x14ac:dyDescent="0.25"/>
    <row r="45" spans="1:22" ht="15.75" customHeight="1" x14ac:dyDescent="0.25"/>
  </sheetData>
  <conditionalFormatting sqref="B36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5">
    <tabColor rgb="FF002060"/>
  </sheetPr>
  <dimension ref="A1:V44"/>
  <sheetViews>
    <sheetView topLeftCell="A17" zoomScale="115" zoomScaleNormal="115" workbookViewId="0">
      <selection activeCell="D31" sqref="D31"/>
    </sheetView>
  </sheetViews>
  <sheetFormatPr defaultColWidth="8.85546875" defaultRowHeight="15" x14ac:dyDescent="0.25"/>
  <cols>
    <col min="1" max="1" width="5.5703125" style="87" customWidth="1"/>
    <col min="2" max="2" width="22.7109375" style="87" customWidth="1"/>
    <col min="3" max="3" width="7.140625" style="87" customWidth="1"/>
    <col min="4" max="4" width="30" style="87" customWidth="1"/>
    <col min="5" max="5" width="24.42578125" style="87" customWidth="1"/>
    <col min="6" max="6" width="11.7109375" style="87" customWidth="1"/>
    <col min="7" max="7" width="10.140625" style="84" customWidth="1"/>
    <col min="8" max="18" width="10.7109375" style="83" customWidth="1"/>
    <col min="19" max="20" width="10.7109375" style="61" customWidth="1"/>
    <col min="21" max="21" width="9.7109375" style="87" customWidth="1"/>
    <col min="22" max="22" width="28.42578125" style="87" customWidth="1"/>
    <col min="23" max="76" width="8.85546875" style="87" customWidth="1"/>
    <col min="77" max="16384" width="8.85546875" style="87"/>
  </cols>
  <sheetData>
    <row r="1" spans="1:22" ht="15" customHeight="1" x14ac:dyDescent="0.25">
      <c r="A1" t="s">
        <v>0</v>
      </c>
      <c r="B1" s="85" t="s">
        <v>1</v>
      </c>
      <c r="C1" s="85" t="s">
        <v>2</v>
      </c>
      <c r="D1" s="85" t="s">
        <v>3</v>
      </c>
      <c r="E1" t="s">
        <v>4</v>
      </c>
      <c r="F1" t="s">
        <v>5</v>
      </c>
      <c r="G1" t="s">
        <v>6</v>
      </c>
      <c r="H1" s="13" t="s">
        <v>929</v>
      </c>
      <c r="I1" s="61" t="s">
        <v>9</v>
      </c>
      <c r="J1" s="61" t="s">
        <v>10</v>
      </c>
      <c r="K1" s="61" t="s">
        <v>11</v>
      </c>
      <c r="L1" s="61" t="s">
        <v>12</v>
      </c>
      <c r="M1" s="61" t="s">
        <v>13</v>
      </c>
      <c r="N1" s="61" t="s">
        <v>14</v>
      </c>
      <c r="O1" s="61" t="s">
        <v>15</v>
      </c>
      <c r="P1" s="61" t="s">
        <v>16</v>
      </c>
      <c r="Q1" s="61" t="s">
        <v>17</v>
      </c>
      <c r="R1" s="61" t="s">
        <v>18</v>
      </c>
      <c r="S1" s="61" t="s">
        <v>19</v>
      </c>
      <c r="T1" s="61" t="s">
        <v>20</v>
      </c>
      <c r="U1" t="s">
        <v>7</v>
      </c>
      <c r="V1" t="s">
        <v>21</v>
      </c>
    </row>
    <row r="2" spans="1:22" x14ac:dyDescent="0.25">
      <c r="A2">
        <v>1</v>
      </c>
      <c r="B2" s="85"/>
      <c r="C2" t="str">
        <f t="array" ref="C2">_xlfn.IFS(ISNUMBER(SEARCH("G",muslismst[[#This Row],[JANUARY]])),"G",ISNUMBER(SEARCH("A",muslismst[[#This Row],[JANUARY]])),"A",muslismst[[#This Row],[JANUARY]]="","",muslismst[[#This Row],[JANUARY]]&gt;=100,"P")</f>
        <v>P</v>
      </c>
      <c r="D2" s="85" t="s">
        <v>30</v>
      </c>
      <c r="E2" s="85" t="s">
        <v>2088</v>
      </c>
      <c r="F2" s="85" t="s">
        <v>2089</v>
      </c>
      <c r="G2" s="85"/>
      <c r="H2" s="83">
        <v>200</v>
      </c>
      <c r="I2" s="83">
        <v>200</v>
      </c>
      <c r="S2" s="83"/>
      <c r="T2" s="83"/>
      <c r="U2" s="84"/>
      <c r="V2" s="84" t="s">
        <v>2090</v>
      </c>
    </row>
    <row r="3" spans="1:22" x14ac:dyDescent="0.25">
      <c r="A3">
        <v>2</v>
      </c>
      <c r="B3" s="85"/>
      <c r="C3" t="str">
        <f t="array" ref="C3">_xlfn.IFS(ISNUMBER(SEARCH("G",muslismst[[#This Row],[JANUARY]])),"G",ISNUMBER(SEARCH("A",muslismst[[#This Row],[JANUARY]])),"A",muslismst[[#This Row],[JANUARY]]="","",muslismst[[#This Row],[JANUARY]]&gt;=100,"P")</f>
        <v>P</v>
      </c>
      <c r="D3" s="85" t="s">
        <v>51</v>
      </c>
      <c r="E3" s="85" t="s">
        <v>2091</v>
      </c>
      <c r="F3" s="85" t="s">
        <v>2092</v>
      </c>
      <c r="G3" s="85"/>
      <c r="H3" s="83">
        <v>200</v>
      </c>
      <c r="I3" s="83">
        <v>200</v>
      </c>
      <c r="S3" s="83"/>
      <c r="T3" s="83"/>
      <c r="U3" s="84"/>
      <c r="V3" s="84"/>
    </row>
    <row r="4" spans="1:22" x14ac:dyDescent="0.25">
      <c r="A4">
        <v>3</v>
      </c>
      <c r="B4" s="85"/>
      <c r="C4" t="str">
        <f t="array" ref="C4">_xlfn.IFS(ISNUMBER(SEARCH("G",muslismst[[#This Row],[JANUARY]])),"G",ISNUMBER(SEARCH("A",muslismst[[#This Row],[JANUARY]])),"A",muslismst[[#This Row],[JANUARY]]="","",muslismst[[#This Row],[JANUARY]]&gt;=100,"P")</f>
        <v>P</v>
      </c>
      <c r="D4" s="85" t="s">
        <v>30</v>
      </c>
      <c r="E4" s="85" t="s">
        <v>2093</v>
      </c>
      <c r="F4" s="85" t="s">
        <v>2094</v>
      </c>
      <c r="G4" s="85"/>
      <c r="H4" s="83">
        <v>200</v>
      </c>
      <c r="I4" s="83">
        <v>200</v>
      </c>
      <c r="S4" s="83"/>
      <c r="T4" s="83"/>
      <c r="U4" s="84"/>
      <c r="V4" s="84"/>
    </row>
    <row r="5" spans="1:22" x14ac:dyDescent="0.25">
      <c r="A5">
        <v>4</v>
      </c>
      <c r="B5" s="85"/>
      <c r="C5" t="str">
        <f t="array" ref="C5">_xlfn.IFS(ISNUMBER(SEARCH("G",muslismst[[#This Row],[JANUARY]])),"G",ISNUMBER(SEARCH("A",muslismst[[#This Row],[JANUARY]])),"A",muslismst[[#This Row],[JANUARY]]="","",muslismst[[#This Row],[JANUARY]]&gt;=100,"P")</f>
        <v>P</v>
      </c>
      <c r="D5" s="85" t="s">
        <v>30</v>
      </c>
      <c r="E5" s="85" t="s">
        <v>2095</v>
      </c>
      <c r="F5" s="85" t="s">
        <v>2096</v>
      </c>
      <c r="G5" s="85"/>
      <c r="H5" s="83">
        <v>200</v>
      </c>
      <c r="I5" s="83">
        <v>200</v>
      </c>
      <c r="S5" s="83"/>
      <c r="T5" s="83"/>
      <c r="U5" s="84"/>
      <c r="V5" s="84"/>
    </row>
    <row r="6" spans="1:22" x14ac:dyDescent="0.25">
      <c r="A6">
        <v>5</v>
      </c>
      <c r="B6" s="85"/>
      <c r="C6" t="str">
        <f t="array" ref="C6">_xlfn.IFS(ISNUMBER(SEARCH("G",muslismst[[#This Row],[JANUARY]])),"G",ISNUMBER(SEARCH("A",muslismst[[#This Row],[JANUARY]])),"A",muslismst[[#This Row],[JANUARY]]="","",muslismst[[#This Row],[JANUARY]]&gt;=100,"P")</f>
        <v>P</v>
      </c>
      <c r="D6" s="85" t="s">
        <v>51</v>
      </c>
      <c r="E6" s="85" t="s">
        <v>2097</v>
      </c>
      <c r="F6" s="85" t="s">
        <v>2098</v>
      </c>
      <c r="G6" s="85"/>
      <c r="H6" s="83">
        <v>200</v>
      </c>
      <c r="I6" s="83">
        <v>200</v>
      </c>
      <c r="S6" s="83"/>
      <c r="T6" s="83"/>
      <c r="U6" s="84"/>
      <c r="V6" s="84"/>
    </row>
    <row r="7" spans="1:22" x14ac:dyDescent="0.25">
      <c r="A7">
        <v>6</v>
      </c>
      <c r="B7" s="85"/>
      <c r="C7" t="str">
        <f t="array" ref="C7">_xlfn.IFS(ISNUMBER(SEARCH("G",muslismst[[#This Row],[JANUARY]])),"G",ISNUMBER(SEARCH("A",muslismst[[#This Row],[JANUARY]])),"A",muslismst[[#This Row],[JANUARY]]="","",muslismst[[#This Row],[JANUARY]]&gt;=100,"P")</f>
        <v>P</v>
      </c>
      <c r="D7" s="85" t="s">
        <v>51</v>
      </c>
      <c r="E7" s="85" t="s">
        <v>2099</v>
      </c>
      <c r="F7" s="85" t="s">
        <v>2100</v>
      </c>
      <c r="G7" s="85"/>
      <c r="H7" s="83">
        <v>200</v>
      </c>
      <c r="I7" s="83">
        <v>200</v>
      </c>
      <c r="S7" s="83"/>
      <c r="T7" s="83"/>
      <c r="U7" s="84"/>
      <c r="V7" s="84"/>
    </row>
    <row r="8" spans="1:22" x14ac:dyDescent="0.25">
      <c r="A8">
        <v>7</v>
      </c>
      <c r="B8" s="85"/>
      <c r="C8" t="str">
        <f t="array" ref="C8">_xlfn.IFS(ISNUMBER(SEARCH("G",muslismst[[#This Row],[JANUARY]])),"G",ISNUMBER(SEARCH("A",muslismst[[#This Row],[JANUARY]])),"A",muslismst[[#This Row],[JANUARY]]="","",muslismst[[#This Row],[JANUARY]]&gt;=100,"P")</f>
        <v/>
      </c>
      <c r="D8" s="85"/>
      <c r="E8" s="85" t="s">
        <v>2101</v>
      </c>
      <c r="F8" s="85" t="s">
        <v>2102</v>
      </c>
      <c r="G8" s="85"/>
      <c r="H8" s="83">
        <v>200</v>
      </c>
      <c r="S8" s="83"/>
      <c r="T8" s="83"/>
      <c r="U8" s="84"/>
      <c r="V8" s="84"/>
    </row>
    <row r="9" spans="1:22" x14ac:dyDescent="0.25">
      <c r="A9">
        <v>8</v>
      </c>
      <c r="B9" s="85"/>
      <c r="C9" t="str">
        <f t="array" ref="C9">_xlfn.IFS(ISNUMBER(SEARCH("G",muslismst[[#This Row],[JANUARY]])),"G",ISNUMBER(SEARCH("A",muslismst[[#This Row],[JANUARY]])),"A",muslismst[[#This Row],[JANUARY]]="","",muslismst[[#This Row],[JANUARY]]&gt;=100,"P")</f>
        <v>P</v>
      </c>
      <c r="D9" s="85" t="s">
        <v>23</v>
      </c>
      <c r="E9" s="85" t="s">
        <v>2103</v>
      </c>
      <c r="F9" s="85" t="s">
        <v>2104</v>
      </c>
      <c r="G9" s="85"/>
      <c r="H9" s="83">
        <v>200</v>
      </c>
      <c r="I9" s="83">
        <v>200</v>
      </c>
      <c r="S9" s="83"/>
      <c r="T9" s="83"/>
      <c r="U9" s="84"/>
      <c r="V9" s="84"/>
    </row>
    <row r="10" spans="1:22" x14ac:dyDescent="0.25">
      <c r="A10">
        <v>9</v>
      </c>
      <c r="B10" s="85"/>
      <c r="C10" t="str">
        <f t="array" ref="C10">_xlfn.IFS(ISNUMBER(SEARCH("G",muslismst[[#This Row],[JANUARY]])),"G",ISNUMBER(SEARCH("A",muslismst[[#This Row],[JANUARY]])),"A",muslismst[[#This Row],[JANUARY]]="","",muslismst[[#This Row],[JANUARY]]&gt;=100,"P")</f>
        <v>P</v>
      </c>
      <c r="D10" s="85" t="s">
        <v>30</v>
      </c>
      <c r="E10" s="85" t="s">
        <v>2105</v>
      </c>
      <c r="F10" s="85" t="s">
        <v>2106</v>
      </c>
      <c r="G10" s="85"/>
      <c r="H10" s="83">
        <v>200</v>
      </c>
      <c r="I10" s="83">
        <v>200</v>
      </c>
      <c r="S10" s="83"/>
      <c r="T10" s="83"/>
      <c r="U10" s="84"/>
      <c r="V10" s="84"/>
    </row>
    <row r="11" spans="1:22" x14ac:dyDescent="0.25">
      <c r="A11">
        <v>10</v>
      </c>
      <c r="B11" s="85" t="s">
        <v>2107</v>
      </c>
      <c r="C11" t="str">
        <f t="array" ref="C11">_xlfn.IFS(ISNUMBER(SEARCH("G",muslismst[[#This Row],[JANUARY]])),"G",ISNUMBER(SEARCH("A",muslismst[[#This Row],[JANUARY]])),"A",muslismst[[#This Row],[JANUARY]]="","",muslismst[[#This Row],[JANUARY]]&gt;=100,"P")</f>
        <v>P</v>
      </c>
      <c r="D11" s="85" t="s">
        <v>2108</v>
      </c>
      <c r="E11" s="85" t="s">
        <v>2109</v>
      </c>
      <c r="F11" s="85" t="s">
        <v>2110</v>
      </c>
      <c r="G11" s="85"/>
      <c r="H11" s="83">
        <v>250</v>
      </c>
      <c r="I11" s="83" t="s">
        <v>2111</v>
      </c>
      <c r="S11" s="83"/>
      <c r="T11" s="83"/>
      <c r="U11" s="84"/>
      <c r="V11" s="84"/>
    </row>
    <row r="12" spans="1:22" x14ac:dyDescent="0.25">
      <c r="A12">
        <v>11</v>
      </c>
      <c r="B12" s="85"/>
      <c r="C12" t="str">
        <f t="array" ref="C12">_xlfn.IFS(ISNUMBER(SEARCH("G",muslismst[[#This Row],[JANUARY]])),"G",ISNUMBER(SEARCH("A",muslismst[[#This Row],[JANUARY]])),"A",muslismst[[#This Row],[JANUARY]]="","",muslismst[[#This Row],[JANUARY]]&gt;=100,"P")</f>
        <v>P</v>
      </c>
      <c r="D12" s="85" t="s">
        <v>36</v>
      </c>
      <c r="E12" s="85" t="s">
        <v>2112</v>
      </c>
      <c r="F12" s="85" t="s">
        <v>2113</v>
      </c>
      <c r="G12" s="85"/>
      <c r="H12" s="83">
        <v>200</v>
      </c>
      <c r="I12" s="83">
        <v>200</v>
      </c>
      <c r="S12" s="83"/>
      <c r="T12" s="83"/>
      <c r="U12" s="84"/>
      <c r="V12" s="84"/>
    </row>
    <row r="13" spans="1:22" x14ac:dyDescent="0.25">
      <c r="A13">
        <v>12</v>
      </c>
      <c r="B13" s="85"/>
      <c r="C13" t="str">
        <f t="array" ref="C13">_xlfn.IFS(ISNUMBER(SEARCH("G",muslismst[[#This Row],[JANUARY]])),"G",ISNUMBER(SEARCH("A",muslismst[[#This Row],[JANUARY]])),"A",muslismst[[#This Row],[JANUARY]]="","",muslismst[[#This Row],[JANUARY]]&gt;=100,"P")</f>
        <v>P</v>
      </c>
      <c r="D13" s="85" t="s">
        <v>51</v>
      </c>
      <c r="E13" s="85" t="s">
        <v>2114</v>
      </c>
      <c r="F13" s="85" t="s">
        <v>2115</v>
      </c>
      <c r="G13" s="85"/>
      <c r="H13" s="83">
        <v>200</v>
      </c>
      <c r="I13" s="83">
        <v>200</v>
      </c>
      <c r="S13" s="83"/>
      <c r="T13" s="83"/>
      <c r="U13" s="84"/>
      <c r="V13" s="84"/>
    </row>
    <row r="14" spans="1:22" x14ac:dyDescent="0.25">
      <c r="A14">
        <v>13</v>
      </c>
      <c r="B14" s="85"/>
      <c r="C14" t="str">
        <f t="array" ref="C14">_xlfn.IFS(ISNUMBER(SEARCH("G",muslismst[[#This Row],[JANUARY]])),"G",ISNUMBER(SEARCH("A",muslismst[[#This Row],[JANUARY]])),"A",muslismst[[#This Row],[JANUARY]]="","",muslismst[[#This Row],[JANUARY]]&gt;=100,"P")</f>
        <v>P</v>
      </c>
      <c r="D14" s="85" t="s">
        <v>131</v>
      </c>
      <c r="E14" s="85" t="s">
        <v>2116</v>
      </c>
      <c r="F14" s="85" t="s">
        <v>2117</v>
      </c>
      <c r="G14" s="85"/>
      <c r="H14" s="83">
        <v>200</v>
      </c>
      <c r="I14" s="83">
        <v>200</v>
      </c>
      <c r="S14" s="83"/>
      <c r="T14" s="83"/>
      <c r="U14" s="84"/>
      <c r="V14" s="84"/>
    </row>
    <row r="15" spans="1:22" x14ac:dyDescent="0.25">
      <c r="A15">
        <v>14</v>
      </c>
      <c r="B15" s="85"/>
      <c r="C15" t="str">
        <f t="array" ref="C15">_xlfn.IFS(ISNUMBER(SEARCH("G",muslismst[[#This Row],[JANUARY]])),"G",ISNUMBER(SEARCH("A",muslismst[[#This Row],[JANUARY]])),"A",muslismst[[#This Row],[JANUARY]]="","",muslismst[[#This Row],[JANUARY]]&gt;=100,"P")</f>
        <v>P</v>
      </c>
      <c r="D15" s="85" t="s">
        <v>30</v>
      </c>
      <c r="E15" s="85" t="s">
        <v>2118</v>
      </c>
      <c r="F15" s="85" t="s">
        <v>2119</v>
      </c>
      <c r="G15" s="85"/>
      <c r="H15" s="83">
        <v>200</v>
      </c>
      <c r="I15" s="83">
        <v>200</v>
      </c>
      <c r="S15" s="83"/>
      <c r="T15" s="83"/>
      <c r="U15" s="84"/>
      <c r="V15" s="84"/>
    </row>
    <row r="16" spans="1:22" x14ac:dyDescent="0.25">
      <c r="A16">
        <v>15</v>
      </c>
      <c r="B16" s="85"/>
      <c r="C16" t="str">
        <f t="array" ref="C16">_xlfn.IFS(ISNUMBER(SEARCH("G",muslismst[[#This Row],[JANUARY]])),"G",ISNUMBER(SEARCH("A",muslismst[[#This Row],[JANUARY]])),"A",muslismst[[#This Row],[JANUARY]]="","",muslismst[[#This Row],[JANUARY]]&gt;=100,"P")</f>
        <v>P</v>
      </c>
      <c r="D16" s="85" t="s">
        <v>23</v>
      </c>
      <c r="E16" s="85" t="s">
        <v>2120</v>
      </c>
      <c r="F16" s="85" t="s">
        <v>2121</v>
      </c>
      <c r="G16" s="85"/>
      <c r="H16" s="83">
        <v>200</v>
      </c>
      <c r="I16" s="83">
        <v>200</v>
      </c>
      <c r="S16" s="83"/>
      <c r="T16" s="83"/>
      <c r="U16" s="84"/>
      <c r="V16" s="84"/>
    </row>
    <row r="17" spans="1:22" x14ac:dyDescent="0.25">
      <c r="A17">
        <v>16</v>
      </c>
      <c r="B17" s="85"/>
      <c r="C17" t="str">
        <f t="array" ref="C17">_xlfn.IFS(ISNUMBER(SEARCH("G",muslismst[[#This Row],[JANUARY]])),"G",ISNUMBER(SEARCH("A",muslismst[[#This Row],[JANUARY]])),"A",muslismst[[#This Row],[JANUARY]]="","",muslismst[[#This Row],[JANUARY]]&gt;=100,"P")</f>
        <v>P</v>
      </c>
      <c r="D17" s="85" t="s">
        <v>30</v>
      </c>
      <c r="E17" s="85" t="s">
        <v>2122</v>
      </c>
      <c r="F17" s="85" t="s">
        <v>2123</v>
      </c>
      <c r="G17" s="85"/>
      <c r="H17" s="83">
        <v>200</v>
      </c>
      <c r="I17" s="83">
        <v>200</v>
      </c>
      <c r="S17" s="83"/>
      <c r="T17" s="83"/>
      <c r="U17" s="84"/>
      <c r="V17" s="84"/>
    </row>
    <row r="18" spans="1:22" x14ac:dyDescent="0.25">
      <c r="A18">
        <v>17</v>
      </c>
      <c r="B18" s="85"/>
      <c r="C18" t="str">
        <f t="array" ref="C18">_xlfn.IFS(ISNUMBER(SEARCH("G",muslismst[[#This Row],[JANUARY]])),"G",ISNUMBER(SEARCH("A",muslismst[[#This Row],[JANUARY]])),"A",muslismst[[#This Row],[JANUARY]]="","",muslismst[[#This Row],[JANUARY]]&gt;=100,"P")</f>
        <v>P</v>
      </c>
      <c r="D18" s="85" t="s">
        <v>36</v>
      </c>
      <c r="E18" s="85" t="s">
        <v>2124</v>
      </c>
      <c r="F18" s="85" t="s">
        <v>2125</v>
      </c>
      <c r="G18" s="85"/>
      <c r="H18" s="83">
        <v>200</v>
      </c>
      <c r="I18" s="83">
        <v>200</v>
      </c>
      <c r="S18" s="83"/>
      <c r="T18" s="83"/>
      <c r="U18" s="84"/>
      <c r="V18" s="84"/>
    </row>
    <row r="19" spans="1:22" x14ac:dyDescent="0.25">
      <c r="A19">
        <v>18</v>
      </c>
      <c r="B19" s="85"/>
      <c r="C19" t="str">
        <f t="array" ref="C19">_xlfn.IFS(ISNUMBER(SEARCH("G",muslismst[[#This Row],[JANUARY]])),"G",ISNUMBER(SEARCH("A",muslismst[[#This Row],[JANUARY]])),"A",muslismst[[#This Row],[JANUARY]]="","",muslismst[[#This Row],[JANUARY]]&gt;=100,"P")</f>
        <v>P</v>
      </c>
      <c r="D19" s="85" t="s">
        <v>36</v>
      </c>
      <c r="E19" s="85" t="s">
        <v>2126</v>
      </c>
      <c r="F19" s="85" t="s">
        <v>2127</v>
      </c>
      <c r="G19" s="85"/>
      <c r="H19" s="83">
        <v>200</v>
      </c>
      <c r="I19" s="83">
        <v>200</v>
      </c>
      <c r="S19" s="83"/>
      <c r="T19" s="83"/>
      <c r="U19" s="84"/>
      <c r="V19" s="84"/>
    </row>
    <row r="20" spans="1:22" x14ac:dyDescent="0.25">
      <c r="A20">
        <v>19</v>
      </c>
      <c r="B20" s="85"/>
      <c r="C20" t="str">
        <f t="array" ref="C20">_xlfn.IFS(ISNUMBER(SEARCH("G",muslismst[[#This Row],[JANUARY]])),"G",ISNUMBER(SEARCH("A",muslismst[[#This Row],[JANUARY]])),"A",muslismst[[#This Row],[JANUARY]]="","",muslismst[[#This Row],[JANUARY]]&gt;=100,"P")</f>
        <v>G</v>
      </c>
      <c r="D20" s="85" t="s">
        <v>2578</v>
      </c>
      <c r="E20" s="85" t="s">
        <v>2128</v>
      </c>
      <c r="F20" s="85" t="s">
        <v>2129</v>
      </c>
      <c r="G20" s="85"/>
      <c r="H20" s="83">
        <v>200</v>
      </c>
      <c r="I20" s="83" t="s">
        <v>2070</v>
      </c>
      <c r="J20" s="83" t="s">
        <v>2566</v>
      </c>
      <c r="S20" s="83"/>
      <c r="T20" s="83"/>
      <c r="U20" s="84"/>
      <c r="V20" s="84"/>
    </row>
    <row r="21" spans="1:22" x14ac:dyDescent="0.25">
      <c r="A21">
        <v>20</v>
      </c>
      <c r="B21" s="85"/>
      <c r="C21" t="str">
        <f t="array" ref="C21">_xlfn.IFS(ISNUMBER(SEARCH("G",muslismst[[#This Row],[JANUARY]])),"G",ISNUMBER(SEARCH("A",muslismst[[#This Row],[JANUARY]])),"A",muslismst[[#This Row],[JANUARY]]="","",muslismst[[#This Row],[JANUARY]]&gt;=100,"P")</f>
        <v>P</v>
      </c>
      <c r="D21" s="85" t="s">
        <v>51</v>
      </c>
      <c r="E21" s="85" t="s">
        <v>2130</v>
      </c>
      <c r="F21" s="85" t="s">
        <v>2131</v>
      </c>
      <c r="G21" s="85"/>
      <c r="H21" s="83">
        <v>200</v>
      </c>
      <c r="I21" s="83">
        <v>200</v>
      </c>
      <c r="S21" s="83"/>
      <c r="T21" s="83"/>
      <c r="U21" s="84"/>
      <c r="V21" s="84"/>
    </row>
    <row r="22" spans="1:22" x14ac:dyDescent="0.25">
      <c r="A22">
        <v>21</v>
      </c>
      <c r="B22" s="85" t="s">
        <v>2132</v>
      </c>
      <c r="C22" t="str">
        <f t="array" ref="C22">_xlfn.IFS(ISNUMBER(SEARCH("G",muslismst[[#This Row],[JANUARY]])),"G",ISNUMBER(SEARCH("A",muslismst[[#This Row],[JANUARY]])),"A",muslismst[[#This Row],[JANUARY]]="","",muslismst[[#This Row],[JANUARY]]&gt;=100,"P")</f>
        <v>A</v>
      </c>
      <c r="D22" s="85" t="s">
        <v>2133</v>
      </c>
      <c r="E22" s="85" t="s">
        <v>2134</v>
      </c>
      <c r="F22" s="85" t="s">
        <v>2135</v>
      </c>
      <c r="G22" s="85"/>
      <c r="H22" s="83" t="s">
        <v>701</v>
      </c>
      <c r="I22" s="83" t="s">
        <v>45</v>
      </c>
      <c r="S22" s="83"/>
      <c r="T22" s="83"/>
      <c r="U22" s="84"/>
      <c r="V22" s="84"/>
    </row>
    <row r="23" spans="1:22" x14ac:dyDescent="0.25">
      <c r="A23">
        <v>22</v>
      </c>
      <c r="B23" s="85" t="s">
        <v>2136</v>
      </c>
      <c r="C23" t="str">
        <f t="array" ref="C23">_xlfn.IFS(ISNUMBER(SEARCH("G",muslismst[[#This Row],[JANUARY]])),"G",ISNUMBER(SEARCH("A",muslismst[[#This Row],[JANUARY]])),"A",muslismst[[#This Row],[JANUARY]]="","",muslismst[[#This Row],[JANUARY]]&gt;=100,"P")</f>
        <v>A</v>
      </c>
      <c r="D23" s="85" t="s">
        <v>2137</v>
      </c>
      <c r="E23" s="85" t="s">
        <v>2138</v>
      </c>
      <c r="F23" s="85" t="s">
        <v>2139</v>
      </c>
      <c r="G23" s="85"/>
      <c r="H23" s="83" t="s">
        <v>701</v>
      </c>
      <c r="I23" s="83" t="s">
        <v>45</v>
      </c>
      <c r="S23" s="83"/>
      <c r="T23" s="83"/>
      <c r="U23" s="84"/>
      <c r="V23" s="84" t="s">
        <v>2140</v>
      </c>
    </row>
    <row r="24" spans="1:22" x14ac:dyDescent="0.25">
      <c r="A24">
        <v>23</v>
      </c>
      <c r="B24" s="85" t="s">
        <v>2141</v>
      </c>
      <c r="C24" t="str">
        <f t="array" ref="C24">_xlfn.IFS(ISNUMBER(SEARCH("G",muslismst[[#This Row],[JANUARY]])),"G",ISNUMBER(SEARCH("A",muslismst[[#This Row],[JANUARY]])),"A",muslismst[[#This Row],[JANUARY]]="","",muslismst[[#This Row],[JANUARY]]&gt;=100,"P")</f>
        <v>P</v>
      </c>
      <c r="D24" s="85" t="s">
        <v>23</v>
      </c>
      <c r="E24" s="85" t="s">
        <v>2142</v>
      </c>
      <c r="F24" s="85" t="s">
        <v>2143</v>
      </c>
      <c r="G24" s="85"/>
      <c r="H24" s="83" t="s">
        <v>113</v>
      </c>
      <c r="I24" s="83" t="s">
        <v>54</v>
      </c>
      <c r="S24" s="83"/>
      <c r="T24" s="83"/>
      <c r="U24" s="84"/>
      <c r="V24" s="84"/>
    </row>
    <row r="25" spans="1:22" x14ac:dyDescent="0.25">
      <c r="A25">
        <v>24</v>
      </c>
      <c r="B25" s="85" t="s">
        <v>2144</v>
      </c>
      <c r="C25" t="str">
        <f t="array" ref="C25">_xlfn.IFS(ISNUMBER(SEARCH("G",muslismst[[#This Row],[JANUARY]])),"G",ISNUMBER(SEARCH("A",muslismst[[#This Row],[JANUARY]])),"A",muslismst[[#This Row],[JANUARY]]="","",muslismst[[#This Row],[JANUARY]]&gt;=100,"P")</f>
        <v>P</v>
      </c>
      <c r="D25" s="85" t="s">
        <v>36</v>
      </c>
      <c r="E25" s="85" t="s">
        <v>2145</v>
      </c>
      <c r="F25" s="85" t="s">
        <v>2146</v>
      </c>
      <c r="G25" s="85"/>
      <c r="H25" s="83" t="s">
        <v>97</v>
      </c>
      <c r="I25" s="83" t="s">
        <v>97</v>
      </c>
      <c r="S25" s="83"/>
      <c r="T25" s="83"/>
      <c r="U25" s="84"/>
      <c r="V25" s="84"/>
    </row>
    <row r="26" spans="1:22" x14ac:dyDescent="0.25">
      <c r="A26">
        <v>25</v>
      </c>
      <c r="B26" s="85" t="s">
        <v>2147</v>
      </c>
      <c r="C26" t="s">
        <v>1868</v>
      </c>
      <c r="D26" s="85" t="s">
        <v>36</v>
      </c>
      <c r="E26" s="85" t="s">
        <v>2148</v>
      </c>
      <c r="F26" s="85" t="s">
        <v>2149</v>
      </c>
      <c r="G26" s="85"/>
      <c r="H26" s="83" t="s">
        <v>45</v>
      </c>
      <c r="I26" s="83" t="s">
        <v>54</v>
      </c>
      <c r="J26" s="83" t="s">
        <v>2579</v>
      </c>
      <c r="S26" s="83"/>
      <c r="T26" s="83"/>
      <c r="U26" s="84"/>
      <c r="V26" s="84"/>
    </row>
    <row r="27" spans="1:22" x14ac:dyDescent="0.25">
      <c r="A27" s="8" t="s">
        <v>1503</v>
      </c>
      <c r="B27" s="8"/>
      <c r="C27" s="8">
        <f>COUNTIF(C2:C26, "&gt;=a")</f>
        <v>24</v>
      </c>
      <c r="D27" s="8">
        <f>SUBTOTAL(103,muslismst[Package])</f>
        <v>24</v>
      </c>
      <c r="E27" s="8">
        <f>SUBTOTAL(103,muslismst[Box No])</f>
        <v>25</v>
      </c>
      <c r="F27" s="8">
        <f>SUBTOTAL(103,muslismst[CAF_ID])</f>
        <v>25</v>
      </c>
      <c r="G27" s="8"/>
      <c r="H27" s="56">
        <f>SUBTOTAL(109,muslismst[DEC-20])</f>
        <v>4050</v>
      </c>
      <c r="I27" s="56">
        <f>SUBTOTAL(109,muslismst[JANUARY])</f>
        <v>3400</v>
      </c>
      <c r="J27" s="56">
        <f>SUBTOTAL(109,muslismst[FEBEUARY])</f>
        <v>0</v>
      </c>
      <c r="K27" s="56">
        <f>SUBTOTAL(109,muslismst[MARCH])</f>
        <v>0</v>
      </c>
      <c r="L27" s="56">
        <f>SUBTOTAL(109,muslismst[APRIL])</f>
        <v>0</v>
      </c>
      <c r="M27" s="56">
        <f>SUBTOTAL(109,muslismst[MAY])</f>
        <v>0</v>
      </c>
      <c r="N27" s="56">
        <f>SUBTOTAL(109,muslismst[JUNE])</f>
        <v>0</v>
      </c>
      <c r="O27" s="56">
        <f>SUBTOTAL(109,muslismst[JULY])</f>
        <v>0</v>
      </c>
      <c r="P27" s="56">
        <f>SUBTOTAL(109,muslismst[AUGUST])</f>
        <v>0</v>
      </c>
      <c r="Q27" s="56">
        <f>SUBTOTAL(109,muslismst[SEPTEMBER])</f>
        <v>0</v>
      </c>
      <c r="R27" s="56">
        <f>SUBTOTAL(109,muslismst[OCTOBER])</f>
        <v>0</v>
      </c>
      <c r="S27" s="56">
        <f>SUBTOTAL(109,muslismst[NOVEMBER])</f>
        <v>0</v>
      </c>
      <c r="T27" s="56"/>
      <c r="U27" s="28">
        <f>SUBTOTAL(109,muslismst[BALANCE])</f>
        <v>0</v>
      </c>
      <c r="V27" s="8"/>
    </row>
    <row r="29" spans="1:22" x14ac:dyDescent="0.25">
      <c r="B29" s="9" t="s">
        <v>247</v>
      </c>
      <c r="C29" s="19">
        <f>COUNTIF(C2:C26,"P")</f>
        <v>21</v>
      </c>
    </row>
    <row r="30" spans="1:22" s="93" customFormat="1" x14ac:dyDescent="0.25">
      <c r="B30" s="18" t="s">
        <v>248</v>
      </c>
      <c r="C30" s="20">
        <f>COUNTIF(C1:C26,"M")</f>
        <v>0</v>
      </c>
      <c r="G30" s="84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61"/>
      <c r="T30" s="61"/>
    </row>
    <row r="31" spans="1:22" x14ac:dyDescent="0.25">
      <c r="B31" s="18" t="s">
        <v>1968</v>
      </c>
      <c r="C31" s="20">
        <f>COUNTIF(C2:C26,"G")</f>
        <v>1</v>
      </c>
    </row>
    <row r="32" spans="1:22" x14ac:dyDescent="0.25">
      <c r="B32" s="10" t="s">
        <v>249</v>
      </c>
      <c r="C32" s="21">
        <f>COUNTIF(C2:C26,"A")</f>
        <v>2</v>
      </c>
    </row>
    <row r="33" spans="2:3" ht="15.75" customHeight="1" thickBot="1" x14ac:dyDescent="0.3">
      <c r="B33" s="17" t="s">
        <v>250</v>
      </c>
      <c r="C33" s="17">
        <f>SUM(C29:C32)</f>
        <v>24</v>
      </c>
    </row>
    <row r="34" spans="2:3" ht="15.75" customHeight="1" thickTop="1" x14ac:dyDescent="0.25"/>
    <row r="35" spans="2:3" ht="15.75" customHeight="1" x14ac:dyDescent="0.25"/>
    <row r="36" spans="2:3" ht="15.75" customHeight="1" x14ac:dyDescent="0.25"/>
    <row r="37" spans="2:3" ht="15.75" customHeight="1" x14ac:dyDescent="0.25"/>
    <row r="41" spans="2:3" ht="15.75" customHeight="1" x14ac:dyDescent="0.25"/>
    <row r="42" spans="2:3" ht="15.75" customHeight="1" x14ac:dyDescent="0.25"/>
    <row r="43" spans="2:3" ht="15.75" customHeight="1" x14ac:dyDescent="0.25"/>
    <row r="44" spans="2:3" ht="15.75" customHeight="1" x14ac:dyDescent="0.25"/>
  </sheetData>
  <conditionalFormatting sqref="B29">
    <cfRule type="dataBar" priority="1">
      <dataBar>
        <cfvo type="min"/>
        <cfvo type="max"/>
        <color rgb="FF63C384"/>
      </dataBar>
    </cfRule>
  </conditionalFormatting>
  <pageMargins left="0.7" right="0.7" top="0.75" bottom="0.75" header="0.3" footer="0.3"/>
  <pageSetup orientation="portrait"/>
  <legacy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theme="4" tint="-0.249977111117893"/>
  </sheetPr>
  <dimension ref="A1:U130"/>
  <sheetViews>
    <sheetView topLeftCell="A102" zoomScale="115" zoomScaleNormal="115" workbookViewId="0">
      <selection activeCell="G115" sqref="G115"/>
    </sheetView>
  </sheetViews>
  <sheetFormatPr defaultRowHeight="15" x14ac:dyDescent="0.25"/>
  <cols>
    <col min="1" max="1" width="6.140625" style="87" customWidth="1"/>
    <col min="2" max="2" width="20.140625" style="87" customWidth="1"/>
    <col min="3" max="3" width="8" style="87" customWidth="1"/>
    <col min="4" max="4" width="12.7109375" style="87" customWidth="1"/>
    <col min="5" max="5" width="11" style="87" customWidth="1"/>
    <col min="6" max="6" width="10" style="87" customWidth="1"/>
    <col min="7" max="7" width="11.5703125" style="83" customWidth="1"/>
    <col min="8" max="9" width="11.5703125" style="84" customWidth="1"/>
    <col min="10" max="18" width="11.5703125" style="84" hidden="1" customWidth="1"/>
    <col min="19" max="19" width="11.5703125" style="87" hidden="1" customWidth="1"/>
    <col min="20" max="20" width="11.7109375" style="87" customWidth="1"/>
    <col min="21" max="21" width="35.28515625" style="87" customWidth="1"/>
  </cols>
  <sheetData>
    <row r="1" spans="1:21" x14ac:dyDescent="0.25">
      <c r="A1" t="s">
        <v>0</v>
      </c>
      <c r="B1" t="s">
        <v>1</v>
      </c>
      <c r="C1" t="s">
        <v>2</v>
      </c>
      <c r="D1" s="13" t="s">
        <v>4</v>
      </c>
      <c r="E1" s="13" t="s">
        <v>2150</v>
      </c>
      <c r="F1" s="85" t="s">
        <v>2151</v>
      </c>
      <c r="G1" s="45" t="s">
        <v>8</v>
      </c>
      <c r="H1" s="84" t="s">
        <v>9</v>
      </c>
      <c r="I1" s="84" t="s">
        <v>10</v>
      </c>
      <c r="J1" s="84" t="s">
        <v>11</v>
      </c>
      <c r="K1" s="84" t="s">
        <v>12</v>
      </c>
      <c r="L1" s="84" t="s">
        <v>13</v>
      </c>
      <c r="M1" s="84" t="s">
        <v>14</v>
      </c>
      <c r="N1" s="84" t="s">
        <v>15</v>
      </c>
      <c r="O1" s="84" t="s">
        <v>16</v>
      </c>
      <c r="P1" s="84" t="s">
        <v>17</v>
      </c>
      <c r="Q1" s="84" t="s">
        <v>18</v>
      </c>
      <c r="R1" s="84" t="s">
        <v>19</v>
      </c>
      <c r="S1" s="84" t="s">
        <v>20</v>
      </c>
      <c r="T1" s="84" t="s">
        <v>7</v>
      </c>
      <c r="U1" s="85" t="s">
        <v>21</v>
      </c>
    </row>
    <row r="2" spans="1:21" x14ac:dyDescent="0.25">
      <c r="A2">
        <v>1</v>
      </c>
      <c r="B2" t="s">
        <v>2152</v>
      </c>
      <c r="C2" t="str">
        <f t="array" ref="C2">_xlfn.IFS(ISNUMBER(SEARCH("G",govtbox[[#This Row],[JANUARY]])),"G",ISNUMBER(SEARCH("A",govtbox[[#This Row],[JANUARY]])),"A",govtbox[[#This Row],[JANUARY]]="","",govtbox[[#This Row],[JANUARY]]&gt;=100,"P")</f>
        <v>P</v>
      </c>
      <c r="D2" s="85" t="s">
        <v>2153</v>
      </c>
      <c r="E2" s="4" t="s">
        <v>2154</v>
      </c>
      <c r="F2" s="3"/>
      <c r="G2" s="83">
        <v>190</v>
      </c>
      <c r="H2" s="83">
        <v>190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4"/>
      <c r="U2" s="3"/>
    </row>
    <row r="3" spans="1:21" x14ac:dyDescent="0.25">
      <c r="A3">
        <v>2</v>
      </c>
      <c r="B3" t="s">
        <v>2155</v>
      </c>
      <c r="C3" t="str">
        <f t="array" ref="C3">_xlfn.IFS(ISNUMBER(SEARCH("G",govtbox[[#This Row],[JANUARY]])),"G",ISNUMBER(SEARCH("A",govtbox[[#This Row],[JANUARY]])),"A",govtbox[[#This Row],[JANUARY]]="","",govtbox[[#This Row],[JANUARY]]&gt;=100,"P")</f>
        <v>P</v>
      </c>
      <c r="D3" s="85" t="s">
        <v>2156</v>
      </c>
      <c r="E3" s="4" t="s">
        <v>2157</v>
      </c>
      <c r="F3" s="3"/>
      <c r="G3" s="83">
        <v>190</v>
      </c>
      <c r="H3" s="83">
        <v>190</v>
      </c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4"/>
      <c r="U3" s="3"/>
    </row>
    <row r="4" spans="1:21" x14ac:dyDescent="0.25">
      <c r="A4">
        <v>3</v>
      </c>
      <c r="B4" t="s">
        <v>424</v>
      </c>
      <c r="C4" t="str">
        <f t="array" ref="C4">_xlfn.IFS(ISNUMBER(SEARCH("G",govtbox[[#This Row],[JANUARY]])),"G",ISNUMBER(SEARCH("A",govtbox[[#This Row],[JANUARY]])),"A",govtbox[[#This Row],[JANUARY]]="","",govtbox[[#This Row],[JANUARY]]&gt;=100,"P")</f>
        <v>P</v>
      </c>
      <c r="D4" s="85" t="s">
        <v>2158</v>
      </c>
      <c r="E4" s="4" t="s">
        <v>2159</v>
      </c>
      <c r="F4" s="3"/>
      <c r="G4" s="83">
        <v>190</v>
      </c>
      <c r="H4" s="83">
        <v>190</v>
      </c>
      <c r="I4" s="83"/>
      <c r="J4" s="83"/>
      <c r="K4" s="83"/>
      <c r="L4" s="83"/>
      <c r="M4" s="83"/>
      <c r="N4" s="83"/>
      <c r="O4" s="83"/>
      <c r="P4" s="83"/>
      <c r="Q4" s="83"/>
      <c r="R4" s="83"/>
      <c r="S4" s="83"/>
      <c r="T4" s="84"/>
      <c r="U4" s="3"/>
    </row>
    <row r="5" spans="1:21" x14ac:dyDescent="0.25">
      <c r="A5">
        <v>4</v>
      </c>
      <c r="B5" t="s">
        <v>2160</v>
      </c>
      <c r="C5" t="str">
        <f t="array" ref="C5">_xlfn.IFS(ISNUMBER(SEARCH("G",govtbox[[#This Row],[JANUARY]])),"G",ISNUMBER(SEARCH("A",govtbox[[#This Row],[JANUARY]])),"A",govtbox[[#This Row],[JANUARY]]="","",govtbox[[#This Row],[JANUARY]]&gt;=100,"P")</f>
        <v>P</v>
      </c>
      <c r="D5" s="85" t="s">
        <v>2161</v>
      </c>
      <c r="E5" s="4" t="s">
        <v>2162</v>
      </c>
      <c r="F5" s="3"/>
      <c r="G5" s="83">
        <v>190</v>
      </c>
      <c r="H5" s="83">
        <v>190</v>
      </c>
      <c r="I5" s="83"/>
      <c r="J5" s="83"/>
      <c r="K5" s="83"/>
      <c r="L5" s="83"/>
      <c r="M5" s="83"/>
      <c r="N5" s="83"/>
      <c r="O5" s="83"/>
      <c r="P5" s="83"/>
      <c r="Q5" s="83"/>
      <c r="R5" s="83"/>
      <c r="S5" s="83"/>
      <c r="T5" s="84"/>
      <c r="U5" s="3"/>
    </row>
    <row r="6" spans="1:21" x14ac:dyDescent="0.25">
      <c r="A6">
        <v>5</v>
      </c>
      <c r="B6" t="s">
        <v>1807</v>
      </c>
      <c r="C6" t="str">
        <f t="array" ref="C6">_xlfn.IFS(ISNUMBER(SEARCH("G",govtbox[[#This Row],[JANUARY]])),"G",ISNUMBER(SEARCH("A",govtbox[[#This Row],[JANUARY]])),"A",govtbox[[#This Row],[JANUARY]]="","",govtbox[[#This Row],[JANUARY]]&gt;=100,"P")</f>
        <v>P</v>
      </c>
      <c r="D6" s="85" t="s">
        <v>2163</v>
      </c>
      <c r="E6" s="4" t="s">
        <v>2164</v>
      </c>
      <c r="F6" s="3"/>
      <c r="G6" s="83">
        <v>190</v>
      </c>
      <c r="H6" s="83">
        <v>190</v>
      </c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4"/>
      <c r="U6" s="3"/>
    </row>
    <row r="7" spans="1:21" x14ac:dyDescent="0.25">
      <c r="A7">
        <v>6</v>
      </c>
      <c r="B7" t="s">
        <v>2165</v>
      </c>
      <c r="C7" t="str">
        <f t="array" ref="C7">_xlfn.IFS(ISNUMBER(SEARCH("G",govtbox[[#This Row],[JANUARY]])),"G",ISNUMBER(SEARCH("A",govtbox[[#This Row],[JANUARY]])),"A",govtbox[[#This Row],[JANUARY]]="","",govtbox[[#This Row],[JANUARY]]&gt;=100,"P")</f>
        <v>P</v>
      </c>
      <c r="D7" s="85" t="s">
        <v>2166</v>
      </c>
      <c r="E7" s="85" t="s">
        <v>2167</v>
      </c>
      <c r="F7" s="85"/>
      <c r="G7" s="83">
        <v>190</v>
      </c>
      <c r="H7" s="83">
        <v>190</v>
      </c>
      <c r="I7" s="83"/>
      <c r="J7" s="83"/>
      <c r="K7" s="83"/>
      <c r="L7" s="83"/>
      <c r="M7" s="83"/>
      <c r="N7" s="83"/>
      <c r="O7" s="83"/>
      <c r="P7" s="83"/>
      <c r="Q7" s="83"/>
      <c r="R7" s="83"/>
      <c r="S7" s="83"/>
      <c r="T7" s="84"/>
      <c r="U7" s="85"/>
    </row>
    <row r="8" spans="1:21" x14ac:dyDescent="0.25">
      <c r="A8">
        <v>7</v>
      </c>
      <c r="B8" t="s">
        <v>42</v>
      </c>
      <c r="C8" t="str">
        <f t="array" ref="C8">_xlfn.IFS(ISNUMBER(SEARCH("G",govtbox[[#This Row],[JANUARY]])),"G",ISNUMBER(SEARCH("A",govtbox[[#This Row],[JANUARY]])),"A",govtbox[[#This Row],[JANUARY]]="","",govtbox[[#This Row],[JANUARY]]&gt;=100,"P")</f>
        <v>P</v>
      </c>
      <c r="D8" s="85" t="s">
        <v>2168</v>
      </c>
      <c r="E8" s="4" t="s">
        <v>2169</v>
      </c>
      <c r="F8" s="3"/>
      <c r="G8" s="83">
        <v>190</v>
      </c>
      <c r="H8" s="83">
        <v>190</v>
      </c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4"/>
      <c r="U8" s="3"/>
    </row>
    <row r="9" spans="1:21" x14ac:dyDescent="0.25">
      <c r="A9">
        <v>8</v>
      </c>
      <c r="B9" t="s">
        <v>2170</v>
      </c>
      <c r="C9" t="str">
        <f t="array" ref="C9">_xlfn.IFS(ISNUMBER(SEARCH("G",govtbox[[#This Row],[JANUARY]])),"G",ISNUMBER(SEARCH("A",govtbox[[#This Row],[JANUARY]])),"A",govtbox[[#This Row],[JANUARY]]="","",govtbox[[#This Row],[JANUARY]]&gt;=100,"P")</f>
        <v>P</v>
      </c>
      <c r="D9" s="85" t="s">
        <v>2171</v>
      </c>
      <c r="E9" s="4" t="s">
        <v>2172</v>
      </c>
      <c r="F9" s="3"/>
      <c r="G9" s="83">
        <v>190</v>
      </c>
      <c r="H9" s="83">
        <v>190</v>
      </c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4"/>
      <c r="U9" s="3"/>
    </row>
    <row r="10" spans="1:21" x14ac:dyDescent="0.25">
      <c r="A10">
        <v>9</v>
      </c>
      <c r="B10" t="s">
        <v>483</v>
      </c>
      <c r="C10" t="str">
        <f t="array" ref="C10">_xlfn.IFS(ISNUMBER(SEARCH("G",govtbox[[#This Row],[JANUARY]])),"G",ISNUMBER(SEARCH("A",govtbox[[#This Row],[JANUARY]])),"A",govtbox[[#This Row],[JANUARY]]="","",govtbox[[#This Row],[JANUARY]]&gt;=100,"P")</f>
        <v>P</v>
      </c>
      <c r="D10" s="85" t="s">
        <v>2173</v>
      </c>
      <c r="E10" s="4" t="s">
        <v>2174</v>
      </c>
      <c r="F10" s="3"/>
      <c r="G10" s="83">
        <v>180</v>
      </c>
      <c r="H10" s="83">
        <v>180</v>
      </c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4"/>
      <c r="U10" s="3"/>
    </row>
    <row r="11" spans="1:21" x14ac:dyDescent="0.25">
      <c r="A11">
        <v>10</v>
      </c>
      <c r="B11" t="s">
        <v>2175</v>
      </c>
      <c r="C11" t="str">
        <f t="array" ref="C11">_xlfn.IFS(ISNUMBER(SEARCH("G",govtbox[[#This Row],[JANUARY]])),"G",ISNUMBER(SEARCH("A",govtbox[[#This Row],[JANUARY]])),"A",govtbox[[#This Row],[JANUARY]]="","",govtbox[[#This Row],[JANUARY]]&gt;=100,"P")</f>
        <v>P</v>
      </c>
      <c r="D11" s="85" t="s">
        <v>2176</v>
      </c>
      <c r="E11" s="4" t="s">
        <v>2177</v>
      </c>
      <c r="F11" s="3"/>
      <c r="G11" s="83">
        <v>180</v>
      </c>
      <c r="H11" s="83">
        <v>190</v>
      </c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4"/>
      <c r="U11" s="3"/>
    </row>
    <row r="12" spans="1:21" x14ac:dyDescent="0.25">
      <c r="A12">
        <v>11</v>
      </c>
      <c r="B12" t="s">
        <v>2178</v>
      </c>
      <c r="C12" t="str">
        <f t="array" ref="C12">_xlfn.IFS(ISNUMBER(SEARCH("G",govtbox[[#This Row],[JANUARY]])),"G",ISNUMBER(SEARCH("A",govtbox[[#This Row],[JANUARY]])),"A",govtbox[[#This Row],[JANUARY]]="","",govtbox[[#This Row],[JANUARY]]&gt;=100,"P")</f>
        <v>P</v>
      </c>
      <c r="D12" s="85" t="s">
        <v>2179</v>
      </c>
      <c r="E12" s="4" t="s">
        <v>2180</v>
      </c>
      <c r="F12" s="3"/>
      <c r="G12" s="83">
        <v>180</v>
      </c>
      <c r="H12" s="83">
        <v>180</v>
      </c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4"/>
      <c r="U12" s="3"/>
    </row>
    <row r="13" spans="1:21" x14ac:dyDescent="0.25">
      <c r="A13">
        <v>12</v>
      </c>
      <c r="B13" t="s">
        <v>46</v>
      </c>
      <c r="C13" t="str">
        <f t="array" ref="C13">_xlfn.IFS(ISNUMBER(SEARCH("G",govtbox[[#This Row],[JANUARY]])),"G",ISNUMBER(SEARCH("A",govtbox[[#This Row],[JANUARY]])),"A",govtbox[[#This Row],[JANUARY]]="","",govtbox[[#This Row],[JANUARY]]&gt;=100,"P")</f>
        <v>A</v>
      </c>
      <c r="D13" s="85" t="s">
        <v>2181</v>
      </c>
      <c r="E13" s="4" t="s">
        <v>2182</v>
      </c>
      <c r="F13" s="3"/>
      <c r="G13" s="83">
        <v>180</v>
      </c>
      <c r="H13" s="83" t="s">
        <v>2183</v>
      </c>
      <c r="I13" s="83"/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4"/>
      <c r="U13" s="3" t="s">
        <v>2184</v>
      </c>
    </row>
    <row r="14" spans="1:21" x14ac:dyDescent="0.25">
      <c r="A14">
        <v>13</v>
      </c>
      <c r="B14" t="s">
        <v>2185</v>
      </c>
      <c r="C14" t="str">
        <f t="array" ref="C14">_xlfn.IFS(ISNUMBER(SEARCH("G",govtbox[[#This Row],[JANUARY]])),"G",ISNUMBER(SEARCH("A",govtbox[[#This Row],[JANUARY]])),"A",govtbox[[#This Row],[JANUARY]]="","",govtbox[[#This Row],[JANUARY]]&gt;=100,"P")</f>
        <v>P</v>
      </c>
      <c r="D14" s="85" t="s">
        <v>2186</v>
      </c>
      <c r="E14" s="85" t="s">
        <v>2187</v>
      </c>
      <c r="F14" s="85"/>
      <c r="G14" s="83">
        <v>180</v>
      </c>
      <c r="H14" s="83">
        <v>190</v>
      </c>
      <c r="I14" s="83"/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4"/>
      <c r="U14" s="85"/>
    </row>
    <row r="15" spans="1:21" x14ac:dyDescent="0.25">
      <c r="A15">
        <v>14</v>
      </c>
      <c r="B15" t="s">
        <v>2188</v>
      </c>
      <c r="C15" t="str">
        <f t="array" ref="C15">_xlfn.IFS(ISNUMBER(SEARCH("G",govtbox[[#This Row],[JANUARY]])),"G",ISNUMBER(SEARCH("A",govtbox[[#This Row],[JANUARY]])),"A",govtbox[[#This Row],[JANUARY]]="","",govtbox[[#This Row],[JANUARY]]&gt;=100,"P")</f>
        <v>P</v>
      </c>
      <c r="D15" s="85" t="s">
        <v>2189</v>
      </c>
      <c r="E15" s="4" t="s">
        <v>2190</v>
      </c>
      <c r="F15" s="3"/>
      <c r="G15" s="83">
        <v>190</v>
      </c>
      <c r="H15" s="83">
        <v>190</v>
      </c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4"/>
      <c r="U15" s="3"/>
    </row>
    <row r="16" spans="1:21" x14ac:dyDescent="0.25">
      <c r="A16">
        <v>15</v>
      </c>
      <c r="B16" t="s">
        <v>2191</v>
      </c>
      <c r="C16" t="str">
        <f t="array" ref="C16">_xlfn.IFS(ISNUMBER(SEARCH("G",govtbox[[#This Row],[JANUARY]])),"G",ISNUMBER(SEARCH("A",govtbox[[#This Row],[JANUARY]])),"A",govtbox[[#This Row],[JANUARY]]="","",govtbox[[#This Row],[JANUARY]]&gt;=100,"P")</f>
        <v>P</v>
      </c>
      <c r="D16" s="85" t="s">
        <v>2192</v>
      </c>
      <c r="E16" s="4" t="s">
        <v>2193</v>
      </c>
      <c r="F16" s="3"/>
      <c r="G16" s="83">
        <v>190</v>
      </c>
      <c r="H16" s="83">
        <v>190</v>
      </c>
      <c r="I16" s="83"/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4"/>
      <c r="U16" s="3" t="s">
        <v>1404</v>
      </c>
    </row>
    <row r="17" spans="1:21" x14ac:dyDescent="0.25">
      <c r="A17">
        <v>16</v>
      </c>
      <c r="B17" t="s">
        <v>210</v>
      </c>
      <c r="C17" t="str">
        <f t="array" ref="C17">_xlfn.IFS(ISNUMBER(SEARCH("G",govtbox[[#This Row],[JANUARY]])),"G",ISNUMBER(SEARCH("A",govtbox[[#This Row],[JANUARY]])),"A",govtbox[[#This Row],[JANUARY]]="","",govtbox[[#This Row],[JANUARY]]&gt;=100,"P")</f>
        <v>P</v>
      </c>
      <c r="D17" s="85" t="s">
        <v>2194</v>
      </c>
      <c r="E17" s="4" t="s">
        <v>2195</v>
      </c>
      <c r="F17" s="3"/>
      <c r="G17" s="83">
        <v>180</v>
      </c>
      <c r="H17" s="83">
        <v>180</v>
      </c>
      <c r="I17" s="83"/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4"/>
      <c r="U17" s="3"/>
    </row>
    <row r="18" spans="1:21" x14ac:dyDescent="0.25">
      <c r="A18">
        <v>17</v>
      </c>
      <c r="B18" t="s">
        <v>2196</v>
      </c>
      <c r="C18" t="str">
        <f t="array" ref="C18">_xlfn.IFS(ISNUMBER(SEARCH("G",govtbox[[#This Row],[JANUARY]])),"G",ISNUMBER(SEARCH("A",govtbox[[#This Row],[JANUARY]])),"A",govtbox[[#This Row],[JANUARY]]="","",govtbox[[#This Row],[JANUARY]]&gt;=100,"P")</f>
        <v>P</v>
      </c>
      <c r="D18" s="85" t="s">
        <v>2197</v>
      </c>
      <c r="E18" s="4" t="s">
        <v>2198</v>
      </c>
      <c r="F18" s="3"/>
      <c r="G18" s="83">
        <v>180</v>
      </c>
      <c r="H18" s="83">
        <v>180</v>
      </c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4"/>
      <c r="U18" s="3"/>
    </row>
    <row r="19" spans="1:21" x14ac:dyDescent="0.25">
      <c r="A19">
        <v>18</v>
      </c>
      <c r="B19" t="s">
        <v>2199</v>
      </c>
      <c r="C19" t="str">
        <f t="array" ref="C19">_xlfn.IFS(ISNUMBER(SEARCH("G",govtbox[[#This Row],[JANUARY]])),"G",ISNUMBER(SEARCH("A",govtbox[[#This Row],[JANUARY]])),"A",govtbox[[#This Row],[JANUARY]]="","",govtbox[[#This Row],[JANUARY]]&gt;=100,"P")</f>
        <v>P</v>
      </c>
      <c r="D19" s="85" t="s">
        <v>2200</v>
      </c>
      <c r="E19" s="4" t="s">
        <v>2201</v>
      </c>
      <c r="F19" s="3"/>
      <c r="G19" s="83">
        <v>190</v>
      </c>
      <c r="H19" s="83">
        <v>180</v>
      </c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4"/>
      <c r="U19" s="3"/>
    </row>
    <row r="20" spans="1:21" x14ac:dyDescent="0.25">
      <c r="A20">
        <v>19</v>
      </c>
      <c r="B20" t="s">
        <v>2202</v>
      </c>
      <c r="C20" t="str">
        <f t="array" ref="C20">_xlfn.IFS(ISNUMBER(SEARCH("G",govtbox[[#This Row],[JANUARY]])),"G",ISNUMBER(SEARCH("A",govtbox[[#This Row],[JANUARY]])),"A",govtbox[[#This Row],[JANUARY]]="","",govtbox[[#This Row],[JANUARY]]&gt;=100,"P")</f>
        <v>P</v>
      </c>
      <c r="D20" s="85" t="s">
        <v>2203</v>
      </c>
      <c r="E20" s="4" t="s">
        <v>2204</v>
      </c>
      <c r="F20" s="3"/>
      <c r="G20" s="83">
        <v>100</v>
      </c>
      <c r="H20" s="83">
        <v>100</v>
      </c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4"/>
      <c r="U20" s="3" t="s">
        <v>2205</v>
      </c>
    </row>
    <row r="21" spans="1:21" x14ac:dyDescent="0.25">
      <c r="A21">
        <v>20</v>
      </c>
      <c r="B21" t="s">
        <v>2206</v>
      </c>
      <c r="C21" t="str">
        <f t="array" ref="C21">_xlfn.IFS(ISNUMBER(SEARCH("G",govtbox[[#This Row],[JANUARY]])),"G",ISNUMBER(SEARCH("A",govtbox[[#This Row],[JANUARY]])),"A",govtbox[[#This Row],[JANUARY]]="","",govtbox[[#This Row],[JANUARY]]&gt;=100,"P")</f>
        <v/>
      </c>
      <c r="D21" s="85" t="s">
        <v>2207</v>
      </c>
      <c r="E21" s="4" t="s">
        <v>2208</v>
      </c>
      <c r="F21" s="3"/>
      <c r="G21" s="83">
        <v>180</v>
      </c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4"/>
      <c r="U21" s="3"/>
    </row>
    <row r="22" spans="1:21" x14ac:dyDescent="0.25">
      <c r="A22">
        <v>21</v>
      </c>
      <c r="B22" t="s">
        <v>2209</v>
      </c>
      <c r="C22" t="str">
        <f t="array" ref="C22">_xlfn.IFS(ISNUMBER(SEARCH("G",govtbox[[#This Row],[JANUARY]])),"G",ISNUMBER(SEARCH("A",govtbox[[#This Row],[JANUARY]])),"A",govtbox[[#This Row],[JANUARY]]="","",govtbox[[#This Row],[JANUARY]]&gt;=100,"P")</f>
        <v>P</v>
      </c>
      <c r="D22" s="85" t="s">
        <v>2210</v>
      </c>
      <c r="E22" s="4" t="s">
        <v>2211</v>
      </c>
      <c r="F22" s="4"/>
      <c r="G22" s="83">
        <v>190</v>
      </c>
      <c r="H22" s="83">
        <v>190</v>
      </c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4"/>
      <c r="U22" s="4" t="s">
        <v>2205</v>
      </c>
    </row>
    <row r="23" spans="1:21" x14ac:dyDescent="0.25">
      <c r="A23">
        <v>22</v>
      </c>
      <c r="B23" t="s">
        <v>2212</v>
      </c>
      <c r="C23" t="str">
        <f t="array" ref="C23">_xlfn.IFS(ISNUMBER(SEARCH("G",govtbox[[#This Row],[JANUARY]])),"G",ISNUMBER(SEARCH("A",govtbox[[#This Row],[JANUARY]])),"A",govtbox[[#This Row],[JANUARY]]="","",govtbox[[#This Row],[JANUARY]]&gt;=100,"P")</f>
        <v>P</v>
      </c>
      <c r="D23" s="85" t="s">
        <v>2213</v>
      </c>
      <c r="E23" s="4" t="s">
        <v>2214</v>
      </c>
      <c r="F23" s="3"/>
      <c r="G23" s="83">
        <v>190</v>
      </c>
      <c r="H23" s="83">
        <v>190</v>
      </c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4"/>
      <c r="U23" s="4" t="s">
        <v>2205</v>
      </c>
    </row>
    <row r="24" spans="1:21" x14ac:dyDescent="0.25">
      <c r="A24">
        <v>23</v>
      </c>
      <c r="B24" t="s">
        <v>2215</v>
      </c>
      <c r="C24" t="str">
        <f t="array" ref="C24">_xlfn.IFS(ISNUMBER(SEARCH("G",govtbox[[#This Row],[JANUARY]])),"G",ISNUMBER(SEARCH("A",govtbox[[#This Row],[JANUARY]])),"A",govtbox[[#This Row],[JANUARY]]="","",govtbox[[#This Row],[JANUARY]]&gt;=100,"P")</f>
        <v>P</v>
      </c>
      <c r="D24" s="85" t="s">
        <v>2216</v>
      </c>
      <c r="E24" s="4" t="s">
        <v>2217</v>
      </c>
      <c r="F24" s="3"/>
      <c r="G24" s="83">
        <v>180</v>
      </c>
      <c r="H24" s="83">
        <v>200</v>
      </c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4"/>
      <c r="U24" s="4" t="s">
        <v>2205</v>
      </c>
    </row>
    <row r="25" spans="1:21" x14ac:dyDescent="0.25">
      <c r="A25">
        <v>24</v>
      </c>
      <c r="B25" t="s">
        <v>2218</v>
      </c>
      <c r="C25" t="str">
        <f t="array" ref="C25">_xlfn.IFS(ISNUMBER(SEARCH("G",govtbox[[#This Row],[JANUARY]])),"G",ISNUMBER(SEARCH("A",govtbox[[#This Row],[JANUARY]])),"A",govtbox[[#This Row],[JANUARY]]="","",govtbox[[#This Row],[JANUARY]]&gt;=100,"P")</f>
        <v>P</v>
      </c>
      <c r="D25" s="85" t="s">
        <v>2219</v>
      </c>
      <c r="E25" s="4" t="s">
        <v>2220</v>
      </c>
      <c r="F25" s="3"/>
      <c r="G25" s="83">
        <v>190</v>
      </c>
      <c r="H25" s="83">
        <v>200</v>
      </c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4"/>
      <c r="U25" s="4" t="s">
        <v>2205</v>
      </c>
    </row>
    <row r="26" spans="1:21" x14ac:dyDescent="0.25">
      <c r="A26">
        <v>25</v>
      </c>
      <c r="B26" t="s">
        <v>1140</v>
      </c>
      <c r="C26" t="str">
        <f t="array" ref="C26">_xlfn.IFS(ISNUMBER(SEARCH("G",govtbox[[#This Row],[JANUARY]])),"G",ISNUMBER(SEARCH("A",govtbox[[#This Row],[JANUARY]])),"A",govtbox[[#This Row],[JANUARY]]="","",govtbox[[#This Row],[JANUARY]]&gt;=100,"P")</f>
        <v>P</v>
      </c>
      <c r="D26" s="85" t="s">
        <v>2221</v>
      </c>
      <c r="E26" s="4" t="s">
        <v>2222</v>
      </c>
      <c r="F26" s="3"/>
      <c r="G26" s="83">
        <v>180</v>
      </c>
      <c r="H26" s="83">
        <v>190</v>
      </c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4"/>
      <c r="U26" s="3" t="s">
        <v>2223</v>
      </c>
    </row>
    <row r="27" spans="1:21" x14ac:dyDescent="0.25">
      <c r="A27">
        <v>26</v>
      </c>
      <c r="B27" t="s">
        <v>2224</v>
      </c>
      <c r="C27" t="str">
        <f t="array" ref="C27">_xlfn.IFS(ISNUMBER(SEARCH("G",govtbox[[#This Row],[JANUARY]])),"G",ISNUMBER(SEARCH("A",govtbox[[#This Row],[JANUARY]])),"A",govtbox[[#This Row],[JANUARY]]="","",govtbox[[#This Row],[JANUARY]]&gt;=100,"P")</f>
        <v>P</v>
      </c>
      <c r="D27" s="85" t="s">
        <v>2225</v>
      </c>
      <c r="E27" s="4" t="s">
        <v>2226</v>
      </c>
      <c r="F27" s="3"/>
      <c r="G27" s="83">
        <v>190</v>
      </c>
      <c r="H27" s="83">
        <v>190</v>
      </c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4"/>
      <c r="U27" s="3"/>
    </row>
    <row r="28" spans="1:21" x14ac:dyDescent="0.25">
      <c r="A28">
        <v>27</v>
      </c>
      <c r="B28" t="s">
        <v>2227</v>
      </c>
      <c r="C28" t="str">
        <f t="array" ref="C28">_xlfn.IFS(ISNUMBER(SEARCH("G",govtbox[[#This Row],[JANUARY]])),"G",ISNUMBER(SEARCH("A",govtbox[[#This Row],[JANUARY]])),"A",govtbox[[#This Row],[JANUARY]]="","",govtbox[[#This Row],[JANUARY]]&gt;=100,"P")</f>
        <v>P</v>
      </c>
      <c r="D28" s="85" t="s">
        <v>2228</v>
      </c>
      <c r="E28" s="4" t="s">
        <v>2229</v>
      </c>
      <c r="F28" s="85"/>
      <c r="G28" s="83">
        <v>180</v>
      </c>
      <c r="H28" s="83">
        <v>190</v>
      </c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4"/>
      <c r="U28" s="85"/>
    </row>
    <row r="29" spans="1:21" x14ac:dyDescent="0.25">
      <c r="A29">
        <v>28</v>
      </c>
      <c r="B29" t="s">
        <v>186</v>
      </c>
      <c r="C29" t="str">
        <f t="array" ref="C29">_xlfn.IFS(ISNUMBER(SEARCH("G",govtbox[[#This Row],[JANUARY]])),"G",ISNUMBER(SEARCH("A",govtbox[[#This Row],[JANUARY]])),"A",govtbox[[#This Row],[JANUARY]]="","",govtbox[[#This Row],[JANUARY]]&gt;=100,"P")</f>
        <v>P</v>
      </c>
      <c r="D29" s="85" t="s">
        <v>2230</v>
      </c>
      <c r="E29" s="4" t="s">
        <v>2231</v>
      </c>
      <c r="F29" s="3"/>
      <c r="G29" s="83">
        <v>180</v>
      </c>
      <c r="H29" s="83">
        <v>180</v>
      </c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4"/>
      <c r="U29" s="3"/>
    </row>
    <row r="30" spans="1:21" x14ac:dyDescent="0.25">
      <c r="A30">
        <v>29</v>
      </c>
      <c r="B30" t="s">
        <v>2232</v>
      </c>
      <c r="C30" t="str">
        <f t="array" ref="C30">_xlfn.IFS(ISNUMBER(SEARCH("G",govtbox[[#This Row],[JANUARY]])),"G",ISNUMBER(SEARCH("A",govtbox[[#This Row],[JANUARY]])),"A",govtbox[[#This Row],[JANUARY]]="","",govtbox[[#This Row],[JANUARY]]&gt;=100,"P")</f>
        <v>P</v>
      </c>
      <c r="D30" s="85" t="s">
        <v>2233</v>
      </c>
      <c r="E30" s="4" t="s">
        <v>2234</v>
      </c>
      <c r="F30" s="3"/>
      <c r="G30" s="83">
        <v>190</v>
      </c>
      <c r="H30" s="83">
        <v>190</v>
      </c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4"/>
      <c r="U30" s="3" t="s">
        <v>2205</v>
      </c>
    </row>
    <row r="31" spans="1:21" x14ac:dyDescent="0.25">
      <c r="A31">
        <v>30</v>
      </c>
      <c r="B31" t="s">
        <v>2235</v>
      </c>
      <c r="C31" t="str">
        <f t="array" ref="C31">_xlfn.IFS(ISNUMBER(SEARCH("G",govtbox[[#This Row],[JANUARY]])),"G",ISNUMBER(SEARCH("A",govtbox[[#This Row],[JANUARY]])),"A",govtbox[[#This Row],[JANUARY]]="","",govtbox[[#This Row],[JANUARY]]&gt;=100,"P")</f>
        <v>P</v>
      </c>
      <c r="D31" s="85" t="s">
        <v>2236</v>
      </c>
      <c r="E31" s="4" t="s">
        <v>2237</v>
      </c>
      <c r="F31" s="3"/>
      <c r="G31" s="83">
        <v>190</v>
      </c>
      <c r="H31" s="83">
        <v>180</v>
      </c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4"/>
      <c r="U31" s="3"/>
    </row>
    <row r="32" spans="1:21" x14ac:dyDescent="0.25">
      <c r="A32">
        <v>31</v>
      </c>
      <c r="B32" t="s">
        <v>2238</v>
      </c>
      <c r="C32" t="str">
        <f t="array" ref="C32">_xlfn.IFS(ISNUMBER(SEARCH("G",govtbox[[#This Row],[JANUARY]])),"G",ISNUMBER(SEARCH("A",govtbox[[#This Row],[JANUARY]])),"A",govtbox[[#This Row],[JANUARY]]="","",govtbox[[#This Row],[JANUARY]]&gt;=100,"P")</f>
        <v>P</v>
      </c>
      <c r="D32" s="85" t="s">
        <v>2239</v>
      </c>
      <c r="E32" s="4" t="s">
        <v>2240</v>
      </c>
      <c r="F32" s="3"/>
      <c r="G32" s="83">
        <v>190</v>
      </c>
      <c r="H32" s="83">
        <v>190</v>
      </c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4"/>
      <c r="U32" s="3"/>
    </row>
    <row r="33" spans="1:21" x14ac:dyDescent="0.25">
      <c r="A33">
        <v>32</v>
      </c>
      <c r="B33" t="s">
        <v>2241</v>
      </c>
      <c r="C33" t="str">
        <f t="array" ref="C33">_xlfn.IFS(ISNUMBER(SEARCH("G",govtbox[[#This Row],[JANUARY]])),"G",ISNUMBER(SEARCH("A",govtbox[[#This Row],[JANUARY]])),"A",govtbox[[#This Row],[JANUARY]]="","",govtbox[[#This Row],[JANUARY]]&gt;=100,"P")</f>
        <v>P</v>
      </c>
      <c r="D33" s="85" t="s">
        <v>2242</v>
      </c>
      <c r="E33" s="4" t="s">
        <v>2243</v>
      </c>
      <c r="F33" s="3"/>
      <c r="G33" s="83">
        <v>180</v>
      </c>
      <c r="H33" s="83">
        <v>180</v>
      </c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4"/>
      <c r="U33" s="3"/>
    </row>
    <row r="34" spans="1:21" x14ac:dyDescent="0.25">
      <c r="A34">
        <v>33</v>
      </c>
      <c r="B34" t="s">
        <v>2244</v>
      </c>
      <c r="C34" t="str">
        <f t="array" ref="C34">_xlfn.IFS(ISNUMBER(SEARCH("G",govtbox[[#This Row],[JANUARY]])),"G",ISNUMBER(SEARCH("A",govtbox[[#This Row],[JANUARY]])),"A",govtbox[[#This Row],[JANUARY]]="","",govtbox[[#This Row],[JANUARY]]&gt;=100,"P")</f>
        <v>P</v>
      </c>
      <c r="D34" s="85" t="s">
        <v>2245</v>
      </c>
      <c r="E34" s="4" t="s">
        <v>2246</v>
      </c>
      <c r="F34" s="3"/>
      <c r="G34" s="83">
        <v>180</v>
      </c>
      <c r="H34" s="83">
        <v>180</v>
      </c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4"/>
      <c r="U34" s="3"/>
    </row>
    <row r="35" spans="1:21" x14ac:dyDescent="0.25">
      <c r="A35">
        <v>34</v>
      </c>
      <c r="B35" t="s">
        <v>363</v>
      </c>
      <c r="C35" t="str">
        <f t="array" ref="C35">_xlfn.IFS(ISNUMBER(SEARCH("G",govtbox[[#This Row],[JANUARY]])),"G",ISNUMBER(SEARCH("A",govtbox[[#This Row],[JANUARY]])),"A",govtbox[[#This Row],[JANUARY]]="","",govtbox[[#This Row],[JANUARY]]&gt;=100,"P")</f>
        <v/>
      </c>
      <c r="D35" s="85" t="s">
        <v>2247</v>
      </c>
      <c r="E35" s="4" t="s">
        <v>2248</v>
      </c>
      <c r="F35" s="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4"/>
      <c r="U35" s="3"/>
    </row>
    <row r="36" spans="1:21" x14ac:dyDescent="0.25">
      <c r="A36">
        <v>35</v>
      </c>
      <c r="B36" t="s">
        <v>2249</v>
      </c>
      <c r="C36" t="str">
        <f t="array" ref="C36">_xlfn.IFS(ISNUMBER(SEARCH("G",govtbox[[#This Row],[JANUARY]])),"G",ISNUMBER(SEARCH("A",govtbox[[#This Row],[JANUARY]])),"A",govtbox[[#This Row],[JANUARY]]="","",govtbox[[#This Row],[JANUARY]]&gt;=100,"P")</f>
        <v>P</v>
      </c>
      <c r="D36" s="85" t="s">
        <v>2250</v>
      </c>
      <c r="E36" s="4" t="s">
        <v>2251</v>
      </c>
      <c r="F36" s="3"/>
      <c r="G36" s="83">
        <v>180</v>
      </c>
      <c r="H36" s="83">
        <v>180</v>
      </c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4"/>
      <c r="U36" s="3" t="s">
        <v>2205</v>
      </c>
    </row>
    <row r="37" spans="1:21" x14ac:dyDescent="0.25">
      <c r="A37">
        <v>36</v>
      </c>
      <c r="B37" t="s">
        <v>307</v>
      </c>
      <c r="C37" t="str">
        <f t="array" ref="C37">_xlfn.IFS(ISNUMBER(SEARCH("G",govtbox[[#This Row],[JANUARY]])),"G",ISNUMBER(SEARCH("A",govtbox[[#This Row],[JANUARY]])),"A",govtbox[[#This Row],[JANUARY]]="","",govtbox[[#This Row],[JANUARY]]&gt;=100,"P")</f>
        <v>P</v>
      </c>
      <c r="D37" s="85" t="s">
        <v>2252</v>
      </c>
      <c r="E37" s="4" t="s">
        <v>2253</v>
      </c>
      <c r="F37" s="3"/>
      <c r="G37" s="83">
        <v>190</v>
      </c>
      <c r="H37" s="83">
        <v>190</v>
      </c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4"/>
      <c r="U37" s="3"/>
    </row>
    <row r="38" spans="1:21" x14ac:dyDescent="0.25">
      <c r="A38">
        <v>37</v>
      </c>
      <c r="B38" t="s">
        <v>1407</v>
      </c>
      <c r="C38" t="str">
        <f t="array" ref="C38">_xlfn.IFS(ISNUMBER(SEARCH("G",govtbox[[#This Row],[JANUARY]])),"G",ISNUMBER(SEARCH("A",govtbox[[#This Row],[JANUARY]])),"A",govtbox[[#This Row],[JANUARY]]="","",govtbox[[#This Row],[JANUARY]]&gt;=100,"P")</f>
        <v>P</v>
      </c>
      <c r="D38" s="85" t="s">
        <v>2254</v>
      </c>
      <c r="E38" s="4" t="s">
        <v>2255</v>
      </c>
      <c r="F38" s="3"/>
      <c r="G38" s="83">
        <v>190</v>
      </c>
      <c r="H38" s="83">
        <v>190</v>
      </c>
      <c r="I38" s="83"/>
      <c r="J38" s="83"/>
      <c r="K38" s="83"/>
      <c r="L38" s="83"/>
      <c r="M38" s="83"/>
      <c r="N38" s="83"/>
      <c r="O38" s="83"/>
      <c r="P38" s="83"/>
      <c r="Q38" s="83"/>
      <c r="R38" s="13"/>
      <c r="S38" s="13"/>
      <c r="T38" s="84"/>
      <c r="U38" s="3"/>
    </row>
    <row r="39" spans="1:21" x14ac:dyDescent="0.25">
      <c r="A39">
        <v>38</v>
      </c>
      <c r="B39" t="s">
        <v>1915</v>
      </c>
      <c r="C39" t="str">
        <f t="array" ref="C39">_xlfn.IFS(ISNUMBER(SEARCH("G",govtbox[[#This Row],[JANUARY]])),"G",ISNUMBER(SEARCH("A",govtbox[[#This Row],[JANUARY]])),"A",govtbox[[#This Row],[JANUARY]]="","",govtbox[[#This Row],[JANUARY]]&gt;=100,"P")</f>
        <v>P</v>
      </c>
      <c r="D39" s="85" t="s">
        <v>2256</v>
      </c>
      <c r="E39" s="4" t="s">
        <v>2257</v>
      </c>
      <c r="F39" s="3"/>
      <c r="G39" s="83">
        <v>190</v>
      </c>
      <c r="H39" s="83">
        <v>190</v>
      </c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4"/>
      <c r="U39" s="3"/>
    </row>
    <row r="40" spans="1:21" x14ac:dyDescent="0.25">
      <c r="A40">
        <v>39</v>
      </c>
      <c r="B40" t="s">
        <v>1332</v>
      </c>
      <c r="C40" t="str">
        <f t="array" ref="C40">_xlfn.IFS(ISNUMBER(SEARCH("G",govtbox[[#This Row],[JANUARY]])),"G",ISNUMBER(SEARCH("A",govtbox[[#This Row],[JANUARY]])),"A",govtbox[[#This Row],[JANUARY]]="","",govtbox[[#This Row],[JANUARY]]&gt;=100,"P")</f>
        <v>P</v>
      </c>
      <c r="D40" s="85" t="s">
        <v>2258</v>
      </c>
      <c r="E40" s="4" t="s">
        <v>2259</v>
      </c>
      <c r="F40" s="3"/>
      <c r="G40" s="83">
        <v>180</v>
      </c>
      <c r="H40" s="83">
        <v>180</v>
      </c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4"/>
      <c r="U40" s="3"/>
    </row>
    <row r="41" spans="1:21" x14ac:dyDescent="0.25">
      <c r="A41">
        <v>40</v>
      </c>
      <c r="B41" t="s">
        <v>2260</v>
      </c>
      <c r="C41" t="str">
        <f t="array" ref="C41">_xlfn.IFS(ISNUMBER(SEARCH("G",govtbox[[#This Row],[JANUARY]])),"G",ISNUMBER(SEARCH("A",govtbox[[#This Row],[JANUARY]])),"A",govtbox[[#This Row],[JANUARY]]="","",govtbox[[#This Row],[JANUARY]]&gt;=100,"P")</f>
        <v>P</v>
      </c>
      <c r="D41" s="85" t="s">
        <v>2261</v>
      </c>
      <c r="E41" s="4" t="s">
        <v>2262</v>
      </c>
      <c r="F41" s="3"/>
      <c r="G41" s="83">
        <v>190</v>
      </c>
      <c r="H41" s="83">
        <v>180</v>
      </c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4">
        <v>40</v>
      </c>
      <c r="U41" s="3"/>
    </row>
    <row r="42" spans="1:21" x14ac:dyDescent="0.25">
      <c r="A42">
        <v>41</v>
      </c>
      <c r="B42" t="s">
        <v>2263</v>
      </c>
      <c r="C42" t="str">
        <f t="array" ref="C42">_xlfn.IFS(ISNUMBER(SEARCH("G",govtbox[[#This Row],[JANUARY]])),"G",ISNUMBER(SEARCH("A",govtbox[[#This Row],[JANUARY]])),"A",govtbox[[#This Row],[JANUARY]]="","",govtbox[[#This Row],[JANUARY]]&gt;=100,"P")</f>
        <v>P</v>
      </c>
      <c r="D42" s="85" t="s">
        <v>2264</v>
      </c>
      <c r="E42" s="4" t="s">
        <v>2265</v>
      </c>
      <c r="F42" s="85"/>
      <c r="G42" s="83">
        <v>180</v>
      </c>
      <c r="H42" s="83">
        <v>180</v>
      </c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4"/>
      <c r="U42" s="3"/>
    </row>
    <row r="43" spans="1:21" x14ac:dyDescent="0.25">
      <c r="A43">
        <v>42</v>
      </c>
      <c r="B43" t="s">
        <v>110</v>
      </c>
      <c r="C43" t="str">
        <f t="array" ref="C43">_xlfn.IFS(ISNUMBER(SEARCH("G",govtbox[[#This Row],[JANUARY]])),"G",ISNUMBER(SEARCH("A",govtbox[[#This Row],[JANUARY]])),"A",govtbox[[#This Row],[JANUARY]]="","",govtbox[[#This Row],[JANUARY]]&gt;=100,"P")</f>
        <v/>
      </c>
      <c r="D43" s="85" t="s">
        <v>2266</v>
      </c>
      <c r="E43" s="4" t="s">
        <v>2267</v>
      </c>
      <c r="F43" s="3"/>
      <c r="G43" s="83">
        <v>190</v>
      </c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4"/>
      <c r="U43" s="3"/>
    </row>
    <row r="44" spans="1:21" x14ac:dyDescent="0.25">
      <c r="A44">
        <v>43</v>
      </c>
      <c r="B44" t="s">
        <v>2268</v>
      </c>
      <c r="C44" t="str">
        <f t="array" ref="C44">_xlfn.IFS(ISNUMBER(SEARCH("G",govtbox[[#This Row],[JANUARY]])),"G",ISNUMBER(SEARCH("A",govtbox[[#This Row],[JANUARY]])),"A",govtbox[[#This Row],[JANUARY]]="","",govtbox[[#This Row],[JANUARY]]&gt;=100,"P")</f>
        <v>P</v>
      </c>
      <c r="D44" s="85" t="s">
        <v>2269</v>
      </c>
      <c r="E44" s="4" t="s">
        <v>2270</v>
      </c>
      <c r="F44" s="3"/>
      <c r="G44" s="83">
        <v>180</v>
      </c>
      <c r="H44" s="83">
        <v>190</v>
      </c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4"/>
      <c r="U44" s="3"/>
    </row>
    <row r="45" spans="1:21" x14ac:dyDescent="0.25">
      <c r="A45">
        <v>44</v>
      </c>
      <c r="B45" t="s">
        <v>2271</v>
      </c>
      <c r="C45" t="str">
        <f t="array" ref="C45">_xlfn.IFS(ISNUMBER(SEARCH("G",govtbox[[#This Row],[JANUARY]])),"G",ISNUMBER(SEARCH("A",govtbox[[#This Row],[JANUARY]])),"A",govtbox[[#This Row],[JANUARY]]="","",govtbox[[#This Row],[JANUARY]]&gt;=100,"P")</f>
        <v>P</v>
      </c>
      <c r="D45" s="85" t="s">
        <v>2272</v>
      </c>
      <c r="E45" s="4" t="s">
        <v>2273</v>
      </c>
      <c r="F45" s="3"/>
      <c r="G45" s="83">
        <v>180</v>
      </c>
      <c r="H45" s="83">
        <v>190</v>
      </c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4"/>
      <c r="U45" s="3"/>
    </row>
    <row r="46" spans="1:21" x14ac:dyDescent="0.25">
      <c r="A46">
        <v>45</v>
      </c>
      <c r="B46" t="s">
        <v>665</v>
      </c>
      <c r="C46" t="str">
        <f t="array" ref="C46">_xlfn.IFS(ISNUMBER(SEARCH("G",govtbox[[#This Row],[JANUARY]])),"G",ISNUMBER(SEARCH("A",govtbox[[#This Row],[JANUARY]])),"A",govtbox[[#This Row],[JANUARY]]="","",govtbox[[#This Row],[JANUARY]]&gt;=100,"P")</f>
        <v>P</v>
      </c>
      <c r="D46" s="85" t="s">
        <v>2274</v>
      </c>
      <c r="E46" s="4" t="s">
        <v>2275</v>
      </c>
      <c r="F46" s="3"/>
      <c r="G46" s="83">
        <v>180</v>
      </c>
      <c r="H46" s="83">
        <v>180</v>
      </c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4"/>
      <c r="U46" s="3"/>
    </row>
    <row r="47" spans="1:21" x14ac:dyDescent="0.25">
      <c r="A47">
        <v>46</v>
      </c>
      <c r="B47" t="s">
        <v>2276</v>
      </c>
      <c r="C47" t="str">
        <f t="array" ref="C47">_xlfn.IFS(ISNUMBER(SEARCH("G",govtbox[[#This Row],[JANUARY]])),"G",ISNUMBER(SEARCH("A",govtbox[[#This Row],[JANUARY]])),"A",govtbox[[#This Row],[JANUARY]]="","",govtbox[[#This Row],[JANUARY]]&gt;=100,"P")</f>
        <v>P</v>
      </c>
      <c r="D47" s="85" t="s">
        <v>2277</v>
      </c>
      <c r="E47" s="4" t="s">
        <v>2278</v>
      </c>
      <c r="F47" s="3"/>
      <c r="G47" s="83">
        <v>180</v>
      </c>
      <c r="H47" s="83">
        <v>190</v>
      </c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4"/>
      <c r="U47" s="3"/>
    </row>
    <row r="48" spans="1:21" x14ac:dyDescent="0.25">
      <c r="A48">
        <v>47</v>
      </c>
      <c r="B48" t="s">
        <v>2279</v>
      </c>
      <c r="C48" t="str">
        <f t="array" ref="C48">_xlfn.IFS(ISNUMBER(SEARCH("G",govtbox[[#This Row],[JANUARY]])),"G",ISNUMBER(SEARCH("A",govtbox[[#This Row],[JANUARY]])),"A",govtbox[[#This Row],[JANUARY]]="","",govtbox[[#This Row],[JANUARY]]&gt;=100,"P")</f>
        <v>P</v>
      </c>
      <c r="D48" s="85" t="s">
        <v>2280</v>
      </c>
      <c r="E48" s="4" t="s">
        <v>2281</v>
      </c>
      <c r="F48" s="3"/>
      <c r="G48" s="83">
        <v>180</v>
      </c>
      <c r="H48" s="83">
        <v>180</v>
      </c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4"/>
      <c r="U48" s="3"/>
    </row>
    <row r="49" spans="1:21" x14ac:dyDescent="0.25">
      <c r="A49">
        <v>48</v>
      </c>
      <c r="B49" t="s">
        <v>1909</v>
      </c>
      <c r="C49" t="str">
        <f t="array" ref="C49">_xlfn.IFS(ISNUMBER(SEARCH("G",govtbox[[#This Row],[JANUARY]])),"G",ISNUMBER(SEARCH("A",govtbox[[#This Row],[JANUARY]])),"A",govtbox[[#This Row],[JANUARY]]="","",govtbox[[#This Row],[JANUARY]]&gt;=100,"P")</f>
        <v/>
      </c>
      <c r="D49" s="85" t="s">
        <v>2282</v>
      </c>
      <c r="E49" s="4" t="s">
        <v>2283</v>
      </c>
      <c r="F49" s="3"/>
      <c r="G49" s="83">
        <v>180</v>
      </c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4"/>
      <c r="U49" s="3"/>
    </row>
    <row r="50" spans="1:21" x14ac:dyDescent="0.25">
      <c r="A50">
        <v>49</v>
      </c>
      <c r="B50" t="s">
        <v>1909</v>
      </c>
      <c r="C50" t="str">
        <f t="array" ref="C50">_xlfn.IFS(ISNUMBER(SEARCH("G",govtbox[[#This Row],[JANUARY]])),"G",ISNUMBER(SEARCH("A",govtbox[[#This Row],[JANUARY]])),"A",govtbox[[#This Row],[JANUARY]]="","",govtbox[[#This Row],[JANUARY]]&gt;=100,"P")</f>
        <v>P</v>
      </c>
      <c r="D50" s="85" t="s">
        <v>2284</v>
      </c>
      <c r="E50" s="4" t="s">
        <v>2285</v>
      </c>
      <c r="F50" s="3"/>
      <c r="G50" s="83">
        <v>170</v>
      </c>
      <c r="H50" s="83">
        <v>170</v>
      </c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4"/>
      <c r="U50" s="3"/>
    </row>
    <row r="51" spans="1:21" x14ac:dyDescent="0.25">
      <c r="A51">
        <v>50</v>
      </c>
      <c r="B51" t="s">
        <v>963</v>
      </c>
      <c r="C51" t="str">
        <f t="array" ref="C51">_xlfn.IFS(ISNUMBER(SEARCH("G",govtbox[[#This Row],[JANUARY]])),"G",ISNUMBER(SEARCH("A",govtbox[[#This Row],[JANUARY]])),"A",govtbox[[#This Row],[JANUARY]]="","",govtbox[[#This Row],[JANUARY]]&gt;=100,"P")</f>
        <v>P</v>
      </c>
      <c r="D51" s="85" t="s">
        <v>2286</v>
      </c>
      <c r="E51" s="4" t="s">
        <v>2287</v>
      </c>
      <c r="F51" s="3"/>
      <c r="G51" s="83">
        <v>180</v>
      </c>
      <c r="H51" s="83">
        <v>180</v>
      </c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4"/>
      <c r="U51" s="3"/>
    </row>
    <row r="52" spans="1:21" x14ac:dyDescent="0.25">
      <c r="A52">
        <v>51</v>
      </c>
      <c r="B52" t="s">
        <v>2288</v>
      </c>
      <c r="C52" t="str">
        <f t="array" ref="C52">_xlfn.IFS(ISNUMBER(SEARCH("G",govtbox[[#This Row],[JANUARY]])),"G",ISNUMBER(SEARCH("A",govtbox[[#This Row],[JANUARY]])),"A",govtbox[[#This Row],[JANUARY]]="","",govtbox[[#This Row],[JANUARY]]&gt;=100,"P")</f>
        <v>P</v>
      </c>
      <c r="D52" s="85" t="s">
        <v>2289</v>
      </c>
      <c r="E52" s="4" t="s">
        <v>2290</v>
      </c>
      <c r="F52" s="3"/>
      <c r="G52" s="83">
        <v>180</v>
      </c>
      <c r="H52" s="83">
        <v>180</v>
      </c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4"/>
      <c r="U52" s="3"/>
    </row>
    <row r="53" spans="1:21" x14ac:dyDescent="0.25">
      <c r="A53">
        <v>52</v>
      </c>
      <c r="B53" t="s">
        <v>143</v>
      </c>
      <c r="C53" t="str">
        <f t="array" ref="C53">_xlfn.IFS(ISNUMBER(SEARCH("G",govtbox[[#This Row],[JANUARY]])),"G",ISNUMBER(SEARCH("A",govtbox[[#This Row],[JANUARY]])),"A",govtbox[[#This Row],[JANUARY]]="","",govtbox[[#This Row],[JANUARY]]&gt;=100,"P")</f>
        <v>P</v>
      </c>
      <c r="D53" s="85" t="s">
        <v>2291</v>
      </c>
      <c r="E53" s="4" t="s">
        <v>2292</v>
      </c>
      <c r="F53" s="3"/>
      <c r="G53" s="83">
        <v>180</v>
      </c>
      <c r="H53" s="83">
        <v>180</v>
      </c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4"/>
      <c r="U53" s="3"/>
    </row>
    <row r="54" spans="1:21" x14ac:dyDescent="0.25">
      <c r="A54">
        <v>53</v>
      </c>
      <c r="B54" t="s">
        <v>2293</v>
      </c>
      <c r="C54" t="str">
        <f t="array" ref="C54">_xlfn.IFS(ISNUMBER(SEARCH("G",govtbox[[#This Row],[JANUARY]])),"G",ISNUMBER(SEARCH("A",govtbox[[#This Row],[JANUARY]])),"A",govtbox[[#This Row],[JANUARY]]="","",govtbox[[#This Row],[JANUARY]]&gt;=100,"P")</f>
        <v>P</v>
      </c>
      <c r="D54" s="85" t="s">
        <v>2294</v>
      </c>
      <c r="E54" s="4" t="s">
        <v>2295</v>
      </c>
      <c r="F54" s="3"/>
      <c r="G54" s="83">
        <v>190</v>
      </c>
      <c r="H54" s="83">
        <v>190</v>
      </c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4"/>
      <c r="U54" s="3"/>
    </row>
    <row r="55" spans="1:21" x14ac:dyDescent="0.25">
      <c r="A55">
        <v>54</v>
      </c>
      <c r="B55" t="s">
        <v>2296</v>
      </c>
      <c r="C55" t="str">
        <f t="array" ref="C55">_xlfn.IFS(ISNUMBER(SEARCH("G",govtbox[[#This Row],[JANUARY]])),"G",ISNUMBER(SEARCH("A",govtbox[[#This Row],[JANUARY]])),"A",govtbox[[#This Row],[JANUARY]]="","",govtbox[[#This Row],[JANUARY]]&gt;=100,"P")</f>
        <v>P</v>
      </c>
      <c r="D55" s="85" t="s">
        <v>2297</v>
      </c>
      <c r="E55" s="4" t="s">
        <v>2298</v>
      </c>
      <c r="F55" s="3"/>
      <c r="G55" s="83">
        <v>180</v>
      </c>
      <c r="H55" s="83">
        <v>190</v>
      </c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4"/>
      <c r="U55" s="3"/>
    </row>
    <row r="56" spans="1:21" x14ac:dyDescent="0.25">
      <c r="A56">
        <v>55</v>
      </c>
      <c r="B56" t="s">
        <v>502</v>
      </c>
      <c r="C56" t="str">
        <f t="array" ref="C56">_xlfn.IFS(ISNUMBER(SEARCH("G",govtbox[[#This Row],[JANUARY]])),"G",ISNUMBER(SEARCH("A",govtbox[[#This Row],[JANUARY]])),"A",govtbox[[#This Row],[JANUARY]]="","",govtbox[[#This Row],[JANUARY]]&gt;=100,"P")</f>
        <v>P</v>
      </c>
      <c r="D56" s="85" t="s">
        <v>2299</v>
      </c>
      <c r="E56" s="4" t="s">
        <v>2300</v>
      </c>
      <c r="F56" s="3"/>
      <c r="G56" s="83">
        <v>180</v>
      </c>
      <c r="H56" s="83">
        <v>190</v>
      </c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4"/>
      <c r="U56" s="3"/>
    </row>
    <row r="57" spans="1:21" x14ac:dyDescent="0.25">
      <c r="A57">
        <v>56</v>
      </c>
      <c r="B57" t="s">
        <v>872</v>
      </c>
      <c r="C57" t="str">
        <f t="array" ref="C57">_xlfn.IFS(ISNUMBER(SEARCH("G",govtbox[[#This Row],[JANUARY]])),"G",ISNUMBER(SEARCH("A",govtbox[[#This Row],[JANUARY]])),"A",govtbox[[#This Row],[JANUARY]]="","",govtbox[[#This Row],[JANUARY]]&gt;=100,"P")</f>
        <v>P</v>
      </c>
      <c r="D57" s="85" t="s">
        <v>2301</v>
      </c>
      <c r="E57" s="4" t="s">
        <v>2302</v>
      </c>
      <c r="F57" s="4"/>
      <c r="G57" s="83">
        <v>360</v>
      </c>
      <c r="H57" s="83">
        <v>190</v>
      </c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4"/>
      <c r="U57" s="4"/>
    </row>
    <row r="58" spans="1:21" x14ac:dyDescent="0.25">
      <c r="A58">
        <v>57</v>
      </c>
      <c r="B58" t="s">
        <v>2303</v>
      </c>
      <c r="C58" t="str">
        <f t="array" ref="C58">_xlfn.IFS(ISNUMBER(SEARCH("G",govtbox[[#This Row],[JANUARY]])),"G",ISNUMBER(SEARCH("A",govtbox[[#This Row],[JANUARY]])),"A",govtbox[[#This Row],[JANUARY]]="","",govtbox[[#This Row],[JANUARY]]&gt;=100,"P")</f>
        <v>P</v>
      </c>
      <c r="D58" s="85" t="s">
        <v>2304</v>
      </c>
      <c r="E58" s="4" t="s">
        <v>2305</v>
      </c>
      <c r="F58" s="3"/>
      <c r="G58" s="83">
        <v>180</v>
      </c>
      <c r="H58" s="83">
        <v>190</v>
      </c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4"/>
      <c r="U58" s="3"/>
    </row>
    <row r="59" spans="1:21" x14ac:dyDescent="0.25">
      <c r="A59">
        <v>58</v>
      </c>
      <c r="B59" t="s">
        <v>2306</v>
      </c>
      <c r="C59" t="str">
        <f t="array" ref="C59">_xlfn.IFS(ISNUMBER(SEARCH("G",govtbox[[#This Row],[JANUARY]])),"G",ISNUMBER(SEARCH("A",govtbox[[#This Row],[JANUARY]])),"A",govtbox[[#This Row],[JANUARY]]="","",govtbox[[#This Row],[JANUARY]]&gt;=100,"P")</f>
        <v>P</v>
      </c>
      <c r="D59" s="85" t="s">
        <v>2307</v>
      </c>
      <c r="E59" s="4" t="s">
        <v>2308</v>
      </c>
      <c r="F59" s="3"/>
      <c r="G59" s="83">
        <v>180</v>
      </c>
      <c r="H59" s="83">
        <v>180</v>
      </c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4"/>
      <c r="U59" s="3"/>
    </row>
    <row r="60" spans="1:21" x14ac:dyDescent="0.25">
      <c r="A60">
        <v>59</v>
      </c>
      <c r="B60" t="s">
        <v>590</v>
      </c>
      <c r="C60" t="str">
        <f t="array" ref="C60">_xlfn.IFS(ISNUMBER(SEARCH("G",govtbox[[#This Row],[JANUARY]])),"G",ISNUMBER(SEARCH("A",govtbox[[#This Row],[JANUARY]])),"A",govtbox[[#This Row],[JANUARY]]="","",govtbox[[#This Row],[JANUARY]]&gt;=100,"P")</f>
        <v>P</v>
      </c>
      <c r="D60" s="85" t="s">
        <v>2309</v>
      </c>
      <c r="E60" s="4" t="s">
        <v>2310</v>
      </c>
      <c r="F60" s="3"/>
      <c r="G60" s="83">
        <v>190</v>
      </c>
      <c r="H60" s="83">
        <v>190</v>
      </c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4"/>
      <c r="U60" s="3"/>
    </row>
    <row r="61" spans="1:21" x14ac:dyDescent="0.25">
      <c r="A61">
        <v>60</v>
      </c>
      <c r="B61" t="s">
        <v>363</v>
      </c>
      <c r="C61" t="str">
        <f t="array" ref="C61">_xlfn.IFS(ISNUMBER(SEARCH("G",govtbox[[#This Row],[JANUARY]])),"G",ISNUMBER(SEARCH("A",govtbox[[#This Row],[JANUARY]])),"A",govtbox[[#This Row],[JANUARY]]="","",govtbox[[#This Row],[JANUARY]]&gt;=100,"P")</f>
        <v>P</v>
      </c>
      <c r="D61" s="85" t="s">
        <v>2311</v>
      </c>
      <c r="E61" s="4" t="s">
        <v>2312</v>
      </c>
      <c r="F61" s="3"/>
      <c r="G61" s="83">
        <v>100</v>
      </c>
      <c r="H61" s="83">
        <v>100</v>
      </c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4"/>
      <c r="U61" s="3" t="s">
        <v>2313</v>
      </c>
    </row>
    <row r="62" spans="1:21" x14ac:dyDescent="0.25">
      <c r="A62">
        <v>61</v>
      </c>
      <c r="B62" t="s">
        <v>2314</v>
      </c>
      <c r="C62" t="str">
        <f t="array" ref="C62">_xlfn.IFS(ISNUMBER(SEARCH("G",govtbox[[#This Row],[JANUARY]])),"G",ISNUMBER(SEARCH("A",govtbox[[#This Row],[JANUARY]])),"A",govtbox[[#This Row],[JANUARY]]="","",govtbox[[#This Row],[JANUARY]]&gt;=100,"P")</f>
        <v>P</v>
      </c>
      <c r="D62" s="85" t="s">
        <v>2315</v>
      </c>
      <c r="E62" s="4" t="s">
        <v>2316</v>
      </c>
      <c r="F62" s="3"/>
      <c r="G62" s="83">
        <v>180</v>
      </c>
      <c r="H62" s="83">
        <v>180</v>
      </c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4"/>
      <c r="U62" s="3"/>
    </row>
    <row r="63" spans="1:21" x14ac:dyDescent="0.25">
      <c r="A63">
        <v>62</v>
      </c>
      <c r="B63" t="s">
        <v>713</v>
      </c>
      <c r="C63" t="str">
        <f t="array" ref="C63">_xlfn.IFS(ISNUMBER(SEARCH("G",govtbox[[#This Row],[JANUARY]])),"G",ISNUMBER(SEARCH("A",govtbox[[#This Row],[JANUARY]])),"A",govtbox[[#This Row],[JANUARY]]="","",govtbox[[#This Row],[JANUARY]]&gt;=100,"P")</f>
        <v>P</v>
      </c>
      <c r="D63" s="85" t="s">
        <v>2317</v>
      </c>
      <c r="E63" s="4" t="s">
        <v>2318</v>
      </c>
      <c r="F63" s="3"/>
      <c r="G63" s="83">
        <v>300</v>
      </c>
      <c r="H63" s="83">
        <v>180</v>
      </c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4"/>
      <c r="U63" s="3"/>
    </row>
    <row r="64" spans="1:21" x14ac:dyDescent="0.25">
      <c r="A64">
        <v>63</v>
      </c>
      <c r="B64" t="s">
        <v>2319</v>
      </c>
      <c r="C64" t="str">
        <f t="array" ref="C64">_xlfn.IFS(ISNUMBER(SEARCH("G",govtbox[[#This Row],[JANUARY]])),"G",ISNUMBER(SEARCH("A",govtbox[[#This Row],[JANUARY]])),"A",govtbox[[#This Row],[JANUARY]]="","",govtbox[[#This Row],[JANUARY]]&gt;=100,"P")</f>
        <v>P</v>
      </c>
      <c r="D64" s="85" t="s">
        <v>2320</v>
      </c>
      <c r="E64" s="4" t="s">
        <v>2321</v>
      </c>
      <c r="F64" s="3"/>
      <c r="G64" s="83">
        <v>180</v>
      </c>
      <c r="H64" s="83">
        <v>180</v>
      </c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4"/>
      <c r="U64" s="3" t="s">
        <v>2205</v>
      </c>
    </row>
    <row r="65" spans="1:21" x14ac:dyDescent="0.25">
      <c r="A65">
        <v>64</v>
      </c>
      <c r="B65" t="s">
        <v>1111</v>
      </c>
      <c r="C65" t="str">
        <f t="array" ref="C65">_xlfn.IFS(ISNUMBER(SEARCH("G",govtbox[[#This Row],[JANUARY]])),"G",ISNUMBER(SEARCH("A",govtbox[[#This Row],[JANUARY]])),"A",govtbox[[#This Row],[JANUARY]]="","",govtbox[[#This Row],[JANUARY]]&gt;=100,"P")</f>
        <v>P</v>
      </c>
      <c r="D65" s="85" t="s">
        <v>2322</v>
      </c>
      <c r="E65" s="85" t="s">
        <v>2323</v>
      </c>
      <c r="F65" s="85"/>
      <c r="G65" s="83">
        <v>180</v>
      </c>
      <c r="H65" s="83">
        <v>180</v>
      </c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4"/>
      <c r="U65" s="85" t="s">
        <v>1404</v>
      </c>
    </row>
    <row r="66" spans="1:21" x14ac:dyDescent="0.25">
      <c r="A66">
        <v>65</v>
      </c>
      <c r="B66" t="s">
        <v>2324</v>
      </c>
      <c r="C66" t="str">
        <f t="array" ref="C66">_xlfn.IFS(ISNUMBER(SEARCH("G",govtbox[[#This Row],[JANUARY]])),"G",ISNUMBER(SEARCH("A",govtbox[[#This Row],[JANUARY]])),"A",govtbox[[#This Row],[JANUARY]]="","",govtbox[[#This Row],[JANUARY]]&gt;=100,"P")</f>
        <v>P</v>
      </c>
      <c r="D66" s="85" t="s">
        <v>2325</v>
      </c>
      <c r="E66" s="4" t="s">
        <v>2326</v>
      </c>
      <c r="F66" s="3"/>
      <c r="G66" s="83">
        <v>150</v>
      </c>
      <c r="H66" s="83">
        <v>150</v>
      </c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4"/>
      <c r="U66" s="3"/>
    </row>
    <row r="67" spans="1:21" x14ac:dyDescent="0.25">
      <c r="A67">
        <v>66</v>
      </c>
      <c r="B67" t="s">
        <v>2235</v>
      </c>
      <c r="C67" t="str">
        <f t="array" ref="C67">_xlfn.IFS(ISNUMBER(SEARCH("G",govtbox[[#This Row],[JANUARY]])),"G",ISNUMBER(SEARCH("A",govtbox[[#This Row],[JANUARY]])),"A",govtbox[[#This Row],[JANUARY]]="","",govtbox[[#This Row],[JANUARY]]&gt;=100,"P")</f>
        <v>P</v>
      </c>
      <c r="D67" s="85" t="s">
        <v>2327</v>
      </c>
      <c r="E67" s="4" t="s">
        <v>2328</v>
      </c>
      <c r="F67" s="3"/>
      <c r="G67" s="83" t="s">
        <v>2070</v>
      </c>
      <c r="H67" s="83">
        <v>200</v>
      </c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4"/>
      <c r="U67" s="3" t="s">
        <v>264</v>
      </c>
    </row>
    <row r="68" spans="1:21" x14ac:dyDescent="0.25">
      <c r="A68">
        <v>67</v>
      </c>
      <c r="B68" t="s">
        <v>2329</v>
      </c>
      <c r="C68" t="str">
        <f t="array" ref="C68">_xlfn.IFS(ISNUMBER(SEARCH("G",govtbox[[#This Row],[JANUARY]])),"G",ISNUMBER(SEARCH("A",govtbox[[#This Row],[JANUARY]])),"A",govtbox[[#This Row],[JANUARY]]="","",govtbox[[#This Row],[JANUARY]]&gt;=100,"P")</f>
        <v>P</v>
      </c>
      <c r="D68" s="85" t="s">
        <v>2330</v>
      </c>
      <c r="E68" s="4" t="s">
        <v>2331</v>
      </c>
      <c r="F68" s="3"/>
      <c r="G68" s="83">
        <v>190</v>
      </c>
      <c r="H68" s="83">
        <v>180</v>
      </c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4"/>
      <c r="U68" s="3"/>
    </row>
    <row r="69" spans="1:21" x14ac:dyDescent="0.25">
      <c r="A69">
        <v>68</v>
      </c>
      <c r="B69" t="s">
        <v>2332</v>
      </c>
      <c r="C69" t="str">
        <f t="array" ref="C69">_xlfn.IFS(ISNUMBER(SEARCH("G",govtbox[[#This Row],[JANUARY]])),"G",ISNUMBER(SEARCH("A",govtbox[[#This Row],[JANUARY]])),"A",govtbox[[#This Row],[JANUARY]]="","",govtbox[[#This Row],[JANUARY]]&gt;=100,"P")</f>
        <v>P</v>
      </c>
      <c r="D69" s="85" t="s">
        <v>2333</v>
      </c>
      <c r="E69" s="85" t="s">
        <v>2334</v>
      </c>
      <c r="F69" s="85"/>
      <c r="G69" s="83">
        <v>190</v>
      </c>
      <c r="H69" s="83">
        <v>180</v>
      </c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4"/>
      <c r="U69" s="85"/>
    </row>
    <row r="70" spans="1:21" x14ac:dyDescent="0.25">
      <c r="A70">
        <v>69</v>
      </c>
      <c r="B70" t="s">
        <v>2335</v>
      </c>
      <c r="C70" t="str">
        <f t="array" ref="C70">_xlfn.IFS(ISNUMBER(SEARCH("G",govtbox[[#This Row],[JANUARY]])),"G",ISNUMBER(SEARCH("A",govtbox[[#This Row],[JANUARY]])),"A",govtbox[[#This Row],[JANUARY]]="","",govtbox[[#This Row],[JANUARY]]&gt;=100,"P")</f>
        <v>P</v>
      </c>
      <c r="D70" s="85" t="s">
        <v>2336</v>
      </c>
      <c r="E70" s="4" t="s">
        <v>2337</v>
      </c>
      <c r="F70" s="3"/>
      <c r="G70" s="83">
        <v>200</v>
      </c>
      <c r="H70" s="83">
        <v>200</v>
      </c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4"/>
      <c r="U70" s="3" t="s">
        <v>2338</v>
      </c>
    </row>
    <row r="71" spans="1:21" x14ac:dyDescent="0.25">
      <c r="A71">
        <v>70</v>
      </c>
      <c r="B71" t="s">
        <v>201</v>
      </c>
      <c r="C71" t="str">
        <f t="array" ref="C71">_xlfn.IFS(ISNUMBER(SEARCH("G",govtbox[[#This Row],[JANUARY]])),"G",ISNUMBER(SEARCH("A",govtbox[[#This Row],[JANUARY]])),"A",govtbox[[#This Row],[JANUARY]]="","",govtbox[[#This Row],[JANUARY]]&gt;=100,"P")</f>
        <v>P</v>
      </c>
      <c r="D71" s="85" t="s">
        <v>2339</v>
      </c>
      <c r="E71" s="4" t="s">
        <v>2340</v>
      </c>
      <c r="F71" s="3"/>
      <c r="G71" s="83">
        <v>190</v>
      </c>
      <c r="H71" s="83">
        <v>190</v>
      </c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4"/>
      <c r="U71" s="3"/>
    </row>
    <row r="72" spans="1:21" x14ac:dyDescent="0.25">
      <c r="A72">
        <v>71</v>
      </c>
      <c r="B72" t="s">
        <v>2341</v>
      </c>
      <c r="C72" t="str">
        <f t="array" ref="C72">_xlfn.IFS(ISNUMBER(SEARCH("G",govtbox[[#This Row],[JANUARY]])),"G",ISNUMBER(SEARCH("A",govtbox[[#This Row],[JANUARY]])),"A",govtbox[[#This Row],[JANUARY]]="","",govtbox[[#This Row],[JANUARY]]&gt;=100,"P")</f>
        <v>P</v>
      </c>
      <c r="D72" s="85" t="s">
        <v>2342</v>
      </c>
      <c r="E72" s="4" t="s">
        <v>2343</v>
      </c>
      <c r="F72" s="3"/>
      <c r="G72" s="83">
        <v>190</v>
      </c>
      <c r="H72" s="83">
        <v>190</v>
      </c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4"/>
      <c r="U72" s="3"/>
    </row>
    <row r="73" spans="1:21" x14ac:dyDescent="0.25">
      <c r="A73">
        <v>72</v>
      </c>
      <c r="B73" t="s">
        <v>2344</v>
      </c>
      <c r="C73" t="str">
        <f t="array" ref="C73">_xlfn.IFS(ISNUMBER(SEARCH("G",govtbox[[#This Row],[JANUARY]])),"G",ISNUMBER(SEARCH("A",govtbox[[#This Row],[JANUARY]])),"A",govtbox[[#This Row],[JANUARY]]="","",govtbox[[#This Row],[JANUARY]]&gt;=100,"P")</f>
        <v>P</v>
      </c>
      <c r="D73" s="85" t="s">
        <v>2345</v>
      </c>
      <c r="E73" s="4" t="s">
        <v>2346</v>
      </c>
      <c r="F73" s="3"/>
      <c r="G73" s="83">
        <v>180</v>
      </c>
      <c r="H73" s="83">
        <v>190</v>
      </c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4"/>
      <c r="U73" s="3"/>
    </row>
    <row r="74" spans="1:21" x14ac:dyDescent="0.25">
      <c r="A74">
        <v>73</v>
      </c>
      <c r="B74" t="s">
        <v>2347</v>
      </c>
      <c r="C74" t="str">
        <f t="array" ref="C74">_xlfn.IFS(ISNUMBER(SEARCH("G",govtbox[[#This Row],[JANUARY]])),"G",ISNUMBER(SEARCH("A",govtbox[[#This Row],[JANUARY]])),"A",govtbox[[#This Row],[JANUARY]]="","",govtbox[[#This Row],[JANUARY]]&gt;=100,"P")</f>
        <v>P</v>
      </c>
      <c r="D74" s="85" t="s">
        <v>2348</v>
      </c>
      <c r="E74" s="4" t="s">
        <v>2349</v>
      </c>
      <c r="F74" s="3"/>
      <c r="G74" s="83">
        <v>190</v>
      </c>
      <c r="H74" s="83">
        <v>100</v>
      </c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4"/>
      <c r="U74" s="3"/>
    </row>
    <row r="75" spans="1:21" x14ac:dyDescent="0.25">
      <c r="A75">
        <v>74</v>
      </c>
      <c r="B75" t="s">
        <v>222</v>
      </c>
      <c r="C75" t="str">
        <f t="array" ref="C75">_xlfn.IFS(ISNUMBER(SEARCH("G",govtbox[[#This Row],[JANUARY]])),"G",ISNUMBER(SEARCH("A",govtbox[[#This Row],[JANUARY]])),"A",govtbox[[#This Row],[JANUARY]]="","",govtbox[[#This Row],[JANUARY]]&gt;=100,"P")</f>
        <v>P</v>
      </c>
      <c r="D75" s="85" t="s">
        <v>2350</v>
      </c>
      <c r="E75" s="4" t="s">
        <v>2351</v>
      </c>
      <c r="F75" s="3"/>
      <c r="G75" s="83">
        <v>190</v>
      </c>
      <c r="H75" s="83">
        <v>180</v>
      </c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4"/>
      <c r="U75" s="3"/>
    </row>
    <row r="76" spans="1:21" x14ac:dyDescent="0.25">
      <c r="A76">
        <v>75</v>
      </c>
      <c r="B76" t="s">
        <v>2352</v>
      </c>
      <c r="C76" t="str">
        <f t="array" ref="C76">_xlfn.IFS(ISNUMBER(SEARCH("G",govtbox[[#This Row],[JANUARY]])),"G",ISNUMBER(SEARCH("A",govtbox[[#This Row],[JANUARY]])),"A",govtbox[[#This Row],[JANUARY]]="","",govtbox[[#This Row],[JANUARY]]&gt;=100,"P")</f>
        <v>P</v>
      </c>
      <c r="D76" s="85" t="s">
        <v>2353</v>
      </c>
      <c r="E76" s="4" t="s">
        <v>2354</v>
      </c>
      <c r="F76" s="3"/>
      <c r="G76" s="83">
        <v>190</v>
      </c>
      <c r="H76" s="83">
        <v>180</v>
      </c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4"/>
      <c r="U76" s="3" t="s">
        <v>2355</v>
      </c>
    </row>
    <row r="77" spans="1:21" x14ac:dyDescent="0.25">
      <c r="A77">
        <v>76</v>
      </c>
      <c r="B77" t="s">
        <v>2356</v>
      </c>
      <c r="C77" t="str">
        <f t="array" ref="C77">_xlfn.IFS(ISNUMBER(SEARCH("G",govtbox[[#This Row],[JANUARY]])),"G",ISNUMBER(SEARCH("A",govtbox[[#This Row],[JANUARY]])),"A",govtbox[[#This Row],[JANUARY]]="","",govtbox[[#This Row],[JANUARY]]&gt;=100,"P")</f>
        <v>P</v>
      </c>
      <c r="D77" s="85" t="s">
        <v>2357</v>
      </c>
      <c r="E77" s="85" t="s">
        <v>2358</v>
      </c>
      <c r="F77" s="85"/>
      <c r="G77" s="83">
        <v>190</v>
      </c>
      <c r="H77" s="83">
        <v>190</v>
      </c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4"/>
      <c r="U77" s="85"/>
    </row>
    <row r="78" spans="1:21" x14ac:dyDescent="0.25">
      <c r="A78">
        <v>77</v>
      </c>
      <c r="B78" t="s">
        <v>579</v>
      </c>
      <c r="C78" t="str">
        <f t="array" ref="C78">_xlfn.IFS(ISNUMBER(SEARCH("G",govtbox[[#This Row],[JANUARY]])),"G",ISNUMBER(SEARCH("A",govtbox[[#This Row],[JANUARY]])),"A",govtbox[[#This Row],[JANUARY]]="","",govtbox[[#This Row],[JANUARY]]&gt;=100,"P")</f>
        <v>P</v>
      </c>
      <c r="D78" s="85" t="s">
        <v>2359</v>
      </c>
      <c r="E78" s="4" t="s">
        <v>2360</v>
      </c>
      <c r="F78" s="4"/>
      <c r="G78" s="83">
        <v>190</v>
      </c>
      <c r="H78" s="83">
        <v>190</v>
      </c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4"/>
      <c r="U78" s="4"/>
    </row>
    <row r="79" spans="1:21" x14ac:dyDescent="0.25">
      <c r="A79">
        <v>78</v>
      </c>
      <c r="B79" t="s">
        <v>2361</v>
      </c>
      <c r="C79" t="str">
        <f t="array" ref="C79">_xlfn.IFS(ISNUMBER(SEARCH("G",govtbox[[#This Row],[JANUARY]])),"G",ISNUMBER(SEARCH("A",govtbox[[#This Row],[JANUARY]])),"A",govtbox[[#This Row],[JANUARY]]="","",govtbox[[#This Row],[JANUARY]]&gt;=100,"P")</f>
        <v>P</v>
      </c>
      <c r="D79" s="85" t="s">
        <v>2362</v>
      </c>
      <c r="E79" s="4" t="s">
        <v>2363</v>
      </c>
      <c r="F79" s="3"/>
      <c r="G79" s="83">
        <v>190</v>
      </c>
      <c r="H79" s="83">
        <v>190</v>
      </c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4"/>
      <c r="U79" s="3"/>
    </row>
    <row r="80" spans="1:21" x14ac:dyDescent="0.25">
      <c r="A80">
        <v>79</v>
      </c>
      <c r="B80" t="s">
        <v>2364</v>
      </c>
      <c r="C80" t="str">
        <f t="array" ref="C80">_xlfn.IFS(ISNUMBER(SEARCH("G",govtbox[[#This Row],[JANUARY]])),"G",ISNUMBER(SEARCH("A",govtbox[[#This Row],[JANUARY]])),"A",govtbox[[#This Row],[JANUARY]]="","",govtbox[[#This Row],[JANUARY]]&gt;=100,"P")</f>
        <v>P</v>
      </c>
      <c r="D80" s="85" t="s">
        <v>2365</v>
      </c>
      <c r="E80" s="4" t="s">
        <v>2366</v>
      </c>
      <c r="F80" s="3"/>
      <c r="G80" s="83">
        <v>180</v>
      </c>
      <c r="H80" s="83">
        <v>190</v>
      </c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4"/>
      <c r="U80" s="3"/>
    </row>
    <row r="81" spans="1:21" x14ac:dyDescent="0.25">
      <c r="A81">
        <v>80</v>
      </c>
      <c r="B81" t="s">
        <v>1829</v>
      </c>
      <c r="C81" t="str">
        <f t="array" ref="C81">_xlfn.IFS(ISNUMBER(SEARCH("G",govtbox[[#This Row],[JANUARY]])),"G",ISNUMBER(SEARCH("A",govtbox[[#This Row],[JANUARY]])),"A",govtbox[[#This Row],[JANUARY]]="","",govtbox[[#This Row],[JANUARY]]&gt;=100,"P")</f>
        <v>P</v>
      </c>
      <c r="D81" s="85" t="s">
        <v>2367</v>
      </c>
      <c r="E81" s="4" t="s">
        <v>2368</v>
      </c>
      <c r="F81" s="3"/>
      <c r="G81" s="83">
        <v>190</v>
      </c>
      <c r="H81" s="83">
        <v>190</v>
      </c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4"/>
      <c r="U81" s="3"/>
    </row>
    <row r="82" spans="1:21" x14ac:dyDescent="0.25">
      <c r="A82">
        <v>81</v>
      </c>
      <c r="B82" t="s">
        <v>1972</v>
      </c>
      <c r="C82" t="str">
        <f t="array" ref="C82">_xlfn.IFS(ISNUMBER(SEARCH("G",govtbox[[#This Row],[JANUARY]])),"G",ISNUMBER(SEARCH("A",govtbox[[#This Row],[JANUARY]])),"A",govtbox[[#This Row],[JANUARY]]="","",govtbox[[#This Row],[JANUARY]]&gt;=100,"P")</f>
        <v>P</v>
      </c>
      <c r="D82" s="85" t="s">
        <v>2369</v>
      </c>
      <c r="E82" s="4" t="s">
        <v>2370</v>
      </c>
      <c r="F82" s="3"/>
      <c r="G82" s="83">
        <v>190</v>
      </c>
      <c r="H82" s="83">
        <v>190</v>
      </c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4"/>
      <c r="U82" s="3"/>
    </row>
    <row r="83" spans="1:21" x14ac:dyDescent="0.25">
      <c r="A83">
        <v>82</v>
      </c>
      <c r="B83" t="s">
        <v>483</v>
      </c>
      <c r="C83" t="str">
        <f t="array" ref="C83">_xlfn.IFS(ISNUMBER(SEARCH("G",govtbox[[#This Row],[JANUARY]])),"G",ISNUMBER(SEARCH("A",govtbox[[#This Row],[JANUARY]])),"A",govtbox[[#This Row],[JANUARY]]="","",govtbox[[#This Row],[JANUARY]]&gt;=100,"P")</f>
        <v>P</v>
      </c>
      <c r="D83" s="85" t="s">
        <v>2371</v>
      </c>
      <c r="E83" s="4" t="s">
        <v>2372</v>
      </c>
      <c r="F83" s="3"/>
      <c r="G83" s="83">
        <v>180</v>
      </c>
      <c r="H83" s="83">
        <v>180</v>
      </c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4"/>
      <c r="U83" s="3"/>
    </row>
    <row r="84" spans="1:21" x14ac:dyDescent="0.25">
      <c r="A84">
        <v>83</v>
      </c>
      <c r="B84" t="s">
        <v>2373</v>
      </c>
      <c r="C84" t="str">
        <f t="array" ref="C84">_xlfn.IFS(ISNUMBER(SEARCH("G",govtbox[[#This Row],[JANUARY]])),"G",ISNUMBER(SEARCH("A",govtbox[[#This Row],[JANUARY]])),"A",govtbox[[#This Row],[JANUARY]]="","",govtbox[[#This Row],[JANUARY]]&gt;=100,"P")</f>
        <v>P</v>
      </c>
      <c r="D84" s="85" t="s">
        <v>2374</v>
      </c>
      <c r="E84" s="4" t="s">
        <v>2375</v>
      </c>
      <c r="F84" s="3"/>
      <c r="G84" s="83">
        <v>190</v>
      </c>
      <c r="H84" s="83">
        <v>190</v>
      </c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4"/>
      <c r="U84" s="3"/>
    </row>
    <row r="85" spans="1:21" x14ac:dyDescent="0.25">
      <c r="A85">
        <v>84</v>
      </c>
      <c r="B85" t="s">
        <v>2376</v>
      </c>
      <c r="C85" t="str">
        <f t="array" ref="C85">_xlfn.IFS(ISNUMBER(SEARCH("G",govtbox[[#This Row],[JANUARY]])),"G",ISNUMBER(SEARCH("A",govtbox[[#This Row],[JANUARY]])),"A",govtbox[[#This Row],[JANUARY]]="","",govtbox[[#This Row],[JANUARY]]&gt;=100,"P")</f>
        <v>P</v>
      </c>
      <c r="D85" s="85" t="s">
        <v>2377</v>
      </c>
      <c r="E85" s="4" t="s">
        <v>2378</v>
      </c>
      <c r="F85" s="3"/>
      <c r="G85" s="83">
        <v>380</v>
      </c>
      <c r="H85" s="83">
        <v>190</v>
      </c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4"/>
      <c r="U85" s="3"/>
    </row>
    <row r="86" spans="1:21" x14ac:dyDescent="0.25">
      <c r="A86">
        <v>85</v>
      </c>
      <c r="B86" t="s">
        <v>2379</v>
      </c>
      <c r="C86" t="str">
        <f t="array" ref="C86">_xlfn.IFS(ISNUMBER(SEARCH("G",govtbox[[#This Row],[JANUARY]])),"G",ISNUMBER(SEARCH("A",govtbox[[#This Row],[JANUARY]])),"A",govtbox[[#This Row],[JANUARY]]="","",govtbox[[#This Row],[JANUARY]]&gt;=100,"P")</f>
        <v>P</v>
      </c>
      <c r="D86" s="85" t="s">
        <v>2380</v>
      </c>
      <c r="E86" s="4" t="s">
        <v>2381</v>
      </c>
      <c r="F86" s="3"/>
      <c r="G86" s="83">
        <v>190</v>
      </c>
      <c r="H86" s="83">
        <v>190</v>
      </c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4"/>
      <c r="U86" s="3"/>
    </row>
    <row r="87" spans="1:21" x14ac:dyDescent="0.25">
      <c r="A87">
        <v>86</v>
      </c>
      <c r="B87" t="s">
        <v>2382</v>
      </c>
      <c r="C87" t="str">
        <f t="array" ref="C87">_xlfn.IFS(ISNUMBER(SEARCH("G",govtbox[[#This Row],[JANUARY]])),"G",ISNUMBER(SEARCH("A",govtbox[[#This Row],[JANUARY]])),"A",govtbox[[#This Row],[JANUARY]]="","",govtbox[[#This Row],[JANUARY]]&gt;=100,"P")</f>
        <v>P</v>
      </c>
      <c r="D87" s="85" t="s">
        <v>2383</v>
      </c>
      <c r="E87" s="4" t="s">
        <v>2384</v>
      </c>
      <c r="F87" s="3"/>
      <c r="G87" s="83">
        <v>190</v>
      </c>
      <c r="H87" s="83">
        <v>190</v>
      </c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4"/>
      <c r="U87" s="3"/>
    </row>
    <row r="88" spans="1:21" x14ac:dyDescent="0.25">
      <c r="A88">
        <v>87</v>
      </c>
      <c r="B88" t="s">
        <v>2385</v>
      </c>
      <c r="C88" t="str">
        <f t="array" ref="C88">_xlfn.IFS(ISNUMBER(SEARCH("G",govtbox[[#This Row],[JANUARY]])),"G",ISNUMBER(SEARCH("A",govtbox[[#This Row],[JANUARY]])),"A",govtbox[[#This Row],[JANUARY]]="","",govtbox[[#This Row],[JANUARY]]&gt;=100,"P")</f>
        <v>P</v>
      </c>
      <c r="D88" s="85" t="s">
        <v>2386</v>
      </c>
      <c r="E88" s="4" t="s">
        <v>2387</v>
      </c>
      <c r="F88" s="3"/>
      <c r="G88" s="83">
        <v>190</v>
      </c>
      <c r="H88" s="83">
        <v>190</v>
      </c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4"/>
      <c r="U88" s="3"/>
    </row>
    <row r="89" spans="1:21" x14ac:dyDescent="0.25">
      <c r="A89">
        <v>88</v>
      </c>
      <c r="B89" t="s">
        <v>2388</v>
      </c>
      <c r="C89" t="str">
        <f t="array" ref="C89">_xlfn.IFS(ISNUMBER(SEARCH("G",govtbox[[#This Row],[JANUARY]])),"G",ISNUMBER(SEARCH("A",govtbox[[#This Row],[JANUARY]])),"A",govtbox[[#This Row],[JANUARY]]="","",govtbox[[#This Row],[JANUARY]]&gt;=100,"P")</f>
        <v>P</v>
      </c>
      <c r="D89" s="85" t="s">
        <v>2389</v>
      </c>
      <c r="E89" s="4" t="s">
        <v>2390</v>
      </c>
      <c r="F89" s="85"/>
      <c r="G89" s="83">
        <v>180</v>
      </c>
      <c r="H89" s="83">
        <v>180</v>
      </c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4"/>
      <c r="U89" s="39"/>
    </row>
    <row r="90" spans="1:21" x14ac:dyDescent="0.25">
      <c r="A90">
        <v>89</v>
      </c>
      <c r="B90" t="s">
        <v>2391</v>
      </c>
      <c r="C90" t="str">
        <f t="array" ref="C90">_xlfn.IFS(ISNUMBER(SEARCH("G",govtbox[[#This Row],[JANUARY]])),"G",ISNUMBER(SEARCH("A",govtbox[[#This Row],[JANUARY]])),"A",govtbox[[#This Row],[JANUARY]]="","",govtbox[[#This Row],[JANUARY]]&gt;=100,"P")</f>
        <v>P</v>
      </c>
      <c r="D90" s="85" t="s">
        <v>2392</v>
      </c>
      <c r="E90" s="85" t="s">
        <v>2393</v>
      </c>
      <c r="F90" s="85"/>
      <c r="G90" s="83">
        <v>180</v>
      </c>
      <c r="H90" s="83">
        <v>180</v>
      </c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4"/>
      <c r="U90" s="85"/>
    </row>
    <row r="91" spans="1:21" x14ac:dyDescent="0.25">
      <c r="A91">
        <v>90</v>
      </c>
      <c r="B91" t="s">
        <v>695</v>
      </c>
      <c r="C91" t="str">
        <f t="array" ref="C91">_xlfn.IFS(ISNUMBER(SEARCH("G",govtbox[[#This Row],[JANUARY]])),"G",ISNUMBER(SEARCH("A",govtbox[[#This Row],[JANUARY]])),"A",govtbox[[#This Row],[JANUARY]]="","",govtbox[[#This Row],[JANUARY]]&gt;=100,"P")</f>
        <v>P</v>
      </c>
      <c r="D91" s="85" t="s">
        <v>2394</v>
      </c>
      <c r="E91" s="4" t="s">
        <v>2395</v>
      </c>
      <c r="F91" s="3"/>
      <c r="G91" s="83">
        <v>180</v>
      </c>
      <c r="H91" s="83">
        <v>180</v>
      </c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4"/>
      <c r="U91" s="3"/>
    </row>
    <row r="92" spans="1:21" x14ac:dyDescent="0.25">
      <c r="A92">
        <v>91</v>
      </c>
      <c r="B92" t="s">
        <v>2396</v>
      </c>
      <c r="C92" t="str">
        <f t="array" ref="C92">_xlfn.IFS(ISNUMBER(SEARCH("G",govtbox[[#This Row],[JANUARY]])),"G",ISNUMBER(SEARCH("A",govtbox[[#This Row],[JANUARY]])),"A",govtbox[[#This Row],[JANUARY]]="","",govtbox[[#This Row],[JANUARY]]&gt;=100,"P")</f>
        <v>P</v>
      </c>
      <c r="D92" s="85" t="s">
        <v>2397</v>
      </c>
      <c r="E92" s="4" t="s">
        <v>2398</v>
      </c>
      <c r="F92" s="3"/>
      <c r="G92" s="83">
        <v>190</v>
      </c>
      <c r="H92" s="83">
        <v>190</v>
      </c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4"/>
      <c r="U92" s="3"/>
    </row>
    <row r="93" spans="1:21" x14ac:dyDescent="0.25">
      <c r="A93">
        <v>92</v>
      </c>
      <c r="B93" t="s">
        <v>2399</v>
      </c>
      <c r="C93" t="str">
        <f t="array" ref="C93">_xlfn.IFS(ISNUMBER(SEARCH("G",govtbox[[#This Row],[JANUARY]])),"G",ISNUMBER(SEARCH("A",govtbox[[#This Row],[JANUARY]])),"A",govtbox[[#This Row],[JANUARY]]="","",govtbox[[#This Row],[JANUARY]]&gt;=100,"P")</f>
        <v>P</v>
      </c>
      <c r="D93" s="85" t="s">
        <v>2400</v>
      </c>
      <c r="E93" s="4" t="s">
        <v>2401</v>
      </c>
      <c r="F93" s="3"/>
      <c r="G93" s="83">
        <v>190</v>
      </c>
      <c r="H93" s="83">
        <v>180</v>
      </c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4"/>
      <c r="U93" s="3"/>
    </row>
    <row r="94" spans="1:21" x14ac:dyDescent="0.25">
      <c r="A94">
        <v>93</v>
      </c>
      <c r="B94" t="s">
        <v>2402</v>
      </c>
      <c r="C94" t="str">
        <f t="array" ref="C94">_xlfn.IFS(ISNUMBER(SEARCH("G",govtbox[[#This Row],[JANUARY]])),"G",ISNUMBER(SEARCH("A",govtbox[[#This Row],[JANUARY]])),"A",govtbox[[#This Row],[JANUARY]]="","",govtbox[[#This Row],[JANUARY]]&gt;=100,"P")</f>
        <v>P</v>
      </c>
      <c r="D94" s="85" t="s">
        <v>2403</v>
      </c>
      <c r="E94" s="4" t="s">
        <v>2404</v>
      </c>
      <c r="F94" s="3"/>
      <c r="G94" s="83">
        <v>190</v>
      </c>
      <c r="H94" s="83">
        <v>180</v>
      </c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4"/>
      <c r="U94" s="3"/>
    </row>
    <row r="95" spans="1:21" x14ac:dyDescent="0.25">
      <c r="A95">
        <v>94</v>
      </c>
      <c r="B95" t="s">
        <v>2405</v>
      </c>
      <c r="C95" t="str">
        <f t="array" ref="C95">_xlfn.IFS(ISNUMBER(SEARCH("G",govtbox[[#This Row],[JANUARY]])),"G",ISNUMBER(SEARCH("A",govtbox[[#This Row],[JANUARY]])),"A",govtbox[[#This Row],[JANUARY]]="","",govtbox[[#This Row],[JANUARY]]&gt;=100,"P")</f>
        <v>P</v>
      </c>
      <c r="D95" s="85" t="s">
        <v>2406</v>
      </c>
      <c r="E95" s="4" t="s">
        <v>2407</v>
      </c>
      <c r="F95" s="3"/>
      <c r="G95" s="83">
        <v>150</v>
      </c>
      <c r="H95" s="83">
        <v>150</v>
      </c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4"/>
      <c r="U95" s="3"/>
    </row>
    <row r="96" spans="1:21" x14ac:dyDescent="0.25">
      <c r="A96">
        <v>95</v>
      </c>
      <c r="B96" t="s">
        <v>2074</v>
      </c>
      <c r="C96" t="str">
        <f t="array" ref="C96">_xlfn.IFS(ISNUMBER(SEARCH("G",govtbox[[#This Row],[JANUARY]])),"G",ISNUMBER(SEARCH("A",govtbox[[#This Row],[JANUARY]])),"A",govtbox[[#This Row],[JANUARY]]="","",govtbox[[#This Row],[JANUARY]]&gt;=100,"P")</f>
        <v>P</v>
      </c>
      <c r="D96" s="85" t="s">
        <v>2408</v>
      </c>
      <c r="E96" s="4" t="s">
        <v>2409</v>
      </c>
      <c r="F96" s="3"/>
      <c r="G96" s="83">
        <v>180</v>
      </c>
      <c r="H96" s="83">
        <v>180</v>
      </c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4"/>
      <c r="U96" s="3"/>
    </row>
    <row r="97" spans="1:21" x14ac:dyDescent="0.25">
      <c r="A97">
        <v>96</v>
      </c>
      <c r="B97" t="s">
        <v>2410</v>
      </c>
      <c r="C97" t="str">
        <f t="array" ref="C97">_xlfn.IFS(ISNUMBER(SEARCH("G",govtbox[[#This Row],[JANUARY]])),"G",ISNUMBER(SEARCH("A",govtbox[[#This Row],[JANUARY]])),"A",govtbox[[#This Row],[JANUARY]]="","",govtbox[[#This Row],[JANUARY]]&gt;=100,"P")</f>
        <v>P</v>
      </c>
      <c r="D97" s="85" t="s">
        <v>2411</v>
      </c>
      <c r="E97" s="4" t="s">
        <v>2412</v>
      </c>
      <c r="F97" s="3"/>
      <c r="G97" s="83">
        <v>190</v>
      </c>
      <c r="H97" s="83">
        <v>190</v>
      </c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4"/>
      <c r="U97" s="3"/>
    </row>
    <row r="98" spans="1:21" x14ac:dyDescent="0.25">
      <c r="A98">
        <v>97</v>
      </c>
      <c r="B98" t="s">
        <v>42</v>
      </c>
      <c r="C98" t="str">
        <f t="array" ref="C98">_xlfn.IFS(ISNUMBER(SEARCH("G",govtbox[[#This Row],[JANUARY]])),"G",ISNUMBER(SEARCH("A",govtbox[[#This Row],[JANUARY]])),"A",govtbox[[#This Row],[JANUARY]]="","",govtbox[[#This Row],[JANUARY]]&gt;=100,"P")</f>
        <v>P</v>
      </c>
      <c r="D98" s="85" t="s">
        <v>2413</v>
      </c>
      <c r="E98" s="4" t="s">
        <v>2414</v>
      </c>
      <c r="F98" s="3"/>
      <c r="G98" s="83">
        <v>100</v>
      </c>
      <c r="H98" s="83">
        <v>100</v>
      </c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4"/>
      <c r="U98" s="3"/>
    </row>
    <row r="99" spans="1:21" x14ac:dyDescent="0.25">
      <c r="A99">
        <v>98</v>
      </c>
      <c r="B99" t="s">
        <v>2415</v>
      </c>
      <c r="C99" t="str">
        <f t="array" ref="C99">_xlfn.IFS(ISNUMBER(SEARCH("G",govtbox[[#This Row],[JANUARY]])),"G",ISNUMBER(SEARCH("A",govtbox[[#This Row],[JANUARY]])),"A",govtbox[[#This Row],[JANUARY]]="","",govtbox[[#This Row],[JANUARY]]&gt;=100,"P")</f>
        <v>P</v>
      </c>
      <c r="D99" s="85" t="s">
        <v>2416</v>
      </c>
      <c r="E99" s="4" t="s">
        <v>2417</v>
      </c>
      <c r="F99" s="4"/>
      <c r="G99" s="83">
        <v>180</v>
      </c>
      <c r="H99" s="83">
        <v>180</v>
      </c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4"/>
      <c r="U99" s="4"/>
    </row>
    <row r="100" spans="1:21" x14ac:dyDescent="0.25">
      <c r="A100">
        <v>99</v>
      </c>
      <c r="B100" t="s">
        <v>872</v>
      </c>
      <c r="C100" t="str">
        <f t="array" ref="C100">_xlfn.IFS(ISNUMBER(SEARCH("G",govtbox[[#This Row],[JANUARY]])),"G",ISNUMBER(SEARCH("A",govtbox[[#This Row],[JANUARY]])),"A",govtbox[[#This Row],[JANUARY]]="","",govtbox[[#This Row],[JANUARY]]&gt;=100,"P")</f>
        <v>P</v>
      </c>
      <c r="D100" s="85" t="s">
        <v>2418</v>
      </c>
      <c r="E100" s="4" t="s">
        <v>2419</v>
      </c>
      <c r="F100" s="3"/>
      <c r="G100" s="83">
        <v>190</v>
      </c>
      <c r="H100" s="83">
        <v>190</v>
      </c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4"/>
      <c r="U100" s="3" t="s">
        <v>2205</v>
      </c>
    </row>
    <row r="101" spans="1:21" x14ac:dyDescent="0.25">
      <c r="A101">
        <v>100</v>
      </c>
      <c r="B101" t="s">
        <v>2420</v>
      </c>
      <c r="C101" t="str">
        <f t="array" ref="C101">_xlfn.IFS(ISNUMBER(SEARCH("G",govtbox[[#This Row],[JANUARY]])),"G",ISNUMBER(SEARCH("A",govtbox[[#This Row],[JANUARY]])),"A",govtbox[[#This Row],[JANUARY]]="","",govtbox[[#This Row],[JANUARY]]&gt;=100,"P")</f>
        <v>P</v>
      </c>
      <c r="D101" s="85" t="s">
        <v>2421</v>
      </c>
      <c r="E101" s="4" t="s">
        <v>2422</v>
      </c>
      <c r="F101" s="3"/>
      <c r="G101" s="83">
        <v>190</v>
      </c>
      <c r="H101" s="83">
        <v>190</v>
      </c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4"/>
      <c r="U101" s="3"/>
    </row>
    <row r="102" spans="1:21" x14ac:dyDescent="0.25">
      <c r="A102">
        <v>101</v>
      </c>
      <c r="B102" t="s">
        <v>1026</v>
      </c>
      <c r="C102" t="str">
        <f t="array" ref="C102">_xlfn.IFS(ISNUMBER(SEARCH("G",govtbox[[#This Row],[JANUARY]])),"G",ISNUMBER(SEARCH("A",govtbox[[#This Row],[JANUARY]])),"A",govtbox[[#This Row],[JANUARY]]="","",govtbox[[#This Row],[JANUARY]]&gt;=100,"P")</f>
        <v>P</v>
      </c>
      <c r="D102" s="85" t="s">
        <v>2423</v>
      </c>
      <c r="E102" s="4" t="s">
        <v>2424</v>
      </c>
      <c r="F102" s="3"/>
      <c r="G102" s="83">
        <v>190</v>
      </c>
      <c r="H102" s="83">
        <v>180</v>
      </c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4"/>
      <c r="U102" s="3"/>
    </row>
    <row r="103" spans="1:21" x14ac:dyDescent="0.25">
      <c r="A103">
        <v>102</v>
      </c>
      <c r="B103" t="s">
        <v>2425</v>
      </c>
      <c r="C103" t="str">
        <f t="array" ref="C103">_xlfn.IFS(ISNUMBER(SEARCH("G",govtbox[[#This Row],[JANUARY]])),"G",ISNUMBER(SEARCH("A",govtbox[[#This Row],[JANUARY]])),"A",govtbox[[#This Row],[JANUARY]]="","",govtbox[[#This Row],[JANUARY]]&gt;=100,"P")</f>
        <v>P</v>
      </c>
      <c r="D103" s="85" t="s">
        <v>2426</v>
      </c>
      <c r="E103" s="4" t="s">
        <v>2427</v>
      </c>
      <c r="F103" s="3"/>
      <c r="G103" s="83">
        <v>180</v>
      </c>
      <c r="H103" s="83">
        <v>180</v>
      </c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4"/>
      <c r="U103" s="3"/>
    </row>
    <row r="104" spans="1:21" x14ac:dyDescent="0.25">
      <c r="A104">
        <v>103</v>
      </c>
      <c r="B104" t="s">
        <v>2428</v>
      </c>
      <c r="C104" t="str">
        <f t="array" ref="C104">_xlfn.IFS(ISNUMBER(SEARCH("G",govtbox[[#This Row],[JANUARY]])),"G",ISNUMBER(SEARCH("A",govtbox[[#This Row],[JANUARY]])),"A",govtbox[[#This Row],[JANUARY]]="","",govtbox[[#This Row],[JANUARY]]&gt;=100,"P")</f>
        <v>P</v>
      </c>
      <c r="D104" s="85" t="s">
        <v>2429</v>
      </c>
      <c r="E104" s="4" t="s">
        <v>2430</v>
      </c>
      <c r="F104" s="3"/>
      <c r="G104" s="83">
        <v>190</v>
      </c>
      <c r="H104" s="83">
        <v>190</v>
      </c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4"/>
      <c r="U104" s="3"/>
    </row>
    <row r="105" spans="1:21" x14ac:dyDescent="0.25">
      <c r="A105">
        <v>104</v>
      </c>
      <c r="B105" t="s">
        <v>2431</v>
      </c>
      <c r="C105" t="str">
        <f t="array" ref="C105">_xlfn.IFS(ISNUMBER(SEARCH("G",govtbox[[#This Row],[JANUARY]])),"G",ISNUMBER(SEARCH("A",govtbox[[#This Row],[JANUARY]])),"A",govtbox[[#This Row],[JANUARY]]="","",govtbox[[#This Row],[JANUARY]]&gt;=100,"P")</f>
        <v>P</v>
      </c>
      <c r="D105" s="85" t="s">
        <v>2432</v>
      </c>
      <c r="E105" s="4" t="s">
        <v>2433</v>
      </c>
      <c r="F105" s="3"/>
      <c r="G105" s="83">
        <v>150</v>
      </c>
      <c r="H105" s="83">
        <v>150</v>
      </c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4"/>
      <c r="U105" s="3"/>
    </row>
    <row r="106" spans="1:21" x14ac:dyDescent="0.25">
      <c r="A106">
        <v>105</v>
      </c>
      <c r="B106" t="s">
        <v>1404</v>
      </c>
      <c r="C106" t="str">
        <f t="array" ref="C106">_xlfn.IFS(ISNUMBER(SEARCH("G",govtbox[[#This Row],[JANUARY]])),"G",ISNUMBER(SEARCH("A",govtbox[[#This Row],[JANUARY]])),"A",govtbox[[#This Row],[JANUARY]]="","",govtbox[[#This Row],[JANUARY]]&gt;=100,"P")</f>
        <v>P</v>
      </c>
      <c r="D106" s="85" t="s">
        <v>2434</v>
      </c>
      <c r="E106" s="4" t="s">
        <v>2435</v>
      </c>
      <c r="F106" s="3"/>
      <c r="G106" s="83">
        <v>190</v>
      </c>
      <c r="H106" s="83">
        <v>180</v>
      </c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4"/>
      <c r="U106" s="3"/>
    </row>
    <row r="107" spans="1:21" x14ac:dyDescent="0.25">
      <c r="A107">
        <v>106</v>
      </c>
      <c r="B107" t="s">
        <v>507</v>
      </c>
      <c r="C107" t="str">
        <f t="array" ref="C107">_xlfn.IFS(ISNUMBER(SEARCH("G",govtbox[[#This Row],[JANUARY]])),"G",ISNUMBER(SEARCH("A",govtbox[[#This Row],[JANUARY]])),"A",govtbox[[#This Row],[JANUARY]]="","",govtbox[[#This Row],[JANUARY]]&gt;=100,"P")</f>
        <v>P</v>
      </c>
      <c r="D107" s="85" t="s">
        <v>2436</v>
      </c>
      <c r="E107" s="4" t="s">
        <v>2437</v>
      </c>
      <c r="F107" s="3"/>
      <c r="G107" s="83">
        <v>180</v>
      </c>
      <c r="H107" s="83">
        <v>180</v>
      </c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4"/>
      <c r="U107" s="3"/>
    </row>
    <row r="108" spans="1:21" x14ac:dyDescent="0.25">
      <c r="A108">
        <v>107</v>
      </c>
      <c r="B108" t="s">
        <v>2438</v>
      </c>
      <c r="C108" t="str">
        <f t="array" ref="C108">_xlfn.IFS(ISNUMBER(SEARCH("G",govtbox[[#This Row],[JANUARY]])),"G",ISNUMBER(SEARCH("A",govtbox[[#This Row],[JANUARY]])),"A",govtbox[[#This Row],[JANUARY]]="","",govtbox[[#This Row],[JANUARY]]&gt;=100,"P")</f>
        <v>P</v>
      </c>
      <c r="D108" s="85" t="s">
        <v>2439</v>
      </c>
      <c r="E108" s="4" t="s">
        <v>2440</v>
      </c>
      <c r="F108" s="3"/>
      <c r="G108" s="83">
        <v>190</v>
      </c>
      <c r="H108" s="83">
        <v>180</v>
      </c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4"/>
      <c r="U108" s="3"/>
    </row>
    <row r="109" spans="1:21" x14ac:dyDescent="0.25">
      <c r="A109">
        <v>108</v>
      </c>
      <c r="B109" t="s">
        <v>2441</v>
      </c>
      <c r="C109" t="str">
        <f t="array" ref="C109">_xlfn.IFS(ISNUMBER(SEARCH("G",govtbox[[#This Row],[JANUARY]])),"G",ISNUMBER(SEARCH("A",govtbox[[#This Row],[JANUARY]])),"A",govtbox[[#This Row],[JANUARY]]="","",govtbox[[#This Row],[JANUARY]]&gt;=100,"P")</f>
        <v>P</v>
      </c>
      <c r="D109" s="85" t="s">
        <v>2442</v>
      </c>
      <c r="E109" s="4" t="s">
        <v>2443</v>
      </c>
      <c r="F109" s="3"/>
      <c r="G109" s="83">
        <v>180</v>
      </c>
      <c r="H109" s="83">
        <v>180</v>
      </c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4"/>
      <c r="U109" s="3"/>
    </row>
    <row r="110" spans="1:21" x14ac:dyDescent="0.25">
      <c r="A110">
        <v>109</v>
      </c>
      <c r="B110" t="s">
        <v>2444</v>
      </c>
      <c r="C110" t="str">
        <f t="array" ref="C110">_xlfn.IFS(ISNUMBER(SEARCH("G",govtbox[[#This Row],[JANUARY]])),"G",ISNUMBER(SEARCH("A",govtbox[[#This Row],[JANUARY]])),"A",govtbox[[#This Row],[JANUARY]]="","",govtbox[[#This Row],[JANUARY]]&gt;=100,"P")</f>
        <v>P</v>
      </c>
      <c r="D110" s="85" t="s">
        <v>2445</v>
      </c>
      <c r="E110" s="4" t="s">
        <v>2446</v>
      </c>
      <c r="F110" s="4"/>
      <c r="G110" s="83">
        <v>190</v>
      </c>
      <c r="H110" s="83">
        <v>190</v>
      </c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4"/>
      <c r="U110" s="4"/>
    </row>
    <row r="111" spans="1:21" x14ac:dyDescent="0.25">
      <c r="A111">
        <v>110</v>
      </c>
      <c r="B111" t="s">
        <v>1817</v>
      </c>
      <c r="C111" t="str">
        <f t="array" ref="C111">_xlfn.IFS(ISNUMBER(SEARCH("G",govtbox[[#This Row],[JANUARY]])),"G",ISNUMBER(SEARCH("A",govtbox[[#This Row],[JANUARY]])),"A",govtbox[[#This Row],[JANUARY]]="","",govtbox[[#This Row],[JANUARY]]&gt;=100,"P")</f>
        <v>P</v>
      </c>
      <c r="D111" s="85" t="s">
        <v>2447</v>
      </c>
      <c r="E111" s="4" t="s">
        <v>2448</v>
      </c>
      <c r="F111" s="85"/>
      <c r="H111" s="83">
        <v>180</v>
      </c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4"/>
      <c r="U111" s="85"/>
    </row>
    <row r="112" spans="1:21" x14ac:dyDescent="0.25">
      <c r="A112">
        <v>111</v>
      </c>
      <c r="B112" t="s">
        <v>2449</v>
      </c>
      <c r="C112" t="str">
        <f t="array" ref="C112">_xlfn.IFS(ISNUMBER(SEARCH("G",govtbox[[#This Row],[JANUARY]])),"G",ISNUMBER(SEARCH("A",govtbox[[#This Row],[JANUARY]])),"A",govtbox[[#This Row],[JANUARY]]="","",govtbox[[#This Row],[JANUARY]]&gt;=100,"P")</f>
        <v>P</v>
      </c>
      <c r="D112" s="85" t="s">
        <v>2450</v>
      </c>
      <c r="E112" s="4" t="s">
        <v>2586</v>
      </c>
      <c r="F112" s="3"/>
      <c r="H112" s="83" t="s">
        <v>792</v>
      </c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30"/>
      <c r="U112" s="30"/>
    </row>
    <row r="113" spans="1:21" x14ac:dyDescent="0.25">
      <c r="A113">
        <v>112</v>
      </c>
      <c r="B113" t="s">
        <v>2451</v>
      </c>
      <c r="C113" t="str">
        <f t="array" ref="C113">_xlfn.IFS(ISNUMBER(SEARCH("G",govtbox[[#This Row],[JANUARY]])),"G",ISNUMBER(SEARCH("A",govtbox[[#This Row],[JANUARY]])),"A",govtbox[[#This Row],[JANUARY]]="","",govtbox[[#This Row],[JANUARY]]&gt;=100,"P")</f>
        <v>G</v>
      </c>
      <c r="D113" s="85" t="s">
        <v>2452</v>
      </c>
      <c r="E113" s="4" t="s">
        <v>2453</v>
      </c>
      <c r="F113" s="3"/>
      <c r="H113" s="83" t="s">
        <v>2454</v>
      </c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4"/>
      <c r="U113" s="3"/>
    </row>
    <row r="114" spans="1:21" x14ac:dyDescent="0.25">
      <c r="A114" s="106">
        <v>113</v>
      </c>
      <c r="B114" s="106" t="s">
        <v>2583</v>
      </c>
      <c r="C114" s="106" t="str" cm="1">
        <f t="array" ref="C114">_xlfn.IFS(ISNUMBER(SEARCH("G",govtbox[[#This Row],[JANUARY]])),"G",ISNUMBER(SEARCH("A",govtbox[[#This Row],[JANUARY]])),"A",govtbox[[#This Row],[JANUARY]]="","",govtbox[[#This Row],[JANUARY]]&gt;=100,"P")</f>
        <v>P</v>
      </c>
      <c r="D114" t="s">
        <v>2467</v>
      </c>
      <c r="E114" s="4" t="s">
        <v>2585</v>
      </c>
      <c r="F114" s="3"/>
      <c r="H114" s="83" t="s">
        <v>2584</v>
      </c>
      <c r="I114" s="83" t="s">
        <v>2581</v>
      </c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30"/>
      <c r="U114" s="30"/>
    </row>
    <row r="115" spans="1:21" x14ac:dyDescent="0.25">
      <c r="B115" t="s">
        <v>2455</v>
      </c>
      <c r="C115" t="str">
        <f t="array" ref="C115">_xlfn.IFS(ISNUMBER(SEARCH("G",govtbox[[#This Row],[JANUARY]])),"G",ISNUMBER(SEARCH("A",govtbox[[#This Row],[JANUARY]])),"A",govtbox[[#This Row],[JANUARY]]="","",govtbox[[#This Row],[JANUARY]]&gt;=100,"P")</f>
        <v/>
      </c>
      <c r="D115" s="85" t="s">
        <v>2456</v>
      </c>
      <c r="E115" s="4"/>
      <c r="F115" s="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4"/>
      <c r="U115" s="3"/>
    </row>
    <row r="116" spans="1:21" x14ac:dyDescent="0.25">
      <c r="B116" t="s">
        <v>653</v>
      </c>
      <c r="C116" t="str">
        <f t="array" ref="C116">_xlfn.IFS(ISNUMBER(SEARCH("G",govtbox[[#This Row],[JANUARY]])),"G",ISNUMBER(SEARCH("A",govtbox[[#This Row],[JANUARY]])),"A",govtbox[[#This Row],[JANUARY]]="","",govtbox[[#This Row],[JANUARY]]&gt;=100,"P")</f>
        <v/>
      </c>
      <c r="D116" s="85" t="s">
        <v>2457</v>
      </c>
      <c r="E116" s="4"/>
      <c r="F116" s="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4"/>
      <c r="U116" s="3"/>
    </row>
    <row r="117" spans="1:21" x14ac:dyDescent="0.25">
      <c r="B117" t="s">
        <v>2458</v>
      </c>
      <c r="C117" t="str">
        <f t="array" ref="C117">_xlfn.IFS(ISNUMBER(SEARCH("G",govtbox[[#This Row],[JANUARY]])),"G",ISNUMBER(SEARCH("A",govtbox[[#This Row],[JANUARY]])),"A",govtbox[[#This Row],[JANUARY]]="","",govtbox[[#This Row],[JANUARY]]&gt;=100,"P")</f>
        <v/>
      </c>
      <c r="D117" s="85" t="s">
        <v>2459</v>
      </c>
      <c r="E117" s="4"/>
      <c r="F117" s="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4"/>
      <c r="U117" s="3"/>
    </row>
    <row r="118" spans="1:21" x14ac:dyDescent="0.25">
      <c r="B118" t="s">
        <v>46</v>
      </c>
      <c r="C118" t="str">
        <f t="array" ref="C118">_xlfn.IFS(ISNUMBER(SEARCH("G",govtbox[[#This Row],[JANUARY]])),"G",ISNUMBER(SEARCH("A",govtbox[[#This Row],[JANUARY]])),"A",govtbox[[#This Row],[JANUARY]]="","",govtbox[[#This Row],[JANUARY]]&gt;=100,"P")</f>
        <v/>
      </c>
      <c r="D118" s="85" t="s">
        <v>2460</v>
      </c>
      <c r="E118" s="4"/>
      <c r="F118" s="4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4"/>
      <c r="U118" s="4"/>
    </row>
    <row r="119" spans="1:21" x14ac:dyDescent="0.25">
      <c r="B119" t="s">
        <v>2461</v>
      </c>
      <c r="C119" t="str">
        <f t="array" ref="C119">_xlfn.IFS(ISNUMBER(SEARCH("G",govtbox[[#This Row],[JANUARY]])),"G",ISNUMBER(SEARCH("A",govtbox[[#This Row],[JANUARY]])),"A",govtbox[[#This Row],[JANUARY]]="","",govtbox[[#This Row],[JANUARY]]&gt;=100,"P")</f>
        <v/>
      </c>
      <c r="D119" s="85" t="s">
        <v>2462</v>
      </c>
      <c r="E119" s="4"/>
      <c r="F119" s="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4"/>
      <c r="U119" s="3"/>
    </row>
    <row r="120" spans="1:21" x14ac:dyDescent="0.25">
      <c r="B120" t="s">
        <v>164</v>
      </c>
      <c r="C120" t="str">
        <f t="array" ref="C120">_xlfn.IFS(ISNUMBER(SEARCH("G",govtbox[[#This Row],[JANUARY]])),"G",ISNUMBER(SEARCH("A",govtbox[[#This Row],[JANUARY]])),"A",govtbox[[#This Row],[JANUARY]]="","",govtbox[[#This Row],[JANUARY]]&gt;=100,"P")</f>
        <v/>
      </c>
      <c r="D120" s="85" t="s">
        <v>2463</v>
      </c>
      <c r="E120" s="4"/>
      <c r="F120" s="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4"/>
      <c r="U120" s="3"/>
    </row>
    <row r="121" spans="1:21" x14ac:dyDescent="0.25">
      <c r="B121" t="s">
        <v>2464</v>
      </c>
      <c r="C121" t="str">
        <f t="array" ref="C121">_xlfn.IFS(ISNUMBER(SEARCH("G",govtbox[[#This Row],[JANUARY]])),"G",ISNUMBER(SEARCH("A",govtbox[[#This Row],[JANUARY]])),"A",govtbox[[#This Row],[JANUARY]]="","",govtbox[[#This Row],[JANUARY]]&gt;=100,"P")</f>
        <v/>
      </c>
      <c r="D121" s="85" t="s">
        <v>2465</v>
      </c>
      <c r="E121" s="4"/>
      <c r="F121" s="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4"/>
      <c r="U121" s="3"/>
    </row>
    <row r="122" spans="1:21" x14ac:dyDescent="0.25">
      <c r="B122" t="s">
        <v>2382</v>
      </c>
      <c r="C122" t="str">
        <f t="array" ref="C122">_xlfn.IFS(ISNUMBER(SEARCH("G",govtbox[[#This Row],[JANUARY]])),"G",ISNUMBER(SEARCH("A",govtbox[[#This Row],[JANUARY]])),"A",govtbox[[#This Row],[JANUARY]]="","",govtbox[[#This Row],[JANUARY]]&gt;=100,"P")</f>
        <v/>
      </c>
      <c r="D122" s="85" t="s">
        <v>2466</v>
      </c>
      <c r="E122" s="4"/>
      <c r="F122" s="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4"/>
      <c r="U122" s="3"/>
    </row>
    <row r="123" spans="1:21" x14ac:dyDescent="0.25">
      <c r="A123" t="s">
        <v>246</v>
      </c>
      <c r="D123">
        <f>SUBTOTAL(103,govtbox[Box No])</f>
        <v>121</v>
      </c>
      <c r="E123" s="3">
        <f>SUBTOTAL(103,govtbox[CAFID])</f>
        <v>113</v>
      </c>
      <c r="F123" s="3"/>
      <c r="G123" s="83">
        <f>SUBTOTAL(109,govtbox[Dec-20])</f>
        <v>19960</v>
      </c>
      <c r="H123" s="30">
        <f>SUBTOTAL(109,govtbox[JANUARY])</f>
        <v>19070</v>
      </c>
      <c r="I123" s="30">
        <f>SUBTOTAL(109,govtbox[FEBEUARY])</f>
        <v>0</v>
      </c>
      <c r="J123" s="30">
        <f>SUBTOTAL(109,govtbox[MARCH])</f>
        <v>0</v>
      </c>
      <c r="K123" s="30">
        <f>SUBTOTAL(109,govtbox[APRIL])</f>
        <v>0</v>
      </c>
      <c r="L123" s="30">
        <f>SUBTOTAL(109,govtbox[MAY])</f>
        <v>0</v>
      </c>
      <c r="M123" s="30">
        <f>SUBTOTAL(109,govtbox[JUNE])</f>
        <v>0</v>
      </c>
      <c r="N123" s="30">
        <f>SUBTOTAL(109,govtbox[JULY])</f>
        <v>0</v>
      </c>
      <c r="O123" s="30">
        <f>SUBTOTAL(109,govtbox[AUGUST])</f>
        <v>0</v>
      </c>
      <c r="P123" s="30">
        <f>SUBTOTAL(109,govtbox[SEPTEMBER])</f>
        <v>0</v>
      </c>
      <c r="Q123" s="30">
        <f>SUBTOTAL(109,govtbox[OCTOBER])</f>
        <v>0</v>
      </c>
      <c r="R123" s="30">
        <f>SUBTOTAL(109,govtbox[NOVEMBER])</f>
        <v>0</v>
      </c>
      <c r="S123" s="30"/>
      <c r="T123" s="30">
        <f>SUBTOTAL(109,govtbox[BALANCE])</f>
        <v>40</v>
      </c>
      <c r="U123" s="3"/>
    </row>
    <row r="124" spans="1:21" x14ac:dyDescent="0.25">
      <c r="E124" s="85"/>
    </row>
    <row r="125" spans="1:21" x14ac:dyDescent="0.25">
      <c r="E125" s="85"/>
    </row>
    <row r="126" spans="1:21" x14ac:dyDescent="0.25">
      <c r="B126" s="11" t="s">
        <v>247</v>
      </c>
      <c r="C126" s="11">
        <f>COUNTIF(govtbox[PAID],"P")</f>
        <v>107</v>
      </c>
    </row>
    <row r="127" spans="1:21" x14ac:dyDescent="0.25">
      <c r="B127" s="1" t="s">
        <v>1968</v>
      </c>
      <c r="C127" s="34">
        <f>COUNTIF(C2:C122,"G")</f>
        <v>1</v>
      </c>
    </row>
    <row r="128" spans="1:21" x14ac:dyDescent="0.25">
      <c r="B128" s="1" t="s">
        <v>249</v>
      </c>
      <c r="C128" s="1">
        <f>COUNTIF(C3:C120,"A")</f>
        <v>1</v>
      </c>
    </row>
    <row r="130" spans="2:3" x14ac:dyDescent="0.25">
      <c r="B130" s="11" t="s">
        <v>250</v>
      </c>
      <c r="C130" s="11">
        <f>C126+C127+C128</f>
        <v>109</v>
      </c>
    </row>
  </sheetData>
  <conditionalFormatting sqref="E2:E122">
    <cfRule type="duplicateValues" dxfId="161" priority="14"/>
  </conditionalFormatting>
  <conditionalFormatting sqref="D2:D113 D115:D122">
    <cfRule type="duplicateValues" dxfId="160" priority="16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E102"/>
  <sheetViews>
    <sheetView workbookViewId="0">
      <selection activeCell="B4" sqref="B4"/>
    </sheetView>
  </sheetViews>
  <sheetFormatPr defaultRowHeight="15" x14ac:dyDescent="0.25"/>
  <cols>
    <col min="1" max="1" width="16" style="85" customWidth="1"/>
    <col min="2" max="2" width="21.85546875" style="85" customWidth="1"/>
    <col min="3" max="3" width="22.5703125" style="87" customWidth="1"/>
  </cols>
  <sheetData>
    <row r="1" spans="1:2" x14ac:dyDescent="0.25">
      <c r="A1" t="s">
        <v>2468</v>
      </c>
      <c r="B1" t="s">
        <v>2469</v>
      </c>
    </row>
    <row r="100" spans="5:5" x14ac:dyDescent="0.25">
      <c r="E100" s="85" t="s">
        <v>2254</v>
      </c>
    </row>
    <row r="101" spans="5:5" x14ac:dyDescent="0.25">
      <c r="E101" s="85" t="s">
        <v>2377</v>
      </c>
    </row>
    <row r="102" spans="5:5" x14ac:dyDescent="0.25">
      <c r="E102" s="85" t="s">
        <v>2301</v>
      </c>
    </row>
  </sheetData>
  <conditionalFormatting sqref="A122:A1048576 C122:C1048576">
    <cfRule type="uniqueValues" dxfId="124" priority="7"/>
  </conditionalFormatting>
  <conditionalFormatting sqref="E100">
    <cfRule type="uniqueValues" dxfId="123" priority="5"/>
    <cfRule type="uniqueValues" dxfId="122" priority="6"/>
  </conditionalFormatting>
  <conditionalFormatting sqref="E101">
    <cfRule type="uniqueValues" dxfId="121" priority="3"/>
    <cfRule type="uniqueValues" dxfId="120" priority="4"/>
  </conditionalFormatting>
  <conditionalFormatting sqref="E102">
    <cfRule type="uniqueValues" dxfId="119" priority="1"/>
    <cfRule type="uniqueValues" dxfId="118" priority="2"/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>
    <tabColor rgb="FF00B0F0"/>
  </sheetPr>
  <dimension ref="A1:Y33"/>
  <sheetViews>
    <sheetView topLeftCell="A8" zoomScale="115" zoomScaleNormal="115" workbookViewId="0">
      <pane xSplit="4" topLeftCell="O1" activePane="topRight" state="frozen"/>
      <selection pane="topRight" activeCell="U22" sqref="U22"/>
    </sheetView>
  </sheetViews>
  <sheetFormatPr defaultRowHeight="15" x14ac:dyDescent="0.25"/>
  <cols>
    <col min="1" max="1" width="6.28515625" style="87" customWidth="1"/>
    <col min="2" max="2" width="23.42578125" style="61" customWidth="1"/>
    <col min="3" max="14" width="15.85546875" style="88" customWidth="1"/>
    <col min="15" max="15" width="17.85546875" style="61" customWidth="1"/>
    <col min="16" max="16" width="13.5703125" style="61" customWidth="1"/>
    <col min="17" max="20" width="13.5703125" style="87" customWidth="1"/>
  </cols>
  <sheetData>
    <row r="1" spans="1:21" x14ac:dyDescent="0.25">
      <c r="A1" t="s">
        <v>0</v>
      </c>
      <c r="B1" s="61" t="s">
        <v>2470</v>
      </c>
      <c r="C1" s="88" t="s">
        <v>9</v>
      </c>
      <c r="D1" s="88" t="s">
        <v>2471</v>
      </c>
      <c r="E1" s="88" t="s">
        <v>11</v>
      </c>
      <c r="F1" s="88" t="s">
        <v>12</v>
      </c>
      <c r="G1" s="88" t="s">
        <v>13</v>
      </c>
      <c r="H1" s="88" t="s">
        <v>14</v>
      </c>
      <c r="I1" s="88" t="s">
        <v>15</v>
      </c>
      <c r="J1" s="88" t="s">
        <v>16</v>
      </c>
      <c r="K1" s="88" t="s">
        <v>17</v>
      </c>
      <c r="L1" s="88" t="s">
        <v>18</v>
      </c>
      <c r="M1" s="88" t="s">
        <v>19</v>
      </c>
      <c r="N1" s="88" t="s">
        <v>20</v>
      </c>
      <c r="O1" s="61" t="s">
        <v>2472</v>
      </c>
      <c r="P1" s="61" t="s">
        <v>2473</v>
      </c>
      <c r="Q1" s="61" t="s">
        <v>2</v>
      </c>
      <c r="R1" s="61" t="s">
        <v>2474</v>
      </c>
      <c r="S1" s="61" t="s">
        <v>2475</v>
      </c>
      <c r="T1" s="61" t="s">
        <v>2476</v>
      </c>
      <c r="U1" s="61" t="s">
        <v>246</v>
      </c>
    </row>
    <row r="2" spans="1:21" x14ac:dyDescent="0.25">
      <c r="A2">
        <v>1</v>
      </c>
      <c r="B2" s="61" t="s">
        <v>2477</v>
      </c>
      <c r="C2" s="88">
        <f>vallur1[[#Totals],[JANUARY]]</f>
        <v>12320</v>
      </c>
      <c r="D2" s="88">
        <f>vallur1[[#Totals],[FEBEUARY]]</f>
        <v>0</v>
      </c>
      <c r="E2" s="88">
        <f>vallur1[[#Totals],[MARCH]]</f>
        <v>0</v>
      </c>
      <c r="F2" s="88">
        <f>vallur1[[#Totals],[APRIL]]</f>
        <v>0</v>
      </c>
      <c r="G2" s="88">
        <f>vallur1[[#Totals],[MAY]]</f>
        <v>0</v>
      </c>
      <c r="H2" s="88">
        <f>vallur1[[#Totals],[JUNE]]</f>
        <v>0</v>
      </c>
      <c r="I2" s="88">
        <f>vallur1[[#Totals],[JULY]]</f>
        <v>0</v>
      </c>
      <c r="J2" s="88">
        <f>vallur1[[#Totals],[AUGUST]]</f>
        <v>0</v>
      </c>
      <c r="K2" s="88">
        <f>vallur1[[#Totals],[SEPTEMBER]]</f>
        <v>0</v>
      </c>
      <c r="L2" s="88">
        <f>vallur1[[#Totals],[OCTOBER]]</f>
        <v>0</v>
      </c>
      <c r="M2" s="88">
        <f>vallur1[[#Totals],[NOVEMBER]]</f>
        <v>0</v>
      </c>
      <c r="N2" s="88">
        <f>vallur1[[#Totals],[DECEMBER]]</f>
        <v>0</v>
      </c>
      <c r="O2" s="61">
        <f>SUM(Table27[[#This Row],[ACTIVE LIST]]-Table27[[#This Row],[Total]])</f>
        <v>0</v>
      </c>
      <c r="P2" s="61">
        <f>vallur1[[#Totals],[Package]]</f>
        <v>71</v>
      </c>
      <c r="Q2" s="61">
        <f>'Vallur-1'!C78</f>
        <v>64</v>
      </c>
      <c r="R2" s="61">
        <f>'Vallur-1'!C79</f>
        <v>3</v>
      </c>
      <c r="S2" s="61">
        <f>'Vallur-1'!C80</f>
        <v>4</v>
      </c>
      <c r="T2" s="61" t="str">
        <f>IF(Table27[[#This Row],[ACTIVE LIST]]=Table27[[#This Row],[Total]],"EQUAL","NOT EQUAL")</f>
        <v>EQUAL</v>
      </c>
      <c r="U2" s="61">
        <f>Table27[[#This Row],[PAID]]+Table27[[#This Row],[MURUGAN]]+Table27[[#This Row],[Appa]]</f>
        <v>71</v>
      </c>
    </row>
    <row r="3" spans="1:21" s="2" customFormat="1" x14ac:dyDescent="0.25">
      <c r="A3">
        <v>2</v>
      </c>
      <c r="B3" s="61" t="s">
        <v>2478</v>
      </c>
      <c r="C3" s="88">
        <f>vallur2[[#Totals],[JANUARY]]</f>
        <v>7580</v>
      </c>
      <c r="D3" s="88">
        <f>vallur2[[#Totals],[FEBEUARY]]</f>
        <v>0</v>
      </c>
      <c r="E3" s="88">
        <f>vallur2[[#Totals],[MARCH]]</f>
        <v>0</v>
      </c>
      <c r="F3" s="88">
        <f>vallur2[[#Totals],[APRIL]]</f>
        <v>0</v>
      </c>
      <c r="G3" s="88">
        <f>vallur2[[#Totals],[MAY]]</f>
        <v>0</v>
      </c>
      <c r="H3" s="88">
        <f>vallur2[[#Totals],[JUNE]]</f>
        <v>0</v>
      </c>
      <c r="I3" s="88">
        <f>vallur2[[#Totals],[JULY]]</f>
        <v>0</v>
      </c>
      <c r="J3" s="88">
        <f>vallur2[[#Totals],[AUGUST]]</f>
        <v>0</v>
      </c>
      <c r="K3" s="88">
        <f>vallur2[[#Totals],[SEPTEMBER]]</f>
        <v>0</v>
      </c>
      <c r="L3" s="88">
        <f>vallur2[[#Totals],[OCTOBER]]</f>
        <v>0</v>
      </c>
      <c r="M3" s="88">
        <f>vallur2[[#Totals],[NOVEMBER]]</f>
        <v>0</v>
      </c>
      <c r="N3" s="88">
        <f>vallur2[[#Totals],[DECEMBER]]</f>
        <v>0</v>
      </c>
      <c r="O3" s="61">
        <f>SUM(Table27[[#This Row],[ACTIVE LIST]]-Table27[[#This Row],[Total]])</f>
        <v>0</v>
      </c>
      <c r="P3" s="61">
        <f>vallur2[[#Totals],[Package]]</f>
        <v>46</v>
      </c>
      <c r="Q3" s="61">
        <f>'Vallur-2'!C51</f>
        <v>39</v>
      </c>
      <c r="R3" s="61">
        <f>'Vallur-2'!C52</f>
        <v>5</v>
      </c>
      <c r="S3" s="61">
        <f>'Vallur-2'!C53</f>
        <v>2</v>
      </c>
      <c r="T3" s="61" t="str">
        <f>IF(Table27[[#This Row],[ACTIVE LIST]]=Table27[[#This Row],[Total]],"EQUAL","NOT EQUAL")</f>
        <v>EQUAL</v>
      </c>
      <c r="U3" s="61">
        <f>Table27[[#This Row],[PAID]]+Table27[[#This Row],[MURUGAN]]+Table27[[#This Row],[Appa]]</f>
        <v>46</v>
      </c>
    </row>
    <row r="4" spans="1:21" x14ac:dyDescent="0.25">
      <c r="A4">
        <v>3</v>
      </c>
      <c r="B4" s="61" t="s">
        <v>2479</v>
      </c>
      <c r="C4" s="88">
        <f>subramaniyasiva[[#Totals],[JANUARY]]</f>
        <v>9930</v>
      </c>
      <c r="D4" s="88">
        <f>subramaniyasiva[[#Totals],[FEBEUARY]]</f>
        <v>0</v>
      </c>
      <c r="E4" s="88">
        <f>subramaniyasiva[[#Totals],[MARCH]]</f>
        <v>0</v>
      </c>
      <c r="F4" s="88">
        <f>subramaniyasiva[[#Totals],[APRIL]]</f>
        <v>0</v>
      </c>
      <c r="G4" s="88">
        <f>subramaniyasiva[[#Totals],[MAY]]</f>
        <v>0</v>
      </c>
      <c r="H4" s="88">
        <f>subramaniyasiva[[#Totals],[JUNE]]</f>
        <v>0</v>
      </c>
      <c r="I4" s="88">
        <f>subramaniyasiva[[#Totals],[JULY]]</f>
        <v>0</v>
      </c>
      <c r="J4" s="88">
        <f>subramaniyasiva[[#Totals],[AUGUST]]</f>
        <v>0</v>
      </c>
      <c r="K4" s="88">
        <f>subramaniyasiva[[#Totals],[SEPTEMBER]]</f>
        <v>0</v>
      </c>
      <c r="L4" s="88">
        <f>subramaniyasiva[[#Totals],[OCTOBER]]</f>
        <v>0</v>
      </c>
      <c r="M4" s="88">
        <f>subramaniyasiva[[#Totals],[NOVEMBER]]</f>
        <v>0</v>
      </c>
      <c r="N4" s="88">
        <f>subramaniyasiva[[#Totals],[DECEMBER]]</f>
        <v>0</v>
      </c>
      <c r="O4" s="61">
        <f>SUM(Table27[[#This Row],[ACTIVE LIST]]-Table27[[#This Row],[Total]])</f>
        <v>0</v>
      </c>
      <c r="P4" s="61">
        <f>subramaniyasiva[[#Totals],[Package]]</f>
        <v>64</v>
      </c>
      <c r="Q4" s="61">
        <f>Subramaniya_Siva!C71</f>
        <v>50</v>
      </c>
      <c r="R4" s="61">
        <f>Subramaniya_Siva!C72</f>
        <v>4</v>
      </c>
      <c r="S4" s="61">
        <f>Subramaniya_Siva!C73</f>
        <v>10</v>
      </c>
      <c r="T4" s="61" t="str">
        <f>IF(Table27[[#This Row],[ACTIVE LIST]]=Table27[[#This Row],[Total]],"EQUAL","NOT EQUAL")</f>
        <v>EQUAL</v>
      </c>
      <c r="U4" s="61">
        <f>Table27[[#This Row],[PAID]]+Table27[[#This Row],[MURUGAN]]+Table27[[#This Row],[Appa]]</f>
        <v>64</v>
      </c>
    </row>
    <row r="5" spans="1:21" x14ac:dyDescent="0.25">
      <c r="A5">
        <v>4</v>
      </c>
      <c r="B5" s="61" t="s">
        <v>2480</v>
      </c>
      <c r="C5" s="88">
        <f>bharadhidhasan[[#Totals],[JANUARY]]</f>
        <v>12620</v>
      </c>
      <c r="D5" s="88">
        <f>bharadhidhasan[[#Totals],[FEBEUARY]]</f>
        <v>0</v>
      </c>
      <c r="E5" s="88">
        <f>bharadhidhasan[[#Totals],[MARCH]]</f>
        <v>0</v>
      </c>
      <c r="F5" s="88">
        <f>bharadhidhasan[[#Totals],[APRIL]]</f>
        <v>0</v>
      </c>
      <c r="G5" s="88">
        <f>bharadhidhasan[[#Totals],[MAY]]</f>
        <v>0</v>
      </c>
      <c r="H5" s="88">
        <f>bharadhidhasan[[#Totals],[JUNE]]</f>
        <v>0</v>
      </c>
      <c r="I5" s="88">
        <f>bharadhidhasan[[#Totals],[JULY]]</f>
        <v>0</v>
      </c>
      <c r="J5" s="88">
        <f>bharadhidhasan[[#Totals],[AUGUST]]</f>
        <v>0</v>
      </c>
      <c r="K5" s="88">
        <f>bharadhidhasan[[#Totals],[SEPTEMBER]]</f>
        <v>0</v>
      </c>
      <c r="L5" s="88">
        <f>bharadhidhasan[[#Totals],[OCTOBER]]</f>
        <v>0</v>
      </c>
      <c r="M5" s="88">
        <f>bharadhidhasan[[#Totals],[NOVEMBER]]</f>
        <v>0</v>
      </c>
      <c r="N5" s="88">
        <f>bharadhidhasan[[#Totals],[DECEMBER]]</f>
        <v>0</v>
      </c>
      <c r="O5" s="61">
        <f>SUM(Table27[[#This Row],[ACTIVE LIST]]-Table27[[#This Row],[Total]])</f>
        <v>0</v>
      </c>
      <c r="P5" s="61">
        <f>bharadhidhasan[[#Totals],[Package]]</f>
        <v>66</v>
      </c>
      <c r="Q5" s="61">
        <f>Bharadhidhasan!C75</f>
        <v>59</v>
      </c>
      <c r="R5" s="61">
        <f>Bharadhidhasan!C76</f>
        <v>1</v>
      </c>
      <c r="S5" s="61">
        <f>Bharadhidhasan!C77</f>
        <v>6</v>
      </c>
      <c r="T5" s="61" t="str">
        <f>IF(Table27[[#This Row],[ACTIVE LIST]]=Table27[[#This Row],[Total]],"EQUAL","NOT EQUAL")</f>
        <v>EQUAL</v>
      </c>
      <c r="U5" s="61">
        <f>Table27[[#This Row],[PAID]]+Table27[[#This Row],[MURUGAN]]+Table27[[#This Row],[Appa]]</f>
        <v>66</v>
      </c>
    </row>
    <row r="6" spans="1:21" x14ac:dyDescent="0.25">
      <c r="A6">
        <v>5</v>
      </c>
      <c r="B6" s="61" t="s">
        <v>2481</v>
      </c>
      <c r="C6" s="88">
        <f>Poothu_Kovil[[#Totals],[JANUARY]]</f>
        <v>2680</v>
      </c>
      <c r="D6" s="88">
        <f>Poothu_Kovil[[#Totals],[FEBEUARY]]</f>
        <v>0</v>
      </c>
      <c r="E6" s="88">
        <f>Poothu_Kovil[[#Totals],[MARCH]]</f>
        <v>0</v>
      </c>
      <c r="F6" s="88">
        <f>Poothu_Kovil[[#Totals],[APRIL]]</f>
        <v>0</v>
      </c>
      <c r="G6" s="88">
        <f>Poothu_Kovil[[#Totals],[MAY]]</f>
        <v>0</v>
      </c>
      <c r="H6" s="88">
        <f>Poothu_Kovil[[#Totals],[JUNE]]</f>
        <v>0</v>
      </c>
      <c r="I6" s="88">
        <f>Poothu_Kovil[[#Totals],[JULY]]</f>
        <v>0</v>
      </c>
      <c r="J6" s="88">
        <f>Poothu_Kovil[[#Totals],[AUGUST]]</f>
        <v>0</v>
      </c>
      <c r="K6" s="88">
        <f>Poothu_Kovil[[#Totals],[SEPTEMBER]]</f>
        <v>0</v>
      </c>
      <c r="L6" s="88">
        <f>Poothu_Kovil[[#Totals],[OCTOBER]]</f>
        <v>0</v>
      </c>
      <c r="M6" s="88">
        <f>Poothu_Kovil[[#Totals],[NOVEMBER]]</f>
        <v>0</v>
      </c>
      <c r="N6" s="88">
        <f>Poothu_Kovil[[#Totals],[DECEMBER]]</f>
        <v>0</v>
      </c>
      <c r="O6" s="61">
        <f>SUM(Table27[[#This Row],[ACTIVE LIST]]-Table27[[#This Row],[Total]])</f>
        <v>0</v>
      </c>
      <c r="P6" s="61">
        <f>Poothu_Kovil[[#Totals],[Package]]</f>
        <v>14</v>
      </c>
      <c r="Q6" s="61">
        <f>Poothu_Kovil!C19</f>
        <v>14</v>
      </c>
      <c r="R6" s="61">
        <f>Poothu_Kovil!C20</f>
        <v>0</v>
      </c>
      <c r="S6" s="61">
        <f>Poothu_Kovil!C21</f>
        <v>0</v>
      </c>
      <c r="T6" s="61" t="str">
        <f>IF(Table27[[#This Row],[ACTIVE LIST]]=Table27[[#This Row],[Total]],"EQUAL","NOT EQUAL")</f>
        <v>EQUAL</v>
      </c>
      <c r="U6" s="61">
        <f>Table27[[#This Row],[PAID]]+Table27[[#This Row],[MURUGAN]]+Table27[[#This Row],[Appa]]</f>
        <v>14</v>
      </c>
    </row>
    <row r="7" spans="1:21" x14ac:dyDescent="0.25">
      <c r="A7">
        <v>6</v>
      </c>
      <c r="B7" s="61" t="s">
        <v>2482</v>
      </c>
      <c r="C7" s="88">
        <f>Mannikam_Muthaliyar1[[#Totals],[JANUARY]]</f>
        <v>3000</v>
      </c>
      <c r="D7" s="88">
        <f>Mannikam_Muthaliyar1[[#Totals],[FEBEUARY]]</f>
        <v>0</v>
      </c>
      <c r="E7" s="88">
        <f>Mannikam_Muthaliyar1[[#Totals],[MARCH]]</f>
        <v>0</v>
      </c>
      <c r="F7" s="88">
        <f>Mannikam_Muthaliyar1[[#Totals],[APRIL]]</f>
        <v>0</v>
      </c>
      <c r="G7" s="88">
        <f>Mannikam_Muthaliyar1[[#Totals],[MAY]]</f>
        <v>0</v>
      </c>
      <c r="H7" s="88">
        <f>Mannikam_Muthaliyar1[[#Totals],[JUNE]]</f>
        <v>0</v>
      </c>
      <c r="I7" s="88">
        <f>Mannikam_Muthaliyar1[[#Totals],[JULY]]</f>
        <v>0</v>
      </c>
      <c r="J7" s="88">
        <f>Mannikam_Muthaliyar1[[#Totals],[AUGUST]]</f>
        <v>0</v>
      </c>
      <c r="K7" s="88">
        <f>Mannikam_Muthaliyar1[[#Totals],[SEPTEMBER]]</f>
        <v>0</v>
      </c>
      <c r="L7" s="88">
        <f>Mannikam_Muthaliyar1[[#Totals],[OCTOBER]]</f>
        <v>0</v>
      </c>
      <c r="M7" s="88">
        <f>Mannikam_Muthaliyar1[[#Totals],[NOVEMBER]]</f>
        <v>0</v>
      </c>
      <c r="N7" s="88">
        <f>Mannikam_Muthaliyar1[[#Totals],[DECEMBER]]</f>
        <v>0</v>
      </c>
      <c r="O7" s="61">
        <f>SUM(Table27[[#This Row],[ACTIVE LIST]]-Table27[[#This Row],[Total]])</f>
        <v>0</v>
      </c>
      <c r="P7" s="61">
        <f>Mannikam_Muthaliyar1[[#Totals],[Package]]</f>
        <v>15</v>
      </c>
      <c r="Q7" s="61">
        <f>'Mannikam_Muthaliyar-I'!C20</f>
        <v>14</v>
      </c>
      <c r="R7" s="61">
        <f>'Mannikam_Muthaliyar-I'!C21</f>
        <v>0</v>
      </c>
      <c r="S7" s="61">
        <f>'Mannikam_Muthaliyar-I'!C22</f>
        <v>1</v>
      </c>
      <c r="T7" s="61" t="str">
        <f>IF(Table27[[#This Row],[ACTIVE LIST]]=Table27[[#This Row],[Total]],"EQUAL","NOT EQUAL")</f>
        <v>EQUAL</v>
      </c>
      <c r="U7" s="61">
        <f>Table27[[#This Row],[PAID]]+Table27[[#This Row],[MURUGAN]]+Table27[[#This Row],[Appa]]</f>
        <v>15</v>
      </c>
    </row>
    <row r="8" spans="1:21" x14ac:dyDescent="0.25">
      <c r="A8">
        <v>7</v>
      </c>
      <c r="B8" s="61" t="s">
        <v>2483</v>
      </c>
      <c r="C8" s="88">
        <f>Mannikam_Muthaliyar2[[#Totals],[JANUARY]]</f>
        <v>2100</v>
      </c>
      <c r="D8" s="88">
        <f>Mannikam_Muthaliyar2[[#Totals],[FEBEUARY]]</f>
        <v>0</v>
      </c>
      <c r="E8" s="88">
        <f>Mannikam_Muthaliyar2[[#Totals],[MARCH]]</f>
        <v>0</v>
      </c>
      <c r="F8" s="88">
        <f>Mannikam_Muthaliyar2[[#Totals],[APRIL]]</f>
        <v>0</v>
      </c>
      <c r="G8" s="88">
        <f>Mannikam_Muthaliyar2[[#Totals],[MAY]]</f>
        <v>0</v>
      </c>
      <c r="H8" s="88">
        <f>Mannikam_Muthaliyar2[[#Totals],[JUNE]]</f>
        <v>0</v>
      </c>
      <c r="I8" s="88">
        <f>Mannikam_Muthaliyar2[[#Totals],[JULY]]</f>
        <v>0</v>
      </c>
      <c r="J8" s="88">
        <f>Mannikam_Muthaliyar2[[#Totals],[AUGUST]]</f>
        <v>0</v>
      </c>
      <c r="K8" s="88">
        <f>Mannikam_Muthaliyar2[[#Totals],[SEPTEMBER]]</f>
        <v>0</v>
      </c>
      <c r="L8" s="88">
        <f>Mannikam_Muthaliyar2[[#Totals],[OCTOBER]]</f>
        <v>0</v>
      </c>
      <c r="M8" s="88">
        <f>Mannikam_Muthaliyar2[[#Totals],[NOVEMBER]]</f>
        <v>0</v>
      </c>
      <c r="N8" s="88">
        <f>Mannikam_Muthaliyar2[[#Totals],[DECEMBER]]</f>
        <v>0</v>
      </c>
      <c r="O8" s="61">
        <f>SUM(Table27[[#This Row],[ACTIVE LIST]]-Table27[[#This Row],[Total]])</f>
        <v>0</v>
      </c>
      <c r="P8" s="61">
        <f>Mannikam_Muthaliyar2[[#Totals],[Package]]</f>
        <v>14</v>
      </c>
      <c r="Q8" s="61">
        <f>'Mannikam_Muthaliyar-II'!C19</f>
        <v>10</v>
      </c>
      <c r="R8" s="61">
        <f>'Mannikam_Muthaliyar-II'!C20</f>
        <v>2</v>
      </c>
      <c r="S8" s="61">
        <f>'Mannikam_Muthaliyar-II'!C21</f>
        <v>2</v>
      </c>
      <c r="T8" s="61" t="str">
        <f>IF(Table27[[#This Row],[ACTIVE LIST]]=Table27[[#This Row],[Total]],"EQUAL","NOT EQUAL")</f>
        <v>EQUAL</v>
      </c>
      <c r="U8" s="61">
        <f>Table27[[#This Row],[PAID]]+Table27[[#This Row],[MURUGAN]]+Table27[[#This Row],[Appa]]</f>
        <v>14</v>
      </c>
    </row>
    <row r="9" spans="1:21" x14ac:dyDescent="0.25">
      <c r="A9">
        <v>8</v>
      </c>
      <c r="B9" s="61" t="s">
        <v>2484</v>
      </c>
      <c r="C9" s="88">
        <f>Ramasami_Mudhaliyar[[#Totals],[JANUARY]]</f>
        <v>7540</v>
      </c>
      <c r="D9" s="88">
        <f>Ramasami_Mudhaliyar[[#Totals],[FEBEUARY]]</f>
        <v>0</v>
      </c>
      <c r="E9" s="88">
        <f>Ramasami_Mudhaliyar[[#Totals],[MARCH]]</f>
        <v>0</v>
      </c>
      <c r="F9" s="88">
        <f>Ramasami_Mudhaliyar[[#Totals],[APRIL]]</f>
        <v>0</v>
      </c>
      <c r="G9" s="88">
        <f>Ramasami_Mudhaliyar[[#Totals],[MAY]]</f>
        <v>0</v>
      </c>
      <c r="H9" s="88">
        <f>Ramasami_Mudhaliyar[[#Totals],[JUNE]]</f>
        <v>0</v>
      </c>
      <c r="I9" s="88">
        <f>Ramasami_Mudhaliyar[[#Totals],[JULY]]</f>
        <v>0</v>
      </c>
      <c r="J9" s="88">
        <f>Ramasami_Mudhaliyar[[#Totals],[AUGUST]]</f>
        <v>0</v>
      </c>
      <c r="K9" s="88">
        <f>Ramasami_Mudhaliyar[[#Totals],[SEPTEMBER]]</f>
        <v>0</v>
      </c>
      <c r="L9" s="88">
        <f>Ramasami_Mudhaliyar[[#Totals],[OCTOBER]]</f>
        <v>0</v>
      </c>
      <c r="M9" s="88">
        <f>Ramasami_Mudhaliyar[[#Totals],[NOVEMBER]]</f>
        <v>0</v>
      </c>
      <c r="N9" s="88">
        <f>Ramasami_Mudhaliyar[[#Totals],[DECEMBER]]</f>
        <v>0</v>
      </c>
      <c r="O9" s="61">
        <f>SUM(Table27[[#This Row],[ACTIVE LIST]]-Table27[[#This Row],[Total]])</f>
        <v>0</v>
      </c>
      <c r="P9" s="61">
        <f>Ramasami_Mudhaliyar[[#Totals],[Package]]</f>
        <v>45</v>
      </c>
      <c r="Q9" s="61">
        <f>Ramasami_Mudhaliyar!C50</f>
        <v>35</v>
      </c>
      <c r="R9" s="61">
        <f>Ramasami_Mudhaliyar!C51</f>
        <v>1</v>
      </c>
      <c r="S9" s="61">
        <f>Ramasami_Mudhaliyar!C52</f>
        <v>9</v>
      </c>
      <c r="T9" s="61" t="str">
        <f>IF(Table27[[#This Row],[ACTIVE LIST]]=Table27[[#This Row],[Total]],"EQUAL","NOT EQUAL")</f>
        <v>EQUAL</v>
      </c>
      <c r="U9" s="61">
        <f>Table27[[#This Row],[PAID]]+Table27[[#This Row],[MURUGAN]]+Table27[[#This Row],[Appa]]</f>
        <v>45</v>
      </c>
    </row>
    <row r="10" spans="1:21" x14ac:dyDescent="0.25">
      <c r="A10">
        <v>9</v>
      </c>
      <c r="B10" s="61" t="s">
        <v>2485</v>
      </c>
      <c r="C10" s="88">
        <f>PillaiyarKovil[[#Totals],[JANUARY]]</f>
        <v>8580</v>
      </c>
      <c r="D10" s="88">
        <f>PillaiyarKovil[[#Totals],[FEBEUARY]]</f>
        <v>0</v>
      </c>
      <c r="E10" s="88">
        <f>PillaiyarKovil[[#Totals],[MARCH]]</f>
        <v>0</v>
      </c>
      <c r="F10" s="88">
        <f>PillaiyarKovil[[#Totals],[APRIL]]</f>
        <v>0</v>
      </c>
      <c r="G10" s="88">
        <f>PillaiyarKovil[[#Totals],[MAY]]</f>
        <v>0</v>
      </c>
      <c r="H10" s="88">
        <f>PillaiyarKovil[[#Totals],[JUNE]]</f>
        <v>0</v>
      </c>
      <c r="I10" s="88">
        <f>PillaiyarKovil[[#Totals],[JULY]]</f>
        <v>0</v>
      </c>
      <c r="J10" s="88">
        <f>PillaiyarKovil[[#Totals],[AUGUST]]</f>
        <v>0</v>
      </c>
      <c r="K10" s="88">
        <f>PillaiyarKovil[[#Totals],[SEPTEMBER]]</f>
        <v>0</v>
      </c>
      <c r="L10" s="88">
        <f>PillaiyarKovil[[#Totals],[OCTOBER]]</f>
        <v>0</v>
      </c>
      <c r="M10" s="88">
        <f>PillaiyarKovil[[#Totals],[NOVEMBER]]</f>
        <v>0</v>
      </c>
      <c r="N10" s="88">
        <f>PillaiyarKovil[[#Totals],[DECEMBER]]</f>
        <v>0</v>
      </c>
      <c r="O10" s="61">
        <f>SUM(Table27[[#This Row],[ACTIVE LIST]]-Table27[[#This Row],[Total]])</f>
        <v>0</v>
      </c>
      <c r="P10" s="61">
        <f>PillaiyarKovil[[#Totals],[Package]]</f>
        <v>40</v>
      </c>
      <c r="Q10" s="61">
        <f>PillaiyarKovil!C46</f>
        <v>38</v>
      </c>
      <c r="R10" s="61">
        <f>PillaiyarKovil!C47</f>
        <v>1</v>
      </c>
      <c r="S10" s="61">
        <f>PillaiyarKovil!C48</f>
        <v>1</v>
      </c>
      <c r="T10" s="61" t="str">
        <f>IF(Table27[[#This Row],[ACTIVE LIST]]=Table27[[#This Row],[Total]],"EQUAL","NOT EQUAL")</f>
        <v>EQUAL</v>
      </c>
      <c r="U10" s="61">
        <f>Table27[[#This Row],[PAID]]+Table27[[#This Row],[MURUGAN]]+Table27[[#This Row],[Appa]]</f>
        <v>40</v>
      </c>
    </row>
    <row r="11" spans="1:21" x14ac:dyDescent="0.25">
      <c r="A11">
        <v>10</v>
      </c>
      <c r="B11" s="61" t="s">
        <v>2486</v>
      </c>
      <c r="C11" s="88">
        <f>kmudhaliyar[[#Totals],[JANUARY]]</f>
        <v>5300</v>
      </c>
      <c r="D11" s="88">
        <f>kmudhaliyar[[#Totals],[FEBEUARY]]</f>
        <v>0</v>
      </c>
      <c r="E11" s="88">
        <f>kmudhaliyar[[#Totals],[MARCH]]</f>
        <v>0</v>
      </c>
      <c r="F11" s="88">
        <f>kmudhaliyar[[#Totals],[APRIL]]</f>
        <v>0</v>
      </c>
      <c r="G11" s="88">
        <f>kmudhaliyar[[#Totals],[MAY]]</f>
        <v>0</v>
      </c>
      <c r="H11" s="88">
        <f>kmudhaliyar[[#Totals],[JUNE]]</f>
        <v>0</v>
      </c>
      <c r="I11" s="88">
        <f>kmudhaliyar[[#Totals],[JULY]]</f>
        <v>0</v>
      </c>
      <c r="J11" s="88">
        <f>kmudhaliyar[[#Totals],[AUGUST]]</f>
        <v>0</v>
      </c>
      <c r="K11" s="88">
        <f>kmudhaliyar[[#Totals],[SEPTEMBER]]</f>
        <v>0</v>
      </c>
      <c r="L11" s="88">
        <f>kmudhaliyar[[#Totals],[OCTOBER]]</f>
        <v>0</v>
      </c>
      <c r="M11" s="88">
        <f>kmudhaliyar[[#Totals],[NOVEMBER]]</f>
        <v>0</v>
      </c>
      <c r="N11" s="88">
        <f>kmudhaliyar[[#Totals],[DECEMBER]]</f>
        <v>0</v>
      </c>
      <c r="O11" s="61">
        <f>SUM(Table27[[#This Row],[ACTIVE LIST]]-Table27[[#This Row],[Total]])</f>
        <v>0</v>
      </c>
      <c r="P11" s="61">
        <f>kmudhaliyar[[#Totals],[Package]]</f>
        <v>24</v>
      </c>
      <c r="Q11" s="61">
        <f>K.Mudhaliyar!C31</f>
        <v>21</v>
      </c>
      <c r="R11" s="61">
        <f>K.Mudhaliyar!C32</f>
        <v>1</v>
      </c>
      <c r="S11" s="61">
        <f>K.Mudhaliyar!C33</f>
        <v>2</v>
      </c>
      <c r="T11" s="61" t="str">
        <f>IF(Table27[[#This Row],[ACTIVE LIST]]=Table27[[#This Row],[Total]],"EQUAL","NOT EQUAL")</f>
        <v>EQUAL</v>
      </c>
      <c r="U11" s="61">
        <f>Table27[[#This Row],[PAID]]+Table27[[#This Row],[MURUGAN]]+Table27[[#This Row],[Appa]]</f>
        <v>24</v>
      </c>
    </row>
    <row r="12" spans="1:21" x14ac:dyDescent="0.25">
      <c r="A12">
        <v>11</v>
      </c>
      <c r="B12" s="61" t="s">
        <v>2487</v>
      </c>
      <c r="C12" s="88">
        <f>mariamman[[#Totals],[JANUARY]]</f>
        <v>5760</v>
      </c>
      <c r="D12" s="88">
        <f>mariamman[[#Totals],[FEBEUARY]]</f>
        <v>0</v>
      </c>
      <c r="E12" s="88">
        <f>mariamman[[#Totals],[MARCH]]</f>
        <v>0</v>
      </c>
      <c r="F12" s="88">
        <f>mariamman[[#Totals],[APRIL]]</f>
        <v>0</v>
      </c>
      <c r="G12" s="88">
        <f>mariamman[[#Totals],[MAY]]</f>
        <v>0</v>
      </c>
      <c r="H12" s="88">
        <f>mariamman[[#Totals],[JUNE]]</f>
        <v>0</v>
      </c>
      <c r="I12" s="88">
        <f>mariamman[[#Totals],[JULY]]</f>
        <v>0</v>
      </c>
      <c r="J12" s="88">
        <f>mariamman[[#Totals],[AUGUST]]</f>
        <v>0</v>
      </c>
      <c r="K12" s="88">
        <f>mariamman[[#Totals],[SEPTEMBER]]</f>
        <v>0</v>
      </c>
      <c r="L12" s="88">
        <f>mariamman[[#Totals],[OCTOBER]]</f>
        <v>0</v>
      </c>
      <c r="M12" s="88">
        <f>mariamman[[#Totals],[NOVEMBER]]</f>
        <v>0</v>
      </c>
      <c r="N12" s="88">
        <f>mariamman[[#Totals],[DECEMBER]]</f>
        <v>0</v>
      </c>
      <c r="O12" s="61">
        <f>SUM(Table27[[#This Row],[ACTIVE LIST]]-Table27[[#This Row],[Total]])</f>
        <v>0</v>
      </c>
      <c r="P12" s="61">
        <f>mariamman[[#Totals],[Package]]</f>
        <v>37</v>
      </c>
      <c r="Q12" s="61">
        <f>M.Mariamman!C42</f>
        <v>30</v>
      </c>
      <c r="R12" s="61">
        <f>M.Mariamman!C43</f>
        <v>4</v>
      </c>
      <c r="S12" s="61">
        <f>M.Mariamman!C44</f>
        <v>3</v>
      </c>
      <c r="T12" s="61" t="str">
        <f>IF(Table27[[#This Row],[ACTIVE LIST]]=Table27[[#This Row],[Total]],"EQUAL","NOT EQUAL")</f>
        <v>EQUAL</v>
      </c>
      <c r="U12" s="61">
        <f>Table27[[#This Row],[PAID]]+Table27[[#This Row],[MURUGAN]]+Table27[[#This Row],[Appa]]</f>
        <v>37</v>
      </c>
    </row>
    <row r="13" spans="1:21" x14ac:dyDescent="0.25">
      <c r="A13">
        <v>12</v>
      </c>
      <c r="B13" s="61" t="s">
        <v>2488</v>
      </c>
      <c r="C13" s="88">
        <f>acolony[[#Totals],[JANUARY]]</f>
        <v>7240</v>
      </c>
      <c r="D13" s="88">
        <f>acolony[[#Totals],[FEBEUARY]]</f>
        <v>0</v>
      </c>
      <c r="E13" s="88">
        <f>acolony[[#Totals],[MARCH]]</f>
        <v>0</v>
      </c>
      <c r="F13" s="88">
        <f>acolony[[#Totals],[APRIL]]</f>
        <v>0</v>
      </c>
      <c r="G13" s="88">
        <f>acolony[[#Totals],[MAY]]</f>
        <v>0</v>
      </c>
      <c r="H13" s="88">
        <f>acolony[[#Totals],[JUNE]]</f>
        <v>0</v>
      </c>
      <c r="I13" s="88">
        <f>acolony[[#Totals],[JULY]]</f>
        <v>0</v>
      </c>
      <c r="J13" s="88">
        <f>acolony[[#Totals],[AUGUST]]</f>
        <v>0</v>
      </c>
      <c r="K13" s="88">
        <f>acolony[[#Totals],[SEPTEMBER]]</f>
        <v>0</v>
      </c>
      <c r="L13" s="88">
        <f>acolony[[#Totals],[OCTOBER]]</f>
        <v>0</v>
      </c>
      <c r="M13" s="88">
        <f>acolony[[#Totals],[NOVEMBER]]</f>
        <v>0</v>
      </c>
      <c r="N13" s="88">
        <f>acolony[[#Totals],[DECEMBER]]</f>
        <v>0</v>
      </c>
      <c r="O13" s="61">
        <f>SUM(Table27[[#This Row],[ACTIVE LIST]]-Table27[[#This Row],[Total]])</f>
        <v>0</v>
      </c>
      <c r="P13" s="61">
        <f>acolony[[#Totals],[Package]]</f>
        <v>39</v>
      </c>
      <c r="Q13" s="61">
        <f>A.Colony!C47</f>
        <v>35</v>
      </c>
      <c r="R13" s="61">
        <f>A.Colony!C48</f>
        <v>4</v>
      </c>
      <c r="S13" s="61">
        <f>A.Colony!C49</f>
        <v>0</v>
      </c>
      <c r="T13" s="61" t="str">
        <f>IF(Table27[[#This Row],[ACTIVE LIST]]=Table27[[#This Row],[Total]],"EQUAL","NOT EQUAL")</f>
        <v>EQUAL</v>
      </c>
      <c r="U13" s="61">
        <f>Table27[[#This Row],[PAID]]+Table27[[#This Row],[MURUGAN]]+Table27[[#This Row],[Appa]]</f>
        <v>39</v>
      </c>
    </row>
    <row r="14" spans="1:21" x14ac:dyDescent="0.25">
      <c r="A14">
        <v>13</v>
      </c>
      <c r="B14" s="61" t="s">
        <v>2489</v>
      </c>
      <c r="C14" s="88">
        <f>mainroad[[#Totals],[JANUARY]]</f>
        <v>6340</v>
      </c>
      <c r="D14" s="88">
        <f>mainroad[[#Totals],[FEBEUARY]]</f>
        <v>0</v>
      </c>
      <c r="E14" s="88">
        <f>mainroad[[#Totals],[MARCH]]</f>
        <v>0</v>
      </c>
      <c r="F14" s="88">
        <f>mainroad[[#Totals],[APRIL]]</f>
        <v>0</v>
      </c>
      <c r="G14" s="88">
        <f>mainroad[[#Totals],[MAY]]</f>
        <v>0</v>
      </c>
      <c r="H14" s="88">
        <f>mainroad[[#Totals],[JUNE]]</f>
        <v>0</v>
      </c>
      <c r="I14" s="88">
        <f>mainroad[[#Totals],[JULY]]</f>
        <v>0</v>
      </c>
      <c r="J14" s="88">
        <f>mainroad[[#Totals],[AUGUST]]</f>
        <v>0</v>
      </c>
      <c r="K14" s="88">
        <f>mainroad[[#Totals],[SEPTEMBER]]</f>
        <v>0</v>
      </c>
      <c r="L14" s="88">
        <f>mainroad[[#Totals],[OCTOBER]]</f>
        <v>0</v>
      </c>
      <c r="M14" s="88">
        <f>mainroad[[#Totals],[NOVEMBER]]</f>
        <v>0</v>
      </c>
      <c r="N14" s="88">
        <f>mainroad[[#Totals],[DECEMBER]]</f>
        <v>0</v>
      </c>
      <c r="O14" s="61">
        <f>SUM(Table27[[#This Row],[ACTIVE LIST]]-Table27[[#This Row],[Total]])</f>
        <v>0</v>
      </c>
      <c r="P14" s="61">
        <f>mainroad[[#Totals],[Package]]</f>
        <v>37</v>
      </c>
      <c r="Q14" s="61">
        <f>'Main Road'!C43</f>
        <v>30</v>
      </c>
      <c r="R14" s="61">
        <f>'Main Road'!C44</f>
        <v>2</v>
      </c>
      <c r="S14" s="61">
        <f>'Main Road'!C45</f>
        <v>5</v>
      </c>
      <c r="T14" s="61" t="str">
        <f>IF(Table27[[#This Row],[ACTIVE LIST]]=Table27[[#This Row],[Total]],"EQUAL","NOT EQUAL")</f>
        <v>EQUAL</v>
      </c>
      <c r="U14" s="61">
        <f>Table27[[#This Row],[PAID]]+Table27[[#This Row],[MURUGAN]]+Table27[[#This Row],[Appa]]</f>
        <v>37</v>
      </c>
    </row>
    <row r="15" spans="1:21" x14ac:dyDescent="0.25">
      <c r="A15">
        <v>14</v>
      </c>
      <c r="B15" s="61" t="s">
        <v>2490</v>
      </c>
      <c r="C15" s="88">
        <f>bharathipuram130[[#Totals],[JANUARY]]</f>
        <v>4770</v>
      </c>
      <c r="D15" s="88">
        <f>bharathipuram130[[#Totals],[FEBEUARY]]</f>
        <v>0</v>
      </c>
      <c r="E15" s="88">
        <f>bharathipuram130[[#Totals],[MARCH]]</f>
        <v>0</v>
      </c>
      <c r="F15" s="88">
        <f>bharathipuram130[[#Totals],[APRIL]]</f>
        <v>0</v>
      </c>
      <c r="G15" s="88">
        <f>bharathipuram130[[#Totals],[MAY]]</f>
        <v>0</v>
      </c>
      <c r="H15" s="88">
        <f>bharathipuram130[[#Totals],[JUNE]]</f>
        <v>0</v>
      </c>
      <c r="I15" s="88">
        <f>bharathipuram130[[#Totals],[JULY]]</f>
        <v>0</v>
      </c>
      <c r="J15" s="88">
        <f>bharathipuram130[[#Totals],[AUGUST]]</f>
        <v>0</v>
      </c>
      <c r="K15" s="88">
        <f>bharathipuram130[[#Totals],[SEPTEMBER]]</f>
        <v>0</v>
      </c>
      <c r="L15" s="88">
        <f>bharathipuram130[[#Totals],[OCTOBER]]</f>
        <v>0</v>
      </c>
      <c r="M15" s="88">
        <f>bharathipuram130[[#Totals],[NOVEMBER]]</f>
        <v>0</v>
      </c>
      <c r="N15" s="88">
        <f>bharathipuram130[[#Totals],[DECEMBER]]</f>
        <v>0</v>
      </c>
      <c r="O15" s="61">
        <f>SUM(Table27[[#This Row],[ACTIVE LIST]]-Table27[[#This Row],[Total]])</f>
        <v>0</v>
      </c>
      <c r="P15" s="61">
        <f>bharathipuram130[[#Totals],[Package]]</f>
        <v>26</v>
      </c>
      <c r="Q15" s="61">
        <f>'Bharathipuram-1'!C32</f>
        <v>24</v>
      </c>
      <c r="R15" s="61">
        <f>'Bharathipuram-1'!C33</f>
        <v>2</v>
      </c>
      <c r="S15" s="61">
        <f>'Bharathipuram-1'!C34</f>
        <v>0</v>
      </c>
      <c r="T15" s="61" t="str">
        <f>IF(Table27[[#This Row],[ACTIVE LIST]]=Table27[[#This Row],[Total]],"EQUAL","NOT EQUAL")</f>
        <v>EQUAL</v>
      </c>
      <c r="U15" s="61">
        <f>Table27[[#This Row],[PAID]]+Table27[[#This Row],[MURUGAN]]+Table27[[#This Row],[Appa]]</f>
        <v>26</v>
      </c>
    </row>
    <row r="16" spans="1:21" x14ac:dyDescent="0.25">
      <c r="A16">
        <v>15</v>
      </c>
      <c r="B16" s="61" t="s">
        <v>2491</v>
      </c>
      <c r="C16" s="88">
        <f>bharathipuram231[[#Totals],[JANUARY]]</f>
        <v>5450</v>
      </c>
      <c r="D16" s="88">
        <f>bharathipuram231[[#Totals],[FEBEUARY]]</f>
        <v>0</v>
      </c>
      <c r="E16" s="88">
        <f>bharathipuram231[[#Totals],[MARCH]]</f>
        <v>0</v>
      </c>
      <c r="F16" s="88">
        <f>bharathipuram231[[#Totals],[APRIL]]</f>
        <v>0</v>
      </c>
      <c r="G16" s="88">
        <f>bharathipuram231[[#Totals],[MAY]]</f>
        <v>0</v>
      </c>
      <c r="H16" s="88">
        <f>bharathipuram231[[#Totals],[JUNE]]</f>
        <v>0</v>
      </c>
      <c r="I16" s="88">
        <f>bharathipuram231[[#Totals],[JULY]]</f>
        <v>0</v>
      </c>
      <c r="J16" s="88">
        <f>bharathipuram231[[#Totals],[AUGUST]]</f>
        <v>0</v>
      </c>
      <c r="K16" s="88">
        <f>bharathipuram231[[#Totals],[SEPTEMBER]]</f>
        <v>0</v>
      </c>
      <c r="L16" s="88">
        <f>bharathipuram231[[#Totals],[OCTOBER]]</f>
        <v>0</v>
      </c>
      <c r="M16" s="88">
        <f>bharathipuram231[[#Totals],[NOVEMBER]]</f>
        <v>0</v>
      </c>
      <c r="N16" s="88">
        <f>bharathipuram231[[#Totals],[DECEMBER]]</f>
        <v>0</v>
      </c>
      <c r="O16" s="61">
        <f>SUM(Table27[[#This Row],[ACTIVE LIST]]-Table27[[#This Row],[Total]])</f>
        <v>0</v>
      </c>
      <c r="P16" s="61">
        <f>bharathipuram231[[#Totals],[Package]]</f>
        <v>30</v>
      </c>
      <c r="Q16" s="61">
        <f>'Bharathipuram-2'!C34</f>
        <v>28</v>
      </c>
      <c r="R16" s="61">
        <f>'Bharathipuram-2'!C35</f>
        <v>2</v>
      </c>
      <c r="S16" s="61">
        <f>'Bharathipuram-2'!C36</f>
        <v>0</v>
      </c>
      <c r="T16" s="61" t="str">
        <f>IF(Table27[[#This Row],[ACTIVE LIST]]=Table27[[#This Row],[Total]],"EQUAL","NOT EQUAL")</f>
        <v>EQUAL</v>
      </c>
      <c r="U16" s="61">
        <f>Table27[[#This Row],[PAID]]+Table27[[#This Row],[MURUGAN]]+Table27[[#This Row],[Appa]]</f>
        <v>30</v>
      </c>
    </row>
    <row r="17" spans="1:21" x14ac:dyDescent="0.25">
      <c r="A17">
        <v>16</v>
      </c>
      <c r="B17" s="61" t="s">
        <v>2492</v>
      </c>
      <c r="C17" s="88">
        <f>agalist[[#Totals],[JANUARY]]</f>
        <v>1030</v>
      </c>
      <c r="D17" s="88">
        <f>agalist[[#Totals],[FEBEUARY]]</f>
        <v>0</v>
      </c>
      <c r="E17" s="88">
        <f>agalist[[#Totals],[MARCH]]</f>
        <v>0</v>
      </c>
      <c r="F17" s="88">
        <f>agalist[[#Totals],[APRIL]]</f>
        <v>0</v>
      </c>
      <c r="G17" s="88">
        <f>agalist[[#Totals],[MAY]]</f>
        <v>0</v>
      </c>
      <c r="H17" s="88">
        <f>agalist[[#Totals],[JUNE]]</f>
        <v>0</v>
      </c>
      <c r="I17" s="88">
        <f>agalist[[#Totals],[JULY]]</f>
        <v>900</v>
      </c>
      <c r="J17" s="88">
        <f>agalist[[#Totals],[AUGUST]]</f>
        <v>1260</v>
      </c>
      <c r="K17" s="88">
        <f>agalist[[#Totals],[SEPTEMBER]]</f>
        <v>860</v>
      </c>
      <c r="L17" s="88">
        <f>agalist[[#Totals],[OCTOBER]]</f>
        <v>1360</v>
      </c>
      <c r="M17" s="88">
        <f>agalist[[#Totals],[NOVEMBER]]</f>
        <v>860</v>
      </c>
      <c r="N17" s="88">
        <f>agalist[[#Totals],[DECEMBER]]</f>
        <v>1930</v>
      </c>
      <c r="O17" s="61">
        <f>SUM(Table27[[#This Row],[ACTIVE LIST]]-Table27[[#This Row],[Total]])</f>
        <v>0</v>
      </c>
      <c r="P17" s="61">
        <f>agalist[[#Totals],[Package]]</f>
        <v>11</v>
      </c>
      <c r="Q17" s="61">
        <f>'Agali Theru'!C15</f>
        <v>5</v>
      </c>
      <c r="R17" s="61">
        <f>'Agali Theru'!C16</f>
        <v>4</v>
      </c>
      <c r="S17" s="61">
        <f>'Agali Theru'!C17</f>
        <v>2</v>
      </c>
      <c r="T17" s="61" t="str">
        <f>IF(Table27[[#This Row],[ACTIVE LIST]]=Table27[[#This Row],[Total]],"EQUAL","NOT EQUAL")</f>
        <v>EQUAL</v>
      </c>
      <c r="U17" s="61">
        <f>Table27[[#This Row],[PAID]]+Table27[[#This Row],[MURUGAN]]+Table27[[#This Row],[Appa]]</f>
        <v>11</v>
      </c>
    </row>
    <row r="18" spans="1:21" x14ac:dyDescent="0.25">
      <c r="A18">
        <v>17</v>
      </c>
      <c r="B18" s="61" t="s">
        <v>2493</v>
      </c>
      <c r="O18" s="61">
        <f>SUM(Table27[[#This Row],[ACTIVE LIST]]-Table27[[#This Row],[Total]])</f>
        <v>0</v>
      </c>
      <c r="P18" s="61">
        <f>etteiyampatti[[#Totals],[Package]]</f>
        <v>8</v>
      </c>
      <c r="Q18" s="61">
        <f>Etteiyampatti!C14</f>
        <v>8</v>
      </c>
      <c r="R18" s="61">
        <f>Etteiyampatti!C15</f>
        <v>0</v>
      </c>
      <c r="S18" s="61">
        <f>Etteiyampatti!C16</f>
        <v>0</v>
      </c>
      <c r="T18" s="61" t="str">
        <f>IF(Table27[[#This Row],[ACTIVE LIST]]=Table27[[#This Row],[Total]],"EQUAL","NOT EQUAL")</f>
        <v>EQUAL</v>
      </c>
      <c r="U18" s="61">
        <f>Table27[[#This Row],[PAID]]+Table27[[#This Row],[MURUGAN]]+Table27[[#This Row],[Appa]]</f>
        <v>8</v>
      </c>
    </row>
    <row r="19" spans="1:21" x14ac:dyDescent="0.25">
      <c r="A19">
        <v>18</v>
      </c>
      <c r="B19" s="61" t="s">
        <v>2494</v>
      </c>
      <c r="C19" s="88">
        <f>pudhur[[#Totals],[JANUARY]]</f>
        <v>4020</v>
      </c>
      <c r="D19" s="88">
        <f>pudhur[[#Totals],[FEBEUARY]]</f>
        <v>0</v>
      </c>
      <c r="E19" s="88">
        <f>pudhur[[#Totals],[MARCH]]</f>
        <v>0</v>
      </c>
      <c r="F19" s="88">
        <f>pudhur[[#Totals],[APRIL]]</f>
        <v>0</v>
      </c>
      <c r="G19" s="88">
        <f>pudhur[[#Totals],[MAY]]</f>
        <v>0</v>
      </c>
      <c r="H19" s="88">
        <f>pudhur[[#Totals],[JUNE]]</f>
        <v>0</v>
      </c>
      <c r="I19" s="88">
        <f>pudhur[[#Totals],[JULY]]</f>
        <v>0</v>
      </c>
      <c r="J19" s="88">
        <f>pudhur[[#Totals],[AUGUST]]</f>
        <v>0</v>
      </c>
      <c r="K19" s="88">
        <f>pudhur[[#Totals],[SEPTEMBER]]</f>
        <v>0</v>
      </c>
      <c r="L19" s="88">
        <f>pudhur[[#Totals],[OCTOBER]]</f>
        <v>0</v>
      </c>
      <c r="M19" s="88">
        <f>pudhur[[#Totals],[NOVEMBER]]</f>
        <v>0</v>
      </c>
      <c r="N19" s="88">
        <f>pudhur[[#Totals],[DECEMBER]]</f>
        <v>0</v>
      </c>
      <c r="O19" s="61">
        <f>SUM(Table27[[#This Row],[ACTIVE LIST]]-Table27[[#This Row],[Total]])</f>
        <v>0</v>
      </c>
      <c r="P19" s="61">
        <f>pudhur[[#Totals],[Package]]</f>
        <v>23</v>
      </c>
      <c r="Q19" s="61">
        <f>Pudhur!C30</f>
        <v>23</v>
      </c>
      <c r="R19" s="61">
        <f>Pudhur!C31</f>
        <v>0</v>
      </c>
      <c r="S19" s="61">
        <f>Pudhur!C32</f>
        <v>0</v>
      </c>
      <c r="T19" s="61" t="str">
        <f>IF(Table27[[#This Row],[ACTIVE LIST]]=Table27[[#This Row],[Total]],"EQUAL","NOT EQUAL")</f>
        <v>EQUAL</v>
      </c>
      <c r="U19" s="61">
        <f>Table27[[#This Row],[PAID]]+Table27[[#This Row],[MURUGAN]]+Table27[[#This Row],[Appa]]</f>
        <v>23</v>
      </c>
    </row>
    <row r="20" spans="1:21" x14ac:dyDescent="0.25">
      <c r="A20">
        <v>19</v>
      </c>
      <c r="B20" s="61" t="s">
        <v>2495</v>
      </c>
      <c r="C20" s="88">
        <f>sankark[[#Totals],[JANUARY]]</f>
        <v>1000</v>
      </c>
      <c r="D20" s="88">
        <f>sankark[[#Totals],[FEBEUARY]]</f>
        <v>0</v>
      </c>
      <c r="E20" s="88">
        <f>sankark[[#Totals],[MARCH]]</f>
        <v>0</v>
      </c>
      <c r="F20" s="88">
        <f>sankark[[#Totals],[APRIL]]</f>
        <v>0</v>
      </c>
      <c r="G20" s="88">
        <f>sankark[[#Totals],[MAY]]</f>
        <v>0</v>
      </c>
      <c r="H20" s="88">
        <f>sankark[[#Totals],[JUNE]]</f>
        <v>0</v>
      </c>
      <c r="I20" s="88">
        <f>sankark[[#Totals],[JULY]]</f>
        <v>0</v>
      </c>
      <c r="J20" s="88">
        <f>sankark[[#Totals],[AUGUST]]</f>
        <v>0</v>
      </c>
      <c r="K20" s="88">
        <f>sankark[[#Totals],[SEPTEMBER]]</f>
        <v>0</v>
      </c>
      <c r="L20" s="88">
        <f>sankark[[#Totals],[OCTOBER]]</f>
        <v>0</v>
      </c>
      <c r="M20" s="88">
        <f>sankark[[#Totals],[NOVEMBER]]</f>
        <v>0</v>
      </c>
      <c r="N20" s="88">
        <f>sankark[[#Totals],[DECEMBER]]</f>
        <v>0</v>
      </c>
      <c r="O20" s="61">
        <f>SUM(Table27[[#This Row],[ACTIVE LIST]]-Table27[[#This Row],[Total]])</f>
        <v>0</v>
      </c>
      <c r="P20" s="61">
        <f>sankark[[#Totals],[Package]]</f>
        <v>7</v>
      </c>
      <c r="Q20" s="61">
        <f>SankarK!C12</f>
        <v>6</v>
      </c>
      <c r="R20" s="61">
        <f>SankarK!C13</f>
        <v>1</v>
      </c>
      <c r="S20" s="61">
        <f>SankarK!C14</f>
        <v>0</v>
      </c>
      <c r="T20" s="61" t="str">
        <f>IF(Table27[[#This Row],[ACTIVE LIST]]=Table27[[#This Row],[Total]],"EQUAL","NOT EQUAL")</f>
        <v>EQUAL</v>
      </c>
      <c r="U20" s="61">
        <f>Table27[[#This Row],[PAID]]+Table27[[#This Row],[MURUGAN]]+Table27[[#This Row],[Appa]]</f>
        <v>7</v>
      </c>
    </row>
    <row r="21" spans="1:21" x14ac:dyDescent="0.25">
      <c r="A21">
        <v>20</v>
      </c>
      <c r="B21" s="61" t="s">
        <v>2496</v>
      </c>
      <c r="C21" s="88">
        <f>kamarajnagar[[#Totals],[JANUARY]]</f>
        <v>5550</v>
      </c>
      <c r="D21" s="88">
        <f>kamarajnagar[[#Totals],[FEBRUARY]]</f>
        <v>0</v>
      </c>
      <c r="E21" s="88">
        <f>kamarajnagar[[#Totals],[MARCH]]</f>
        <v>0</v>
      </c>
      <c r="F21" s="88">
        <f>kamarajnagar[[#Totals],[APRIL]]</f>
        <v>0</v>
      </c>
      <c r="G21" s="88">
        <f>kamarajnagar[[#Totals],[MAY]]</f>
        <v>0</v>
      </c>
      <c r="H21" s="88">
        <f>kamarajnagar[[#Totals],[JUNE]]</f>
        <v>0</v>
      </c>
      <c r="I21" s="88">
        <f>kamarajnagar[[#Totals],[JULY]]</f>
        <v>0</v>
      </c>
      <c r="J21" s="88">
        <f>kamarajnagar[[#Totals],[AUGUST]]</f>
        <v>0</v>
      </c>
      <c r="K21" s="88">
        <f>kamarajnagar[[#Totals],[SEPTEMBER]]</f>
        <v>0</v>
      </c>
      <c r="L21" s="88">
        <f>kamarajnagar[[#Totals],[OCTOBER]]</f>
        <v>0</v>
      </c>
      <c r="M21" s="88">
        <f>kamarajnagar[[#Totals],[NOVEMBER]]</f>
        <v>0</v>
      </c>
      <c r="N21" s="88">
        <f>kamarajnagar[[#Totals],[DECEMBER]]</f>
        <v>0</v>
      </c>
      <c r="O21" s="61">
        <f>SUM(Table27[[#This Row],[ACTIVE LIST]]-Table27[[#This Row],[Total]])</f>
        <v>0</v>
      </c>
      <c r="P21" s="61">
        <f>kamarajnagar[[#Totals],[Package]]</f>
        <v>31</v>
      </c>
      <c r="Q21" s="61">
        <f>'Kamaraj Nagar'!C36</f>
        <v>29</v>
      </c>
      <c r="R21" s="61">
        <f>'Kamaraj Nagar'!C37</f>
        <v>1</v>
      </c>
      <c r="S21" s="61">
        <f>'Kamaraj Nagar'!C38</f>
        <v>1</v>
      </c>
      <c r="T21" s="61" t="str">
        <f>IF(Table27[[#This Row],[ACTIVE LIST]]=Table27[[#This Row],[Total]],"EQUAL","NOT EQUAL")</f>
        <v>EQUAL</v>
      </c>
      <c r="U21" s="61">
        <f>Table27[[#This Row],[PAID]]+Table27[[#This Row],[MURUGAN]]+Table27[[#This Row],[Appa]]</f>
        <v>31</v>
      </c>
    </row>
    <row r="22" spans="1:21" x14ac:dyDescent="0.25">
      <c r="A22">
        <v>21</v>
      </c>
      <c r="B22" s="61" t="s">
        <v>2497</v>
      </c>
      <c r="C22" s="88">
        <f>muslismst[[#Totals],[JANUARY]]</f>
        <v>3400</v>
      </c>
      <c r="D22" s="88">
        <f>muslismst[[#Totals],[FEBEUARY]]</f>
        <v>0</v>
      </c>
      <c r="E22" s="88">
        <f>muslismst[[#Totals],[MARCH]]</f>
        <v>0</v>
      </c>
      <c r="F22" s="88">
        <f>muslismst[[#Totals],[APRIL]]</f>
        <v>0</v>
      </c>
      <c r="G22" s="88">
        <f>muslismst[[#Totals],[MAY]]</f>
        <v>0</v>
      </c>
      <c r="H22" s="88">
        <f>muslismst[[#Totals],[JUNE]]</f>
        <v>0</v>
      </c>
      <c r="I22" s="88">
        <f>muslismst[[#Totals],[JULY]]</f>
        <v>0</v>
      </c>
      <c r="J22" s="88">
        <f>muslismst[[#Totals],[AUGUST]]</f>
        <v>0</v>
      </c>
      <c r="K22" s="88">
        <f>muslismst[[#Totals],[SEPTEMBER]]</f>
        <v>0</v>
      </c>
      <c r="L22" s="88">
        <f>muslismst[[#Totals],[OCTOBER]]</f>
        <v>0</v>
      </c>
      <c r="M22" s="88">
        <f>muslismst[[#Totals],[NOVEMBER]]</f>
        <v>0</v>
      </c>
      <c r="N22" s="88">
        <f>muslismst[[#Totals],[DECEMBER]]</f>
        <v>0</v>
      </c>
      <c r="O22" s="61">
        <f>SUM(Table27[[#This Row],[ACTIVE LIST]]-Table27[[#This Row],[Total]])</f>
        <v>0</v>
      </c>
      <c r="P22" s="61">
        <f>muslismst[[#Totals],[Package]]</f>
        <v>24</v>
      </c>
      <c r="Q22" s="61">
        <f>'Muslim St'!C29</f>
        <v>21</v>
      </c>
      <c r="R22" s="61">
        <f>'Muslim St'!C31</f>
        <v>1</v>
      </c>
      <c r="S22" s="61">
        <f>'Muslim St'!C32</f>
        <v>2</v>
      </c>
      <c r="T22" s="61" t="str">
        <f>IF(Table27[[#This Row],[ACTIVE LIST]]=Table27[[#This Row],[Total]],"EQUAL","NOT EQUAL")</f>
        <v>EQUAL</v>
      </c>
      <c r="U22" s="61">
        <f>Table27[[#This Row],[PAID]]+Table27[[#This Row],[MURUGAN]]+Table27[[#This Row],[Appa]]</f>
        <v>24</v>
      </c>
    </row>
    <row r="23" spans="1:21" x14ac:dyDescent="0.25">
      <c r="A23">
        <v>22</v>
      </c>
      <c r="B23" s="61" t="s">
        <v>2498</v>
      </c>
      <c r="C23" s="88">
        <f>govtbox[[#Totals],[JANUARY]]</f>
        <v>19070</v>
      </c>
      <c r="D23" s="88">
        <f>govtbox[[#Totals],[FEBEUARY]]</f>
        <v>0</v>
      </c>
      <c r="E23" s="88">
        <f>govtbox[[#Totals],[MARCH]]</f>
        <v>0</v>
      </c>
      <c r="F23" s="88">
        <f>govtbox[[#Totals],[APRIL]]</f>
        <v>0</v>
      </c>
      <c r="G23" s="88">
        <f>govtbox[[#Totals],[MAY]]</f>
        <v>0</v>
      </c>
      <c r="H23" s="88">
        <f>govtbox[[#Totals],[JUNE]]</f>
        <v>0</v>
      </c>
      <c r="I23" s="88">
        <f>govtbox[[#Totals],[JULY]]</f>
        <v>0</v>
      </c>
      <c r="J23" s="88">
        <f>govtbox[[#Totals],[AUGUST]]</f>
        <v>0</v>
      </c>
      <c r="K23" s="88">
        <f>govtbox[[#Totals],[SEPTEMBER]]</f>
        <v>0</v>
      </c>
      <c r="L23" s="88">
        <f>govtbox[[#Totals],[OCTOBER]]</f>
        <v>0</v>
      </c>
      <c r="M23" s="88">
        <f>govtbox[[#Totals],[NOVEMBER]]</f>
        <v>0</v>
      </c>
      <c r="N23" s="88">
        <f>govtbox[[#Totals],[DECEMBER]]</f>
        <v>0</v>
      </c>
      <c r="O23" s="61">
        <f>SUM(Table27[[#This Row],[ACTIVE LIST]]-Table27[[#This Row],[Total]])</f>
        <v>0</v>
      </c>
      <c r="P23" s="61">
        <f>0</f>
        <v>0</v>
      </c>
      <c r="Q23" s="61"/>
      <c r="R23" s="61">
        <f>GovtBox!C127</f>
        <v>1</v>
      </c>
      <c r="S23" s="61"/>
      <c r="T23" s="61"/>
      <c r="U23" s="61"/>
    </row>
    <row r="24" spans="1:21" ht="15.75" customHeight="1" x14ac:dyDescent="0.25">
      <c r="A24" s="8" t="s">
        <v>246</v>
      </c>
      <c r="C24" s="88">
        <f>SUBTOTAL(109,Table26[JANUARY])</f>
        <v>135280</v>
      </c>
      <c r="I24" s="88">
        <f>SUBTOTAL(109,Table26[JULY])</f>
        <v>900</v>
      </c>
      <c r="J24" s="88">
        <f>SUBTOTAL(109,Table26[AUGUST])</f>
        <v>1260</v>
      </c>
      <c r="K24" s="88">
        <f>SUBTOTAL(109,Table26[SEPTEMBER])</f>
        <v>860</v>
      </c>
      <c r="L24" s="88">
        <f>SUBTOTAL(109,Table26[OCTOBER])</f>
        <v>1360</v>
      </c>
      <c r="M24" s="88">
        <f>SUBTOTAL(109,Table26[NOVEMBER])</f>
        <v>860</v>
      </c>
      <c r="N24" s="88">
        <f>SUBTOTAL(109,Table26[DECEMBER])</f>
        <v>1930</v>
      </c>
      <c r="O24" s="40">
        <f>SUBTOTAL(109,Table26[Unknown])</f>
        <v>0</v>
      </c>
      <c r="P24" s="33">
        <f>SUBTOTAL(109,Table27[ACTIVE LIST])</f>
        <v>672</v>
      </c>
      <c r="Q24" s="33">
        <f>SUBTOTAL(109,Table27[PAID])</f>
        <v>583</v>
      </c>
      <c r="R24" s="33">
        <f>SUM(R2:R22)</f>
        <v>39</v>
      </c>
      <c r="S24" s="33">
        <f>SUBTOTAL(109,Table27[Appa])</f>
        <v>50</v>
      </c>
      <c r="T24" s="33"/>
      <c r="U24" s="33">
        <f>SUBTOTAL(109,Table27[Total])</f>
        <v>672</v>
      </c>
    </row>
    <row r="25" spans="1:21" ht="16.5" customHeight="1" x14ac:dyDescent="0.3">
      <c r="P25" s="14">
        <f>Table27[[#Totals],[ACTIVE LIST]]</f>
        <v>672</v>
      </c>
      <c r="Q25" s="108" t="str">
        <f t="array" ref="Q25">_xlfn.IFS(P25=T25,"EQUAL",P25&lt;&gt;T25,"NOT EQUAL")</f>
        <v>EQUAL</v>
      </c>
      <c r="R25" s="109"/>
      <c r="S25" s="109"/>
      <c r="T25" s="14">
        <f>SUM(Table27[[#Totals],[PAID]]:Table27[[#Totals],[Appa]])</f>
        <v>672</v>
      </c>
    </row>
    <row r="26" spans="1:21" ht="15.75" customHeight="1" x14ac:dyDescent="0.25">
      <c r="B26" s="112" t="s">
        <v>2499</v>
      </c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1:21" ht="16.5" customHeight="1" x14ac:dyDescent="0.25"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Q27" s="11" t="s">
        <v>248</v>
      </c>
      <c r="R27" s="72">
        <f>SUM(R2:R17)</f>
        <v>36</v>
      </c>
    </row>
    <row r="28" spans="1:21" ht="16.5" customHeight="1" thickBot="1" x14ac:dyDescent="0.3">
      <c r="B28" s="7" t="s">
        <v>2474</v>
      </c>
      <c r="C28" s="67">
        <f t="shared" ref="C28:N28" si="0">SUM(C2:C17)</f>
        <v>102240</v>
      </c>
      <c r="D28" s="67">
        <f t="shared" si="0"/>
        <v>0</v>
      </c>
      <c r="E28" s="67">
        <f t="shared" si="0"/>
        <v>0</v>
      </c>
      <c r="F28" s="67">
        <f t="shared" si="0"/>
        <v>0</v>
      </c>
      <c r="G28" s="67">
        <f t="shared" si="0"/>
        <v>0</v>
      </c>
      <c r="H28" s="67">
        <f t="shared" si="0"/>
        <v>0</v>
      </c>
      <c r="I28" s="67">
        <f t="shared" si="0"/>
        <v>900</v>
      </c>
      <c r="J28" s="67">
        <f t="shared" si="0"/>
        <v>1260</v>
      </c>
      <c r="K28" s="67">
        <f t="shared" si="0"/>
        <v>860</v>
      </c>
      <c r="L28" s="67">
        <f t="shared" si="0"/>
        <v>1360</v>
      </c>
      <c r="M28" s="67">
        <f t="shared" si="0"/>
        <v>860</v>
      </c>
      <c r="N28" s="67">
        <f t="shared" si="0"/>
        <v>1930</v>
      </c>
      <c r="Q28" s="11" t="s">
        <v>1968</v>
      </c>
      <c r="R28" s="72">
        <f>SUM(R19:R23)</f>
        <v>4</v>
      </c>
    </row>
    <row r="29" spans="1:21" ht="15.75" customHeight="1" thickTop="1" thickBot="1" x14ac:dyDescent="0.3">
      <c r="B29" s="7" t="s">
        <v>2500</v>
      </c>
      <c r="C29" s="67">
        <f t="shared" ref="C29:N29" si="1">SUM(C19:C23)</f>
        <v>33040</v>
      </c>
      <c r="D29" s="67">
        <f t="shared" si="1"/>
        <v>0</v>
      </c>
      <c r="E29" s="67">
        <f t="shared" si="1"/>
        <v>0</v>
      </c>
      <c r="F29" s="67">
        <f t="shared" si="1"/>
        <v>0</v>
      </c>
      <c r="G29" s="67">
        <f t="shared" si="1"/>
        <v>0</v>
      </c>
      <c r="H29" s="67">
        <f t="shared" si="1"/>
        <v>0</v>
      </c>
      <c r="I29" s="67">
        <f t="shared" si="1"/>
        <v>0</v>
      </c>
      <c r="J29" s="67">
        <f t="shared" si="1"/>
        <v>0</v>
      </c>
      <c r="K29" s="67">
        <f t="shared" si="1"/>
        <v>0</v>
      </c>
      <c r="L29" s="67">
        <f t="shared" si="1"/>
        <v>0</v>
      </c>
      <c r="M29" s="67">
        <f t="shared" si="1"/>
        <v>0</v>
      </c>
      <c r="N29" s="67">
        <f t="shared" si="1"/>
        <v>0</v>
      </c>
      <c r="Q29" s="11" t="s">
        <v>249</v>
      </c>
      <c r="R29" s="72">
        <f>SUM(S2:S17)</f>
        <v>47</v>
      </c>
    </row>
    <row r="30" spans="1:21" ht="15.75" customHeight="1" thickTop="1" x14ac:dyDescent="0.25">
      <c r="B30" s="58" t="s">
        <v>2501</v>
      </c>
      <c r="C30" s="68">
        <f t="shared" ref="C30:N30" si="2">SUM(C28:C29)</f>
        <v>135280</v>
      </c>
      <c r="D30" s="68">
        <f t="shared" si="2"/>
        <v>0</v>
      </c>
      <c r="E30" s="68">
        <f t="shared" si="2"/>
        <v>0</v>
      </c>
      <c r="F30" s="68">
        <f t="shared" si="2"/>
        <v>0</v>
      </c>
      <c r="G30" s="68">
        <f t="shared" si="2"/>
        <v>0</v>
      </c>
      <c r="H30" s="68">
        <f t="shared" si="2"/>
        <v>0</v>
      </c>
      <c r="I30" s="68">
        <f t="shared" si="2"/>
        <v>900</v>
      </c>
      <c r="J30" s="68">
        <f t="shared" si="2"/>
        <v>1260</v>
      </c>
      <c r="K30" s="68">
        <f t="shared" si="2"/>
        <v>860</v>
      </c>
      <c r="L30" s="68">
        <f t="shared" si="2"/>
        <v>1360</v>
      </c>
      <c r="M30" s="68">
        <f t="shared" si="2"/>
        <v>860</v>
      </c>
      <c r="N30" s="68">
        <f t="shared" si="2"/>
        <v>1930</v>
      </c>
    </row>
    <row r="31" spans="1:21" x14ac:dyDescent="0.25">
      <c r="B31" s="59" t="s">
        <v>2502</v>
      </c>
      <c r="C31" s="69">
        <f>SUM(Table26[JANUARY])</f>
        <v>135280</v>
      </c>
      <c r="D31" s="69">
        <f>SUM(Table26[FEBUARY])</f>
        <v>0</v>
      </c>
      <c r="E31" s="69">
        <f>SUM(Table26[MARCH])</f>
        <v>0</v>
      </c>
      <c r="F31" s="69">
        <f>SUM(Table26[APRIL])</f>
        <v>0</v>
      </c>
      <c r="G31" s="69">
        <f>SUM(Table26[MAY])</f>
        <v>0</v>
      </c>
      <c r="H31" s="69">
        <f>SUM(Table26[JUNE])</f>
        <v>0</v>
      </c>
      <c r="I31" s="69">
        <f>SUM(Table26[JULY])</f>
        <v>900</v>
      </c>
      <c r="J31" s="69">
        <f>SUM(Table26[AUGUST])</f>
        <v>1260</v>
      </c>
      <c r="K31" s="69">
        <f>SUM(Table26[SEPTEMBER])</f>
        <v>860</v>
      </c>
      <c r="L31" s="69">
        <f>SUM(Table26[OCTOBER])</f>
        <v>1360</v>
      </c>
      <c r="M31" s="69">
        <f>SUM(Table26[NOVEMBER])</f>
        <v>860</v>
      </c>
      <c r="N31" s="69">
        <f>SUM(Table26[DECEMBER])</f>
        <v>1930</v>
      </c>
    </row>
    <row r="33" spans="16:25" x14ac:dyDescent="0.25">
      <c r="P33" s="110" t="s">
        <v>2503</v>
      </c>
      <c r="Q33" s="111"/>
      <c r="R33" s="38" t="s">
        <v>2504</v>
      </c>
      <c r="S33" s="88"/>
      <c r="T33" s="88"/>
      <c r="U33" s="88"/>
      <c r="V33" s="88"/>
      <c r="W33" s="88"/>
      <c r="X33" s="88"/>
      <c r="Y33" s="88"/>
    </row>
  </sheetData>
  <mergeCells count="3">
    <mergeCell ref="Q25:S25"/>
    <mergeCell ref="P33:Q33"/>
    <mergeCell ref="B26:N27"/>
  </mergeCells>
  <pageMargins left="0.7" right="0.7" top="0.75" bottom="0.75" header="0.3" footer="0.3"/>
  <pageSetup paperSize="9" orientation="portrait" horizontalDpi="300" verticalDpi="300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FF0000"/>
  </sheetPr>
  <dimension ref="A1:AJ37"/>
  <sheetViews>
    <sheetView zoomScaleNormal="100" workbookViewId="0">
      <pane ySplit="1" topLeftCell="A29" activePane="bottomLeft" state="frozen"/>
      <selection activeCell="Q1" sqref="Q1"/>
      <selection pane="bottomLeft" activeCell="G37" sqref="G37"/>
    </sheetView>
  </sheetViews>
  <sheetFormatPr defaultRowHeight="18.75" x14ac:dyDescent="0.3"/>
  <cols>
    <col min="1" max="1" width="16.140625" style="89" customWidth="1"/>
    <col min="2" max="2" width="16.5703125" style="89" customWidth="1"/>
    <col min="3" max="4" width="16.140625" style="89" customWidth="1"/>
    <col min="5" max="5" width="16.7109375" style="89" customWidth="1"/>
    <col min="6" max="36" width="16.140625" style="89" customWidth="1"/>
  </cols>
  <sheetData>
    <row r="1" spans="1:36" s="90" customFormat="1" ht="21" customHeight="1" x14ac:dyDescent="0.35">
      <c r="A1" s="120" t="s">
        <v>2505</v>
      </c>
      <c r="B1" s="121"/>
      <c r="C1" s="121"/>
      <c r="D1" s="122" t="s">
        <v>2506</v>
      </c>
      <c r="E1" s="121"/>
      <c r="F1" s="121"/>
      <c r="G1" s="120" t="s">
        <v>2507</v>
      </c>
      <c r="H1" s="121"/>
      <c r="I1" s="121"/>
      <c r="J1" s="122" t="s">
        <v>2508</v>
      </c>
      <c r="K1" s="121"/>
      <c r="L1" s="121"/>
      <c r="M1" s="120" t="s">
        <v>2509</v>
      </c>
      <c r="N1" s="121"/>
      <c r="O1" s="121"/>
      <c r="P1" s="122" t="s">
        <v>2510</v>
      </c>
      <c r="Q1" s="121"/>
      <c r="R1" s="121"/>
      <c r="S1" s="120" t="s">
        <v>2511</v>
      </c>
      <c r="T1" s="121"/>
      <c r="U1" s="121"/>
      <c r="V1" s="122" t="s">
        <v>2512</v>
      </c>
      <c r="W1" s="121"/>
      <c r="X1" s="121"/>
      <c r="Y1" s="120" t="s">
        <v>2513</v>
      </c>
      <c r="Z1" s="121"/>
      <c r="AA1" s="121"/>
      <c r="AB1" s="122" t="s">
        <v>2514</v>
      </c>
      <c r="AC1" s="121"/>
      <c r="AD1" s="121"/>
      <c r="AE1" s="120" t="s">
        <v>2515</v>
      </c>
      <c r="AF1" s="121"/>
      <c r="AG1" s="121"/>
      <c r="AH1" s="122" t="s">
        <v>2516</v>
      </c>
      <c r="AI1" s="121"/>
      <c r="AJ1" s="121"/>
    </row>
    <row r="2" spans="1:36" s="3" customFormat="1" x14ac:dyDescent="0.3">
      <c r="A2" s="89" t="s">
        <v>2517</v>
      </c>
      <c r="B2" s="89" t="s">
        <v>6</v>
      </c>
      <c r="C2" s="89" t="s">
        <v>2518</v>
      </c>
      <c r="D2" s="89" t="s">
        <v>2519</v>
      </c>
      <c r="E2" s="89" t="s">
        <v>2520</v>
      </c>
      <c r="F2" s="89" t="s">
        <v>2521</v>
      </c>
      <c r="G2" s="89" t="s">
        <v>2522</v>
      </c>
      <c r="H2" s="89" t="s">
        <v>2523</v>
      </c>
      <c r="I2" s="89" t="s">
        <v>2524</v>
      </c>
      <c r="J2" s="89" t="s">
        <v>2525</v>
      </c>
      <c r="K2" s="89" t="s">
        <v>2526</v>
      </c>
      <c r="L2" s="89" t="s">
        <v>2527</v>
      </c>
      <c r="M2" s="89" t="s">
        <v>2528</v>
      </c>
      <c r="N2" s="89" t="s">
        <v>2529</v>
      </c>
      <c r="O2" s="89" t="s">
        <v>2530</v>
      </c>
      <c r="P2" s="89" t="s">
        <v>2531</v>
      </c>
      <c r="Q2" s="89" t="s">
        <v>2532</v>
      </c>
      <c r="R2" s="89" t="s">
        <v>2533</v>
      </c>
      <c r="S2" s="89" t="s">
        <v>2534</v>
      </c>
      <c r="T2" s="89" t="s">
        <v>2535</v>
      </c>
      <c r="U2" s="89" t="s">
        <v>2536</v>
      </c>
      <c r="V2" s="89" t="s">
        <v>2537</v>
      </c>
      <c r="W2" s="89" t="s">
        <v>2538</v>
      </c>
      <c r="X2" s="89" t="s">
        <v>2539</v>
      </c>
      <c r="Y2" s="89" t="s">
        <v>2540</v>
      </c>
      <c r="Z2" s="89" t="s">
        <v>2541</v>
      </c>
      <c r="AA2" s="89" t="s">
        <v>2542</v>
      </c>
      <c r="AB2" s="89" t="s">
        <v>2543</v>
      </c>
      <c r="AC2" s="89" t="s">
        <v>2544</v>
      </c>
      <c r="AD2" s="89" t="s">
        <v>2545</v>
      </c>
      <c r="AE2" s="89" t="s">
        <v>2546</v>
      </c>
      <c r="AF2" s="89" t="s">
        <v>2547</v>
      </c>
      <c r="AG2" s="89" t="s">
        <v>2548</v>
      </c>
      <c r="AH2" s="89" t="s">
        <v>2549</v>
      </c>
      <c r="AI2" s="89" t="s">
        <v>2550</v>
      </c>
      <c r="AJ2" s="89" t="s">
        <v>2551</v>
      </c>
    </row>
    <row r="3" spans="1:36" ht="17.25" customHeight="1" x14ac:dyDescent="0.3">
      <c r="A3" s="70">
        <v>44203</v>
      </c>
      <c r="B3" s="71">
        <v>7500</v>
      </c>
      <c r="C3" s="71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6"/>
      <c r="W3" s="71"/>
      <c r="X3" s="71"/>
      <c r="Y3" s="36"/>
      <c r="Z3" s="71"/>
      <c r="AA3" s="71"/>
      <c r="AB3" s="16"/>
      <c r="AC3" s="31"/>
      <c r="AD3" s="31"/>
      <c r="AE3" s="36"/>
      <c r="AF3" s="71"/>
      <c r="AG3" s="71"/>
      <c r="AH3" s="36"/>
      <c r="AI3" s="71"/>
      <c r="AJ3" s="71"/>
    </row>
    <row r="4" spans="1:36" ht="17.25" customHeight="1" x14ac:dyDescent="0.3">
      <c r="A4" s="70">
        <v>44205</v>
      </c>
      <c r="B4" s="71">
        <v>12500</v>
      </c>
      <c r="C4" s="71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6"/>
      <c r="W4" s="71"/>
      <c r="X4" s="71"/>
      <c r="Y4" s="36"/>
      <c r="Z4" s="71"/>
      <c r="AA4" s="71"/>
      <c r="AB4" s="16"/>
      <c r="AC4" s="31"/>
      <c r="AD4" s="31"/>
      <c r="AE4" s="36"/>
      <c r="AF4" s="71"/>
      <c r="AG4" s="71"/>
      <c r="AH4" s="36"/>
      <c r="AI4" s="71"/>
      <c r="AJ4" s="71"/>
    </row>
    <row r="5" spans="1:36" ht="17.25" customHeight="1" x14ac:dyDescent="0.3">
      <c r="A5" s="70">
        <v>44205</v>
      </c>
      <c r="B5" s="71">
        <v>5200</v>
      </c>
      <c r="C5" s="71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6"/>
      <c r="W5" s="71"/>
      <c r="X5" s="71"/>
      <c r="Y5" s="36"/>
      <c r="Z5" s="71"/>
      <c r="AA5" s="71"/>
      <c r="AB5" s="16"/>
      <c r="AC5" s="31"/>
      <c r="AD5" s="31"/>
      <c r="AE5" s="36"/>
      <c r="AF5" s="71"/>
      <c r="AG5" s="71"/>
      <c r="AH5" s="36"/>
      <c r="AI5" s="71"/>
      <c r="AJ5" s="71"/>
    </row>
    <row r="6" spans="1:36" ht="17.25" customHeight="1" x14ac:dyDescent="0.3">
      <c r="A6" s="70">
        <v>44206</v>
      </c>
      <c r="B6" s="71">
        <v>6600</v>
      </c>
      <c r="C6" s="71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6"/>
      <c r="W6" s="71"/>
      <c r="X6" s="71"/>
      <c r="Y6" s="36"/>
      <c r="Z6" s="71"/>
      <c r="AA6" s="71"/>
      <c r="AB6" s="16"/>
      <c r="AC6" s="31"/>
      <c r="AD6" s="31"/>
      <c r="AE6" s="36"/>
      <c r="AF6" s="71"/>
      <c r="AG6" s="71"/>
      <c r="AH6" s="36"/>
      <c r="AI6" s="71"/>
      <c r="AJ6" s="71"/>
    </row>
    <row r="7" spans="1:36" ht="17.25" customHeight="1" x14ac:dyDescent="0.3">
      <c r="A7" s="70">
        <v>44206</v>
      </c>
      <c r="B7" s="71">
        <v>4400</v>
      </c>
      <c r="C7" s="71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6"/>
      <c r="W7" s="71"/>
      <c r="X7" s="71"/>
      <c r="Y7" s="36"/>
      <c r="Z7" s="71"/>
      <c r="AA7" s="71"/>
      <c r="AB7" s="16"/>
      <c r="AC7" s="31"/>
      <c r="AD7" s="31"/>
      <c r="AE7" s="36"/>
      <c r="AF7" s="71"/>
      <c r="AG7" s="71"/>
      <c r="AH7" s="36"/>
      <c r="AI7" s="71"/>
      <c r="AJ7" s="71"/>
    </row>
    <row r="8" spans="1:36" ht="17.25" customHeight="1" x14ac:dyDescent="0.3">
      <c r="A8" s="70">
        <v>44208</v>
      </c>
      <c r="B8" s="71">
        <v>5000</v>
      </c>
      <c r="C8" s="71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6"/>
      <c r="W8" s="71"/>
      <c r="X8" s="71"/>
      <c r="Y8" s="36"/>
      <c r="Z8" s="71"/>
      <c r="AA8" s="71"/>
      <c r="AB8" s="16"/>
      <c r="AC8" s="31"/>
      <c r="AD8" s="31"/>
      <c r="AE8" s="36"/>
      <c r="AF8" s="71"/>
      <c r="AG8" s="71"/>
      <c r="AH8" s="36"/>
      <c r="AI8" s="71"/>
      <c r="AJ8" s="71"/>
    </row>
    <row r="9" spans="1:36" ht="17.25" customHeight="1" x14ac:dyDescent="0.3">
      <c r="A9" s="70">
        <v>44210</v>
      </c>
      <c r="B9" s="71">
        <v>6000</v>
      </c>
      <c r="C9" s="71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6"/>
      <c r="W9" s="71"/>
      <c r="X9" s="71"/>
      <c r="Y9" s="36"/>
      <c r="Z9" s="71"/>
      <c r="AA9" s="71"/>
      <c r="AB9" s="16"/>
      <c r="AC9" s="31"/>
      <c r="AD9" s="31"/>
      <c r="AE9" s="36"/>
      <c r="AF9" s="71"/>
      <c r="AG9" s="71"/>
      <c r="AH9" s="36"/>
      <c r="AI9" s="71"/>
      <c r="AJ9" s="71"/>
    </row>
    <row r="10" spans="1:36" ht="17.25" customHeight="1" x14ac:dyDescent="0.3">
      <c r="A10" s="70">
        <v>44212</v>
      </c>
      <c r="B10" s="71">
        <v>9300</v>
      </c>
      <c r="C10" s="71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6"/>
      <c r="W10" s="71"/>
      <c r="X10" s="71"/>
      <c r="Y10" s="36"/>
      <c r="Z10" s="71"/>
      <c r="AA10" s="71"/>
      <c r="AB10" s="16"/>
      <c r="AC10" s="31"/>
      <c r="AD10" s="31"/>
      <c r="AE10" s="36"/>
      <c r="AF10" s="71"/>
      <c r="AG10" s="71"/>
      <c r="AH10" s="36"/>
      <c r="AI10" s="71"/>
      <c r="AJ10" s="71"/>
    </row>
    <row r="11" spans="1:36" ht="17.25" customHeight="1" x14ac:dyDescent="0.3">
      <c r="A11" s="70">
        <v>44214</v>
      </c>
      <c r="B11" s="71">
        <v>1000</v>
      </c>
      <c r="C11" s="71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6"/>
      <c r="W11" s="71"/>
      <c r="X11" s="71"/>
      <c r="Y11" s="36"/>
      <c r="Z11" s="71"/>
      <c r="AA11" s="71"/>
      <c r="AB11" s="16"/>
      <c r="AC11" s="31"/>
      <c r="AD11" s="31"/>
      <c r="AE11" s="36"/>
      <c r="AF11" s="71"/>
      <c r="AG11" s="71"/>
      <c r="AH11" s="36"/>
      <c r="AI11" s="71"/>
      <c r="AJ11" s="71"/>
    </row>
    <row r="12" spans="1:36" ht="17.25" customHeight="1" x14ac:dyDescent="0.3">
      <c r="A12" s="70">
        <v>44214</v>
      </c>
      <c r="B12" s="71">
        <v>5700</v>
      </c>
      <c r="C12" s="71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6"/>
      <c r="W12" s="71"/>
      <c r="X12" s="71"/>
      <c r="Y12" s="36"/>
      <c r="Z12" s="71"/>
      <c r="AA12" s="71"/>
      <c r="AB12" s="16"/>
      <c r="AC12" s="31"/>
      <c r="AD12" s="31"/>
      <c r="AE12" s="36"/>
      <c r="AF12" s="71"/>
      <c r="AG12" s="71"/>
      <c r="AH12" s="36"/>
      <c r="AI12" s="71"/>
      <c r="AJ12" s="71"/>
    </row>
    <row r="13" spans="1:36" ht="17.25" customHeight="1" x14ac:dyDescent="0.3">
      <c r="A13" s="70">
        <v>44216</v>
      </c>
      <c r="B13" s="71">
        <v>4000</v>
      </c>
      <c r="C13" s="7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6"/>
      <c r="W13" s="71"/>
      <c r="X13" s="71"/>
      <c r="Y13" s="36"/>
      <c r="Z13" s="71"/>
      <c r="AA13" s="71"/>
      <c r="AB13" s="16"/>
      <c r="AC13" s="31"/>
      <c r="AD13" s="31"/>
      <c r="AE13" s="36"/>
      <c r="AF13" s="71"/>
      <c r="AG13" s="71"/>
      <c r="AH13" s="36"/>
      <c r="AI13" s="71"/>
      <c r="AJ13" s="71"/>
    </row>
    <row r="14" spans="1:36" ht="17.25" customHeight="1" x14ac:dyDescent="0.3">
      <c r="A14" s="70">
        <v>44216</v>
      </c>
      <c r="B14" s="71">
        <v>12000</v>
      </c>
      <c r="C14" s="71">
        <v>12000</v>
      </c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6"/>
      <c r="W14" s="71"/>
      <c r="X14" s="71"/>
      <c r="Y14" s="36"/>
      <c r="Z14" s="71"/>
      <c r="AA14" s="71"/>
      <c r="AB14" s="16"/>
      <c r="AC14" s="31"/>
      <c r="AD14" s="31"/>
      <c r="AE14" s="36"/>
      <c r="AF14" s="71"/>
      <c r="AG14" s="71"/>
      <c r="AH14" s="36"/>
      <c r="AI14" s="71"/>
      <c r="AJ14" s="71"/>
    </row>
    <row r="15" spans="1:36" ht="17.25" customHeight="1" x14ac:dyDescent="0.3">
      <c r="A15" s="70">
        <v>44217</v>
      </c>
      <c r="B15" s="71">
        <v>5250</v>
      </c>
      <c r="C15" s="71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6"/>
      <c r="W15" s="71"/>
      <c r="X15" s="71"/>
      <c r="Y15" s="36"/>
      <c r="Z15" s="71"/>
      <c r="AA15" s="71"/>
      <c r="AB15" s="16"/>
      <c r="AC15" s="31"/>
      <c r="AD15" s="31"/>
      <c r="AE15" s="36"/>
      <c r="AF15" s="71"/>
      <c r="AG15" s="71"/>
      <c r="AH15" s="36"/>
      <c r="AI15" s="71"/>
      <c r="AJ15" s="71"/>
    </row>
    <row r="16" spans="1:36" ht="17.25" customHeight="1" x14ac:dyDescent="0.3">
      <c r="A16" s="70">
        <v>44219</v>
      </c>
      <c r="B16" s="71">
        <v>1200</v>
      </c>
      <c r="C16" s="71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6"/>
      <c r="W16" s="71"/>
      <c r="X16" s="71"/>
      <c r="Y16" s="36"/>
      <c r="Z16" s="71"/>
      <c r="AA16" s="71"/>
      <c r="AB16" s="16"/>
      <c r="AC16" s="31"/>
      <c r="AD16" s="31"/>
      <c r="AE16" s="36"/>
      <c r="AF16" s="71"/>
      <c r="AG16" s="71"/>
      <c r="AH16" s="36"/>
      <c r="AI16" s="71"/>
      <c r="AJ16" s="71"/>
    </row>
    <row r="17" spans="1:36" ht="17.25" customHeight="1" x14ac:dyDescent="0.3">
      <c r="A17" s="70">
        <v>44221</v>
      </c>
      <c r="B17" s="71">
        <v>5000</v>
      </c>
      <c r="C17" s="71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6"/>
      <c r="W17" s="71"/>
      <c r="X17" s="71"/>
      <c r="Y17" s="36"/>
      <c r="Z17" s="71"/>
      <c r="AA17" s="71"/>
      <c r="AB17" s="16"/>
      <c r="AC17" s="31"/>
      <c r="AD17" s="31"/>
      <c r="AE17" s="36"/>
      <c r="AF17" s="71"/>
      <c r="AG17" s="71"/>
      <c r="AH17" s="36"/>
      <c r="AI17" s="71"/>
      <c r="AJ17" s="71"/>
    </row>
    <row r="18" spans="1:36" ht="17.25" customHeight="1" x14ac:dyDescent="0.3">
      <c r="A18" s="70">
        <v>44222</v>
      </c>
      <c r="B18" s="71">
        <f>SUM(800+200)</f>
        <v>1000</v>
      </c>
      <c r="C18" s="71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6"/>
      <c r="W18" s="71"/>
      <c r="X18" s="71"/>
      <c r="Y18" s="36"/>
      <c r="Z18" s="71"/>
      <c r="AA18" s="71"/>
      <c r="AB18" s="16"/>
      <c r="AC18" s="31"/>
      <c r="AD18" s="31"/>
      <c r="AE18" s="36"/>
      <c r="AF18" s="71"/>
      <c r="AG18" s="71"/>
      <c r="AH18" s="36"/>
      <c r="AI18" s="71"/>
      <c r="AJ18" s="71"/>
    </row>
    <row r="19" spans="1:36" ht="17.25" customHeight="1" x14ac:dyDescent="0.3">
      <c r="A19" s="70">
        <v>44225</v>
      </c>
      <c r="B19" s="71">
        <v>220</v>
      </c>
      <c r="C19" s="71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6"/>
      <c r="W19" s="71"/>
      <c r="X19" s="71"/>
      <c r="Y19" s="36"/>
      <c r="Z19" s="71"/>
      <c r="AA19" s="71"/>
      <c r="AB19" s="16"/>
      <c r="AC19" s="31"/>
      <c r="AD19" s="31"/>
      <c r="AE19" s="36"/>
      <c r="AF19" s="71"/>
      <c r="AG19" s="71"/>
      <c r="AH19" s="36"/>
      <c r="AI19" s="71"/>
      <c r="AJ19" s="71"/>
    </row>
    <row r="20" spans="1:36" s="84" customFormat="1" ht="17.25" customHeight="1" x14ac:dyDescent="0.3">
      <c r="A20" s="70">
        <v>44225</v>
      </c>
      <c r="B20" s="71">
        <v>900</v>
      </c>
      <c r="C20" s="71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6"/>
      <c r="W20" s="71"/>
      <c r="X20" s="71"/>
      <c r="Y20" s="36"/>
      <c r="Z20" s="71"/>
      <c r="AA20" s="71"/>
      <c r="AB20" s="16"/>
      <c r="AC20" s="31"/>
      <c r="AD20" s="31"/>
      <c r="AE20" s="36"/>
      <c r="AF20" s="71"/>
      <c r="AG20" s="71"/>
      <c r="AH20" s="36"/>
      <c r="AI20" s="71"/>
      <c r="AJ20" s="71"/>
    </row>
    <row r="21" spans="1:36" ht="17.25" customHeight="1" x14ac:dyDescent="0.3">
      <c r="A21" s="70">
        <v>44225</v>
      </c>
      <c r="B21" s="71">
        <v>2200</v>
      </c>
      <c r="C21" s="71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6"/>
      <c r="W21" s="71"/>
      <c r="X21" s="71"/>
      <c r="Y21" s="35"/>
      <c r="Z21" s="35"/>
      <c r="AA21" s="35"/>
      <c r="AB21" s="16"/>
      <c r="AC21" s="31"/>
      <c r="AD21" s="31"/>
      <c r="AE21" s="36"/>
      <c r="AF21" s="71"/>
      <c r="AG21" s="71"/>
      <c r="AH21" s="36"/>
      <c r="AI21" s="71"/>
      <c r="AJ21" s="71"/>
    </row>
    <row r="22" spans="1:36" ht="17.25" customHeight="1" x14ac:dyDescent="0.3">
      <c r="A22" s="70">
        <v>44225</v>
      </c>
      <c r="B22" s="71">
        <v>2000</v>
      </c>
      <c r="C22" s="71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6"/>
      <c r="W22" s="71"/>
      <c r="X22" s="71"/>
      <c r="Y22" s="35"/>
      <c r="Z22" s="35"/>
      <c r="AA22" s="35"/>
      <c r="AB22" s="16"/>
      <c r="AC22" s="31"/>
      <c r="AD22" s="31"/>
      <c r="AE22" s="36"/>
      <c r="AF22" s="71"/>
      <c r="AG22" s="71"/>
      <c r="AH22" s="36"/>
      <c r="AI22" s="71"/>
      <c r="AJ22" s="71"/>
    </row>
    <row r="23" spans="1:36" ht="17.25" customHeight="1" x14ac:dyDescent="0.3">
      <c r="A23" s="70">
        <v>44228</v>
      </c>
      <c r="B23" s="71">
        <f>SUM(2200+900)</f>
        <v>3100</v>
      </c>
      <c r="C23" s="71"/>
      <c r="D23" s="35"/>
      <c r="E23" s="35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6"/>
      <c r="W23" s="71"/>
      <c r="X23" s="71"/>
      <c r="Y23" s="35"/>
      <c r="Z23" s="35"/>
      <c r="AA23" s="35"/>
      <c r="AB23" s="16"/>
      <c r="AC23" s="31"/>
      <c r="AD23" s="31"/>
      <c r="AE23" s="36"/>
      <c r="AF23" s="71"/>
      <c r="AG23" s="71"/>
      <c r="AH23" s="36"/>
      <c r="AI23" s="71"/>
      <c r="AJ23" s="71"/>
    </row>
    <row r="24" spans="1:36" ht="17.25" customHeight="1" x14ac:dyDescent="0.3">
      <c r="A24" s="35"/>
      <c r="B24" s="71"/>
      <c r="C24" s="71"/>
      <c r="D24" s="35"/>
      <c r="E24" s="35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6"/>
      <c r="W24" s="71"/>
      <c r="X24" s="71"/>
      <c r="Y24" s="35"/>
      <c r="Z24" s="35"/>
      <c r="AA24" s="35"/>
      <c r="AB24" s="16"/>
      <c r="AC24" s="31"/>
      <c r="AD24" s="31"/>
      <c r="AE24" s="36"/>
      <c r="AF24" s="71"/>
      <c r="AG24" s="71"/>
      <c r="AH24" s="36"/>
      <c r="AI24" s="71"/>
      <c r="AJ24" s="71"/>
    </row>
    <row r="25" spans="1:36" x14ac:dyDescent="0.3">
      <c r="A25" s="32" t="s">
        <v>246</v>
      </c>
      <c r="B25" s="32">
        <f>SUBTOTAL(109,Table42[Amount])</f>
        <v>100070</v>
      </c>
      <c r="C25" s="32">
        <f>SUBTOTAL(109,Table42[Salary])</f>
        <v>12000</v>
      </c>
      <c r="D25" s="32" t="s">
        <v>246</v>
      </c>
      <c r="E25" s="32">
        <f>SUBTOTAL(109,Table42[Amount2])</f>
        <v>0</v>
      </c>
      <c r="F25" s="32">
        <f>SUBTOTAL(109,Table42[Salary2])</f>
        <v>0</v>
      </c>
      <c r="G25" s="32" t="s">
        <v>246</v>
      </c>
      <c r="H25" s="32">
        <f>SUBTOTAL(109,Table42[Amount3])</f>
        <v>0</v>
      </c>
      <c r="I25" s="32">
        <f>SUBTOTAL(109,Table42[Salary3])</f>
        <v>0</v>
      </c>
      <c r="J25" s="32" t="s">
        <v>246</v>
      </c>
      <c r="K25" s="32">
        <f>SUBTOTAL(109,Table42[Amount4])</f>
        <v>0</v>
      </c>
      <c r="L25" s="32">
        <f>SUBTOTAL(109,Table42[Salary4])</f>
        <v>0</v>
      </c>
      <c r="M25" s="32" t="s">
        <v>246</v>
      </c>
      <c r="N25" s="32">
        <f>SUBTOTAL(109,Table42[Amount5])</f>
        <v>0</v>
      </c>
      <c r="O25" s="32">
        <f>SUBTOTAL(109,Table42[Salary5])</f>
        <v>0</v>
      </c>
      <c r="P25" s="32" t="s">
        <v>246</v>
      </c>
      <c r="Q25" s="32">
        <f>SUBTOTAL(109,Table42[Amount6])</f>
        <v>0</v>
      </c>
      <c r="R25" s="32">
        <f>SUBTOTAL(109,Table42[Salary6])</f>
        <v>0</v>
      </c>
      <c r="S25" s="32" t="s">
        <v>246</v>
      </c>
      <c r="T25" s="32">
        <f>SUBTOTAL(109,Table42[Amount7])</f>
        <v>0</v>
      </c>
      <c r="U25" s="32">
        <f>SUBTOTAL(109,Table42[Salary7])</f>
        <v>0</v>
      </c>
      <c r="V25" s="32" t="s">
        <v>246</v>
      </c>
      <c r="W25" s="32">
        <f>SUBTOTAL(109,Table42[Amount8])</f>
        <v>0</v>
      </c>
      <c r="X25" s="32">
        <f>SUBTOTAL(109,Table42[Salary8])</f>
        <v>0</v>
      </c>
      <c r="Y25" s="32" t="s">
        <v>246</v>
      </c>
      <c r="Z25" s="32">
        <f>SUBTOTAL(109,Table42[Amount9])</f>
        <v>0</v>
      </c>
      <c r="AA25" s="32">
        <f>SUBTOTAL(109,Table42[Salary9])</f>
        <v>0</v>
      </c>
      <c r="AB25" s="32" t="s">
        <v>246</v>
      </c>
      <c r="AC25" s="32">
        <f>SUBTOTAL(109,Table42[Amount10])</f>
        <v>0</v>
      </c>
      <c r="AD25" s="32">
        <f>SUBTOTAL(109,Table42[Salary10])</f>
        <v>0</v>
      </c>
      <c r="AE25" s="32" t="s">
        <v>246</v>
      </c>
      <c r="AF25" s="32">
        <f>SUBTOTAL(109,Table42[Amount11])</f>
        <v>0</v>
      </c>
      <c r="AG25" s="32">
        <f>SUBTOTAL(109,Table42[Salary11])</f>
        <v>0</v>
      </c>
      <c r="AH25" s="32" t="s">
        <v>246</v>
      </c>
      <c r="AI25" s="32">
        <f>SUBTOTAL(109,Table42[Amount12])</f>
        <v>0</v>
      </c>
      <c r="AJ25" s="32">
        <f>SUBTOTAL(109,Table42[Salary12])</f>
        <v>0</v>
      </c>
    </row>
    <row r="26" spans="1:36" x14ac:dyDescent="0.3">
      <c r="A26" s="32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</row>
    <row r="27" spans="1:36" ht="22.5" customHeight="1" x14ac:dyDescent="0.3">
      <c r="A27" s="115" t="s">
        <v>2474</v>
      </c>
      <c r="B27" s="116"/>
      <c r="C27" s="116"/>
      <c r="D27" s="117" t="s">
        <v>2474</v>
      </c>
      <c r="E27" s="116"/>
      <c r="F27" s="116"/>
      <c r="G27" s="115" t="s">
        <v>2474</v>
      </c>
      <c r="H27" s="116"/>
      <c r="I27" s="116"/>
      <c r="J27" s="117" t="s">
        <v>2474</v>
      </c>
      <c r="K27" s="116"/>
      <c r="L27" s="116"/>
      <c r="M27" s="115" t="s">
        <v>2474</v>
      </c>
      <c r="N27" s="116"/>
      <c r="O27" s="116"/>
      <c r="P27" s="117" t="s">
        <v>2474</v>
      </c>
      <c r="Q27" s="116"/>
      <c r="R27" s="116"/>
      <c r="S27" s="115" t="s">
        <v>2474</v>
      </c>
      <c r="T27" s="116"/>
      <c r="U27" s="116"/>
      <c r="V27" s="117" t="s">
        <v>2474</v>
      </c>
      <c r="W27" s="116"/>
      <c r="X27" s="116"/>
      <c r="Y27" s="115" t="s">
        <v>2474</v>
      </c>
      <c r="Z27" s="116"/>
      <c r="AA27" s="116"/>
      <c r="AB27" s="117" t="s">
        <v>2474</v>
      </c>
      <c r="AC27" s="116"/>
      <c r="AD27" s="116"/>
      <c r="AE27" s="115" t="s">
        <v>2474</v>
      </c>
      <c r="AF27" s="116"/>
      <c r="AG27" s="116"/>
      <c r="AH27" s="117" t="s">
        <v>2474</v>
      </c>
      <c r="AI27" s="116"/>
      <c r="AJ27" s="116"/>
    </row>
    <row r="28" spans="1:36" x14ac:dyDescent="0.3">
      <c r="A28" s="14" t="s">
        <v>2552</v>
      </c>
      <c r="B28" s="123">
        <f>'Total Collection'!C28+400</f>
        <v>102640</v>
      </c>
      <c r="C28" s="116"/>
      <c r="D28" s="15" t="s">
        <v>2552</v>
      </c>
      <c r="E28" s="123">
        <f>'Total Collection'!D28</f>
        <v>0</v>
      </c>
      <c r="F28" s="116"/>
      <c r="G28" s="14" t="s">
        <v>2552</v>
      </c>
      <c r="H28" s="123">
        <f>'Total Collection'!E28</f>
        <v>0</v>
      </c>
      <c r="I28" s="116"/>
      <c r="J28" s="15" t="s">
        <v>2552</v>
      </c>
      <c r="K28" s="123">
        <f>'Total Collection'!F28</f>
        <v>0</v>
      </c>
      <c r="L28" s="116"/>
      <c r="M28" s="14" t="s">
        <v>2552</v>
      </c>
      <c r="N28" s="123">
        <f>'Total Collection'!G28</f>
        <v>0</v>
      </c>
      <c r="O28" s="116"/>
      <c r="P28" s="15" t="s">
        <v>2552</v>
      </c>
      <c r="Q28" s="123">
        <f>'Total Collection'!H28</f>
        <v>0</v>
      </c>
      <c r="R28" s="116"/>
      <c r="S28" s="14" t="s">
        <v>2552</v>
      </c>
      <c r="T28" s="123">
        <f>'Total Collection'!I28</f>
        <v>900</v>
      </c>
      <c r="U28" s="116"/>
      <c r="V28" s="15" t="s">
        <v>2552</v>
      </c>
      <c r="W28" s="123">
        <f>'Total Collection'!J28</f>
        <v>1260</v>
      </c>
      <c r="X28" s="116"/>
      <c r="Y28" s="14" t="s">
        <v>2552</v>
      </c>
      <c r="Z28" s="123">
        <f>'Total Collection'!K28</f>
        <v>860</v>
      </c>
      <c r="AA28" s="116"/>
      <c r="AB28" s="15" t="s">
        <v>2552</v>
      </c>
      <c r="AC28" s="123">
        <f>'Total Collection'!L28+420+200</f>
        <v>1980</v>
      </c>
      <c r="AD28" s="116"/>
      <c r="AE28" s="14" t="s">
        <v>2552</v>
      </c>
      <c r="AF28" s="123">
        <f>'Total Collection'!M28+30+220</f>
        <v>1110</v>
      </c>
      <c r="AG28" s="116"/>
      <c r="AH28" s="15" t="s">
        <v>2552</v>
      </c>
      <c r="AI28" s="123">
        <f>'Total Collection'!N28+400</f>
        <v>2330</v>
      </c>
      <c r="AJ28" s="116"/>
    </row>
    <row r="29" spans="1:36" ht="19.5" customHeight="1" thickBot="1" x14ac:dyDescent="0.35">
      <c r="A29" s="14" t="s">
        <v>2553</v>
      </c>
      <c r="B29" s="123">
        <f>Table42[[#Totals],[Amount]]-B28</f>
        <v>-2570</v>
      </c>
      <c r="C29" s="116"/>
      <c r="D29" s="15" t="s">
        <v>2553</v>
      </c>
      <c r="E29" s="123">
        <f>Table42[[#Totals],[Amount2]]-E28</f>
        <v>0</v>
      </c>
      <c r="F29" s="116"/>
      <c r="G29" s="14" t="s">
        <v>2553</v>
      </c>
      <c r="H29" s="123">
        <f>Table42[[#Totals],[Amount3]]-H28</f>
        <v>0</v>
      </c>
      <c r="I29" s="116"/>
      <c r="J29" s="15" t="s">
        <v>2553</v>
      </c>
      <c r="K29" s="123">
        <f>Table42[[#Totals],[Amount4]]-K28</f>
        <v>0</v>
      </c>
      <c r="L29" s="116"/>
      <c r="M29" s="14" t="s">
        <v>2553</v>
      </c>
      <c r="N29" s="123">
        <f>Table42[[#Totals],[Amount5]]-N28</f>
        <v>0</v>
      </c>
      <c r="O29" s="116"/>
      <c r="P29" s="15" t="s">
        <v>2553</v>
      </c>
      <c r="Q29" s="123">
        <f>Table42[[#Totals],[Amount6]]-Q28</f>
        <v>0</v>
      </c>
      <c r="R29" s="116"/>
      <c r="S29" s="14" t="s">
        <v>2553</v>
      </c>
      <c r="T29" s="123">
        <f>Table42[[#Totals],[Amount7]]-T28</f>
        <v>-900</v>
      </c>
      <c r="U29" s="116"/>
      <c r="V29" s="15" t="s">
        <v>2553</v>
      </c>
      <c r="W29" s="123">
        <f>Table42[[#Totals],[Amount8]]-W28</f>
        <v>-1260</v>
      </c>
      <c r="X29" s="116"/>
      <c r="Y29" s="14" t="s">
        <v>2553</v>
      </c>
      <c r="Z29" s="123">
        <f>Table42[[#Totals],[Amount9]]-Z28</f>
        <v>-860</v>
      </c>
      <c r="AA29" s="116"/>
      <c r="AB29" s="15" t="s">
        <v>2553</v>
      </c>
      <c r="AC29" s="123">
        <f>Table42[[#Totals],[Amount10]]-AC28</f>
        <v>-1980</v>
      </c>
      <c r="AD29" s="116"/>
      <c r="AE29" s="14" t="s">
        <v>2553</v>
      </c>
      <c r="AF29" s="123">
        <f>Table42[[#Totals],[Amount11]]-AF28</f>
        <v>-1110</v>
      </c>
      <c r="AG29" s="116"/>
      <c r="AH29" s="15" t="s">
        <v>2553</v>
      </c>
      <c r="AI29" s="123">
        <f>Table42[[#Totals],[Amount12]]-AI28</f>
        <v>-2330</v>
      </c>
      <c r="AJ29" s="116"/>
    </row>
    <row r="30" spans="1:36" ht="22.5" customHeight="1" thickTop="1" thickBot="1" x14ac:dyDescent="0.4">
      <c r="A30" s="57" t="s">
        <v>2554</v>
      </c>
      <c r="B30" s="119"/>
      <c r="C30" s="116"/>
      <c r="D30" s="57" t="s">
        <v>2554</v>
      </c>
      <c r="E30" s="118"/>
      <c r="F30" s="116"/>
      <c r="G30" s="57" t="s">
        <v>2554</v>
      </c>
      <c r="H30" s="118"/>
      <c r="I30" s="116"/>
      <c r="J30" s="57" t="s">
        <v>2554</v>
      </c>
      <c r="K30" s="118"/>
      <c r="L30" s="116"/>
      <c r="M30" s="57" t="s">
        <v>2554</v>
      </c>
      <c r="N30" s="118"/>
      <c r="O30" s="116"/>
      <c r="P30" s="57" t="s">
        <v>2554</v>
      </c>
      <c r="Q30" s="118"/>
      <c r="R30" s="116"/>
      <c r="S30" s="57" t="s">
        <v>2554</v>
      </c>
      <c r="T30" s="118"/>
      <c r="U30" s="116"/>
      <c r="V30" s="57" t="s">
        <v>2554</v>
      </c>
      <c r="W30" s="118"/>
      <c r="X30" s="116"/>
      <c r="Y30" s="57" t="s">
        <v>2554</v>
      </c>
      <c r="Z30" s="118"/>
      <c r="AA30" s="116"/>
      <c r="AB30" s="57" t="s">
        <v>2554</v>
      </c>
      <c r="AC30" s="118"/>
      <c r="AD30" s="116"/>
      <c r="AE30" s="57" t="s">
        <v>2554</v>
      </c>
      <c r="AF30" s="118"/>
      <c r="AG30" s="116"/>
      <c r="AH30" s="57" t="s">
        <v>2554</v>
      </c>
      <c r="AI30" s="118"/>
      <c r="AJ30" s="116"/>
    </row>
    <row r="31" spans="1:36" ht="19.5" customHeight="1" thickTop="1" x14ac:dyDescent="0.3">
      <c r="A31" s="22" t="s">
        <v>2555</v>
      </c>
      <c r="B31" s="119">
        <f>B29+B30-1000-200</f>
        <v>-3770</v>
      </c>
      <c r="C31" s="116"/>
      <c r="D31" s="22" t="s">
        <v>2555</v>
      </c>
      <c r="E31" s="119">
        <f>E29-E30</f>
        <v>0</v>
      </c>
      <c r="F31" s="116"/>
      <c r="G31" s="22" t="s">
        <v>2555</v>
      </c>
      <c r="H31" s="119">
        <f>H29-H30</f>
        <v>0</v>
      </c>
      <c r="I31" s="116"/>
      <c r="J31" s="22" t="s">
        <v>2555</v>
      </c>
      <c r="K31" s="119">
        <f>K29-K30</f>
        <v>0</v>
      </c>
      <c r="L31" s="116"/>
      <c r="M31" s="22" t="s">
        <v>2555</v>
      </c>
      <c r="N31" s="119">
        <f>N29-N30</f>
        <v>0</v>
      </c>
      <c r="O31" s="116"/>
      <c r="P31" s="22" t="s">
        <v>2555</v>
      </c>
      <c r="Q31" s="119">
        <f>Q29-Q30</f>
        <v>0</v>
      </c>
      <c r="R31" s="116"/>
      <c r="S31" s="22" t="s">
        <v>2555</v>
      </c>
      <c r="T31" s="119">
        <f>T29-T30</f>
        <v>-900</v>
      </c>
      <c r="U31" s="116"/>
      <c r="V31" s="22" t="s">
        <v>2555</v>
      </c>
      <c r="W31" s="119">
        <f>W29-W30</f>
        <v>-1260</v>
      </c>
      <c r="X31" s="116"/>
      <c r="Y31" s="22" t="s">
        <v>2555</v>
      </c>
      <c r="Z31" s="119">
        <f>Z29-Z30</f>
        <v>-860</v>
      </c>
      <c r="AA31" s="116"/>
      <c r="AB31" s="22" t="s">
        <v>2555</v>
      </c>
      <c r="AC31" s="119">
        <f>AC29-AC30</f>
        <v>-1980</v>
      </c>
      <c r="AD31" s="116"/>
      <c r="AE31" s="22" t="s">
        <v>2555</v>
      </c>
      <c r="AF31" s="119">
        <f>AF29-AF30</f>
        <v>-1110</v>
      </c>
      <c r="AG31" s="116"/>
      <c r="AH31" s="22" t="s">
        <v>2555</v>
      </c>
      <c r="AI31" s="119">
        <f>AI29-AI30</f>
        <v>-2330</v>
      </c>
      <c r="AJ31" s="116"/>
    </row>
    <row r="32" spans="1:36" x14ac:dyDescent="0.3">
      <c r="A32" s="118"/>
      <c r="B32" s="116"/>
      <c r="C32" s="116"/>
      <c r="D32" s="116"/>
      <c r="E32" s="116"/>
      <c r="F32" s="116"/>
      <c r="G32" s="116"/>
      <c r="H32" s="116"/>
      <c r="I32" s="116"/>
      <c r="J32" s="11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6"/>
      <c r="X32" s="116"/>
      <c r="Y32" s="116"/>
      <c r="Z32" s="116"/>
      <c r="AA32" s="116"/>
      <c r="AB32" s="116"/>
      <c r="AC32" s="116"/>
      <c r="AD32" s="116"/>
      <c r="AE32" s="116"/>
      <c r="AF32" s="116"/>
      <c r="AG32" s="116"/>
      <c r="AH32" s="116"/>
      <c r="AI32" s="116"/>
      <c r="AJ32" s="116"/>
    </row>
    <row r="33" spans="1:36" ht="22.5" customHeight="1" x14ac:dyDescent="0.3">
      <c r="A33" s="115" t="s">
        <v>2500</v>
      </c>
      <c r="B33" s="116"/>
      <c r="C33" s="116"/>
      <c r="D33" s="117" t="s">
        <v>2500</v>
      </c>
      <c r="E33" s="116"/>
      <c r="F33" s="116"/>
      <c r="G33" s="115" t="s">
        <v>2500</v>
      </c>
      <c r="H33" s="116"/>
      <c r="I33" s="116"/>
      <c r="J33" s="117" t="s">
        <v>2500</v>
      </c>
      <c r="K33" s="116"/>
      <c r="L33" s="116"/>
      <c r="M33" s="115" t="s">
        <v>2500</v>
      </c>
      <c r="N33" s="116"/>
      <c r="O33" s="116"/>
      <c r="P33" s="117" t="s">
        <v>2500</v>
      </c>
      <c r="Q33" s="116"/>
      <c r="R33" s="116"/>
      <c r="S33" s="115" t="s">
        <v>2500</v>
      </c>
      <c r="T33" s="116"/>
      <c r="U33" s="116"/>
      <c r="V33" s="117" t="s">
        <v>2500</v>
      </c>
      <c r="W33" s="116"/>
      <c r="X33" s="116"/>
      <c r="Y33" s="115" t="s">
        <v>2500</v>
      </c>
      <c r="Z33" s="116"/>
      <c r="AA33" s="116"/>
      <c r="AB33" s="117" t="s">
        <v>2500</v>
      </c>
      <c r="AC33" s="116"/>
      <c r="AD33" s="116"/>
      <c r="AE33" s="115" t="s">
        <v>2500</v>
      </c>
      <c r="AF33" s="116"/>
      <c r="AG33" s="116"/>
      <c r="AH33" s="117" t="s">
        <v>2500</v>
      </c>
      <c r="AI33" s="116"/>
      <c r="AJ33" s="116"/>
    </row>
    <row r="34" spans="1:36" x14ac:dyDescent="0.3">
      <c r="A34" s="14" t="s">
        <v>2552</v>
      </c>
      <c r="B34" s="119">
        <f>'Total Collection'!C29</f>
        <v>33040</v>
      </c>
      <c r="C34" s="116"/>
      <c r="D34" s="14" t="s">
        <v>2552</v>
      </c>
      <c r="E34" s="119">
        <f>'Total Collection'!D29</f>
        <v>0</v>
      </c>
      <c r="F34" s="116"/>
    </row>
    <row r="35" spans="1:36" ht="19.5" customHeight="1" thickBot="1" x14ac:dyDescent="0.35">
      <c r="A35" s="14" t="s">
        <v>2556</v>
      </c>
      <c r="B35" s="119">
        <f>SUM(3000+4000+3000+3500+5000+5000)+8000</f>
        <v>31500</v>
      </c>
      <c r="C35" s="116"/>
      <c r="D35" s="14" t="s">
        <v>2556</v>
      </c>
      <c r="E35" s="119">
        <f>SUM(0)</f>
        <v>0</v>
      </c>
      <c r="F35" s="116"/>
    </row>
    <row r="36" spans="1:36" ht="22.5" customHeight="1" thickTop="1" thickBot="1" x14ac:dyDescent="0.4">
      <c r="A36" s="57" t="s">
        <v>2554</v>
      </c>
      <c r="B36" s="119">
        <v>0</v>
      </c>
      <c r="C36" s="116"/>
      <c r="D36" s="57" t="s">
        <v>2554</v>
      </c>
      <c r="E36" s="119">
        <v>0</v>
      </c>
      <c r="F36" s="116"/>
    </row>
    <row r="37" spans="1:36" ht="19.5" customHeight="1" thickTop="1" x14ac:dyDescent="0.3">
      <c r="A37" s="22" t="s">
        <v>2555</v>
      </c>
      <c r="B37" s="119">
        <f>B35-B34+B36</f>
        <v>-1540</v>
      </c>
      <c r="C37" s="116"/>
      <c r="D37" s="22" t="s">
        <v>2555</v>
      </c>
      <c r="E37" s="119">
        <f>E35-E34+E36</f>
        <v>0</v>
      </c>
      <c r="F37" s="116"/>
    </row>
  </sheetData>
  <mergeCells count="93">
    <mergeCell ref="K31:L31"/>
    <mergeCell ref="N30:O30"/>
    <mergeCell ref="Q30:R30"/>
    <mergeCell ref="Z31:AA31"/>
    <mergeCell ref="AF30:AG30"/>
    <mergeCell ref="T30:U30"/>
    <mergeCell ref="W30:X30"/>
    <mergeCell ref="N31:O31"/>
    <mergeCell ref="Q31:R31"/>
    <mergeCell ref="T31:U31"/>
    <mergeCell ref="W31:X31"/>
    <mergeCell ref="AF31:AG31"/>
    <mergeCell ref="AI30:AJ30"/>
    <mergeCell ref="K28:L28"/>
    <mergeCell ref="H29:I29"/>
    <mergeCell ref="K29:L29"/>
    <mergeCell ref="A1:C1"/>
    <mergeCell ref="D1:F1"/>
    <mergeCell ref="G1:I1"/>
    <mergeCell ref="J1:L1"/>
    <mergeCell ref="B28:C28"/>
    <mergeCell ref="B29:C29"/>
    <mergeCell ref="E28:F28"/>
    <mergeCell ref="E29:F29"/>
    <mergeCell ref="H28:I28"/>
    <mergeCell ref="AI28:AJ28"/>
    <mergeCell ref="N29:O29"/>
    <mergeCell ref="Q29:R29"/>
    <mergeCell ref="T29:U29"/>
    <mergeCell ref="W29:X29"/>
    <mergeCell ref="Z29:AA29"/>
    <mergeCell ref="AC29:AD29"/>
    <mergeCell ref="AI29:AJ29"/>
    <mergeCell ref="Y1:AA1"/>
    <mergeCell ref="AB1:AD1"/>
    <mergeCell ref="N28:O28"/>
    <mergeCell ref="Q28:R28"/>
    <mergeCell ref="T28:U28"/>
    <mergeCell ref="W28:X28"/>
    <mergeCell ref="Z28:AA28"/>
    <mergeCell ref="P27:R27"/>
    <mergeCell ref="S27:U27"/>
    <mergeCell ref="V27:X27"/>
    <mergeCell ref="Y27:AA27"/>
    <mergeCell ref="AB27:AD27"/>
    <mergeCell ref="AI31:AJ31"/>
    <mergeCell ref="A33:C33"/>
    <mergeCell ref="B34:C34"/>
    <mergeCell ref="B36:C36"/>
    <mergeCell ref="M1:O1"/>
    <mergeCell ref="P1:R1"/>
    <mergeCell ref="AE1:AG1"/>
    <mergeCell ref="Z30:AA30"/>
    <mergeCell ref="AC31:AD31"/>
    <mergeCell ref="AC30:AD30"/>
    <mergeCell ref="AC28:AD28"/>
    <mergeCell ref="AF28:AG28"/>
    <mergeCell ref="AF29:AG29"/>
    <mergeCell ref="AH1:AJ1"/>
    <mergeCell ref="S1:U1"/>
    <mergeCell ref="V1:X1"/>
    <mergeCell ref="J27:L27"/>
    <mergeCell ref="M27:O27"/>
    <mergeCell ref="B37:C37"/>
    <mergeCell ref="B35:C35"/>
    <mergeCell ref="D33:F33"/>
    <mergeCell ref="E34:F34"/>
    <mergeCell ref="E35:F35"/>
    <mergeCell ref="E36:F36"/>
    <mergeCell ref="E37:F37"/>
    <mergeCell ref="B30:C30"/>
    <mergeCell ref="B31:C31"/>
    <mergeCell ref="E30:F30"/>
    <mergeCell ref="E31:F31"/>
    <mergeCell ref="H30:I30"/>
    <mergeCell ref="K30:L30"/>
    <mergeCell ref="H31:I31"/>
    <mergeCell ref="AE27:AG27"/>
    <mergeCell ref="AH27:AJ27"/>
    <mergeCell ref="G33:I33"/>
    <mergeCell ref="J33:L33"/>
    <mergeCell ref="M33:O33"/>
    <mergeCell ref="P33:R33"/>
    <mergeCell ref="S33:U33"/>
    <mergeCell ref="V33:X33"/>
    <mergeCell ref="Y33:AA33"/>
    <mergeCell ref="AB33:AD33"/>
    <mergeCell ref="AE33:AG33"/>
    <mergeCell ref="AH33:AJ33"/>
    <mergeCell ref="A32:AJ32"/>
    <mergeCell ref="A27:C27"/>
    <mergeCell ref="D27:F27"/>
    <mergeCell ref="G27:I27"/>
  </mergeCells>
  <pageMargins left="0.25" right="0.25" top="0.75" bottom="0.75" header="0.3" footer="0.3"/>
  <pageSetup paperSize="8" orientation="landscape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Vallur-1</vt:lpstr>
      <vt:lpstr>Vallur-2</vt:lpstr>
      <vt:lpstr>Subramaniya_Siva</vt:lpstr>
      <vt:lpstr>Bharadhidhasan</vt:lpstr>
      <vt:lpstr>Poothu_Kovil</vt:lpstr>
      <vt:lpstr>Mannikam_Muthaliyar-I</vt:lpstr>
      <vt:lpstr>Mannikam_Muthaliyar-II</vt:lpstr>
      <vt:lpstr>Ramasami_Mudhaliyar</vt:lpstr>
      <vt:lpstr>PillaiyarKovil</vt:lpstr>
      <vt:lpstr>K.Mudhaliyar</vt:lpstr>
      <vt:lpstr>M.Mariamman</vt:lpstr>
      <vt:lpstr>A.Colony</vt:lpstr>
      <vt:lpstr>A.Colony-OLD</vt:lpstr>
      <vt:lpstr>Main Road</vt:lpstr>
      <vt:lpstr>Bharathipuram-1</vt:lpstr>
      <vt:lpstr>Bharathipuram-2</vt:lpstr>
      <vt:lpstr>Agali Theru</vt:lpstr>
      <vt:lpstr>Etteiyampatti</vt:lpstr>
      <vt:lpstr>Pudhur</vt:lpstr>
      <vt:lpstr>SankarK</vt:lpstr>
      <vt:lpstr>Kamaraj Nagar</vt:lpstr>
      <vt:lpstr>Muslim St</vt:lpstr>
      <vt:lpstr>GovtBox</vt:lpstr>
      <vt:lpstr>Govt_ActiveCheck</vt:lpstr>
      <vt:lpstr>Total Collection</vt:lpstr>
      <vt:lpstr>Balance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Tharun A</cp:lastModifiedBy>
  <cp:lastPrinted>2021-01-04T15:09:19Z</cp:lastPrinted>
  <dcterms:created xsi:type="dcterms:W3CDTF">2006-09-16T00:00:00Z</dcterms:created>
  <dcterms:modified xsi:type="dcterms:W3CDTF">2021-02-04T17:38:00Z</dcterms:modified>
</cp:coreProperties>
</file>